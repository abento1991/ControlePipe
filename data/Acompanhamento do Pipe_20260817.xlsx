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d.docs.live.net/68f5ee85f7176ce6/Área de Trabalho/"/>
    </mc:Choice>
  </mc:AlternateContent>
  <xr:revisionPtr revIDLastSave="0" documentId="8_{ED80843F-B1DC-4F10-894B-7AA43719D3BE}" xr6:coauthVersionLast="47" xr6:coauthVersionMax="47" xr10:uidLastSave="{00000000-0000-0000-0000-000000000000}"/>
  <bookViews>
    <workbookView xWindow="-108" yWindow="-108" windowWidth="23256" windowHeight="12456" activeTab="1" xr2:uid="{19BF8F67-C1ED-435A-A918-27C1CE467496}"/>
  </bookViews>
  <sheets>
    <sheet name="Sheet4" sheetId="23" r:id="rId1"/>
    <sheet name="Pipe" sheetId="1" r:id="rId2"/>
    <sheet name="Originadores" sheetId="21" r:id="rId3"/>
    <sheet name="Analise Originação 2025" sheetId="18" r:id="rId4"/>
    <sheet name="Reestruturação" sheetId="16" r:id="rId5"/>
    <sheet name="Vertical_1812" sheetId="20" r:id="rId6"/>
    <sheet name="Vertical_1610" sheetId="17" r:id="rId7"/>
    <sheet name="Vertical_2509" sheetId="15" r:id="rId8"/>
    <sheet name="Vertical_2108" sheetId="14" r:id="rId9"/>
    <sheet name="Reunião Vertical_1707" sheetId="12" r:id="rId10"/>
    <sheet name="Reuniao Vertical_1505" sheetId="7" r:id="rId11"/>
    <sheet name="Originação" sheetId="5" r:id="rId12"/>
    <sheet name="Output" sheetId="2" r:id="rId13"/>
    <sheet name="Reuniao Vertical_old" sheetId="6" r:id="rId14"/>
    <sheet name="Sheet2" sheetId="4" state="hidden" r:id="rId15"/>
    <sheet name="Sheet1" sheetId="3" state="hidden" r:id="rId16"/>
  </sheets>
  <definedNames>
    <definedName name="_xlnm._FilterDatabase" localSheetId="3" hidden="1">'Analise Originação 2025'!$K$2:$Q$374</definedName>
    <definedName name="_xlnm._FilterDatabase" localSheetId="11" hidden="1">Originação!$B$3:$H$264</definedName>
    <definedName name="_xlnm._FilterDatabase" localSheetId="2" hidden="1">Originadores!$C$3:$G$307</definedName>
    <definedName name="_xlnm._FilterDatabase" localSheetId="12" hidden="1">Output!$B$2:$H$35</definedName>
    <definedName name="_xlnm._FilterDatabase" localSheetId="1" hidden="1">Pipe!$C$8:$P$911</definedName>
    <definedName name="_xlnm._FilterDatabase" localSheetId="9" hidden="1">'Reunião Vertical_1707'!$J$53:$M$103</definedName>
    <definedName name="_xlnm._FilterDatabase" localSheetId="15" hidden="1">Sheet1!$B$2:$G$130</definedName>
    <definedName name="_xlnm._FilterDatabase" localSheetId="14" hidden="1">Sheet2!$L$130:$Q$264</definedName>
    <definedName name="_xlnm._FilterDatabase" localSheetId="6" hidden="1">Vertical_1610!$L$3:$M$44</definedName>
    <definedName name="_xlnm._FilterDatabase" localSheetId="5" hidden="1">Vertical_1812!$M$2:$P$42</definedName>
    <definedName name="_xlnm._FilterDatabase" localSheetId="8" hidden="1">Vertical_2108!$L$3:$M$36</definedName>
    <definedName name="_xlnm._FilterDatabase" localSheetId="7" hidden="1">Vertical_2509!$L$3:$M$36</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11" i="1" l="1"/>
  <c r="G911" i="1"/>
  <c r="I909" i="1"/>
  <c r="I910" i="1"/>
  <c r="G910" i="1"/>
  <c r="G909" i="1"/>
  <c r="G908" i="1"/>
  <c r="G907" i="1"/>
  <c r="I906" i="1"/>
  <c r="G906" i="1"/>
  <c r="I905" i="1"/>
  <c r="G905" i="1"/>
  <c r="I904" i="1"/>
  <c r="G904" i="1"/>
  <c r="I892" i="1"/>
  <c r="I891" i="1"/>
  <c r="I903" i="1"/>
  <c r="I902" i="1"/>
  <c r="G903" i="1"/>
  <c r="G902" i="1"/>
  <c r="I901" i="1"/>
  <c r="G901" i="1"/>
  <c r="I900" i="1"/>
  <c r="G900" i="1"/>
  <c r="I899" i="1"/>
  <c r="G899" i="1"/>
  <c r="I898" i="1"/>
  <c r="G898" i="1"/>
  <c r="I897" i="1"/>
  <c r="G897" i="1"/>
  <c r="I896" i="1"/>
  <c r="I895" i="1"/>
  <c r="I894" i="1"/>
  <c r="G896" i="1"/>
  <c r="G895" i="1"/>
  <c r="G894" i="1"/>
  <c r="I893" i="1"/>
  <c r="G893" i="1"/>
  <c r="G892" i="1"/>
  <c r="G891" i="1"/>
  <c r="I890" i="1"/>
  <c r="G890" i="1"/>
  <c r="I889" i="1"/>
  <c r="G889" i="1"/>
  <c r="I888" i="1"/>
  <c r="G888" i="1"/>
  <c r="I887" i="1"/>
  <c r="G887" i="1"/>
  <c r="G886" i="1"/>
  <c r="I885" i="1"/>
  <c r="G885" i="1"/>
  <c r="I884" i="1"/>
  <c r="I883" i="1"/>
  <c r="G884" i="1"/>
  <c r="G883" i="1"/>
  <c r="G882" i="1"/>
  <c r="I881" i="1"/>
  <c r="G881" i="1"/>
  <c r="I880" i="1"/>
  <c r="G880" i="1"/>
  <c r="I879" i="1"/>
  <c r="G879" i="1"/>
  <c r="I878" i="1"/>
  <c r="G878" i="1"/>
  <c r="I877"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I876" i="1"/>
  <c r="I875" i="1"/>
  <c r="I874" i="1"/>
  <c r="I873" i="1"/>
  <c r="I872" i="1"/>
  <c r="I871" i="1"/>
  <c r="I870" i="1"/>
  <c r="I869" i="1"/>
  <c r="I868" i="1"/>
  <c r="I866" i="1"/>
  <c r="I861" i="1"/>
  <c r="I859" i="1"/>
  <c r="I858" i="1"/>
  <c r="C164" i="21"/>
  <c r="C165" i="21" s="1"/>
  <c r="C166" i="21" s="1"/>
  <c r="C167" i="21" s="1"/>
  <c r="C168" i="21" s="1"/>
  <c r="C169" i="21" s="1"/>
  <c r="C170" i="21" s="1"/>
  <c r="C171" i="21" s="1"/>
  <c r="C172" i="21" s="1"/>
  <c r="C173" i="21" s="1"/>
  <c r="C174" i="21" s="1"/>
  <c r="C175" i="21" s="1"/>
  <c r="C176" i="21" s="1"/>
  <c r="C177" i="21" s="1"/>
  <c r="C178" i="21" s="1"/>
  <c r="C179" i="21" s="1"/>
  <c r="C180" i="21" s="1"/>
  <c r="C181" i="21" s="1"/>
  <c r="C182" i="21" s="1"/>
  <c r="C183" i="21" s="1"/>
  <c r="C184" i="21" s="1"/>
  <c r="C185" i="21" s="1"/>
  <c r="C186" i="21" s="1"/>
  <c r="C187" i="21" s="1"/>
  <c r="C188" i="21" s="1"/>
  <c r="C189" i="21" s="1"/>
  <c r="C190" i="21" s="1"/>
  <c r="C191" i="21" s="1"/>
  <c r="C192" i="21" s="1"/>
  <c r="C193" i="21" s="1"/>
  <c r="C194" i="21" s="1"/>
  <c r="C195" i="21" s="1"/>
  <c r="C196" i="21" s="1"/>
  <c r="C197" i="21" s="1"/>
  <c r="C198" i="21" s="1"/>
  <c r="C199" i="21" s="1"/>
  <c r="C200" i="21" s="1"/>
  <c r="C201" i="21" s="1"/>
  <c r="C202" i="21" s="1"/>
  <c r="C203" i="21" s="1"/>
  <c r="C204" i="21" s="1"/>
  <c r="C205" i="21" s="1"/>
  <c r="C206" i="21" s="1"/>
  <c r="C207" i="21" s="1"/>
  <c r="C208" i="21" s="1"/>
  <c r="C209" i="21" s="1"/>
  <c r="C210" i="21" s="1"/>
  <c r="C211" i="21" s="1"/>
  <c r="C212" i="21" s="1"/>
  <c r="C213" i="21" s="1"/>
  <c r="C214" i="21" s="1"/>
  <c r="C215" i="21" s="1"/>
  <c r="C216" i="21" s="1"/>
  <c r="C217" i="21" s="1"/>
  <c r="C218" i="21" s="1"/>
  <c r="C219" i="21" s="1"/>
  <c r="C220" i="21" s="1"/>
  <c r="C221" i="21" s="1"/>
  <c r="C222" i="21" s="1"/>
  <c r="C223" i="21" s="1"/>
  <c r="C224" i="21" s="1"/>
  <c r="C225" i="21" s="1"/>
  <c r="C226" i="21" s="1"/>
  <c r="C227" i="21" s="1"/>
  <c r="C228" i="21" s="1"/>
  <c r="C229" i="21" s="1"/>
  <c r="C230" i="21" s="1"/>
  <c r="C231" i="21" s="1"/>
  <c r="C232" i="21" s="1"/>
  <c r="C233" i="21" s="1"/>
  <c r="C234" i="21" s="1"/>
  <c r="C235" i="21" s="1"/>
  <c r="C236" i="21" s="1"/>
  <c r="C237" i="21" s="1"/>
  <c r="C238" i="21" s="1"/>
  <c r="C239" i="21" s="1"/>
  <c r="C240" i="21" s="1"/>
  <c r="C241" i="21" s="1"/>
  <c r="C242" i="21" s="1"/>
  <c r="C243" i="21" s="1"/>
  <c r="C244" i="21" s="1"/>
  <c r="C245" i="21" s="1"/>
  <c r="C246" i="21" s="1"/>
  <c r="C247" i="21" s="1"/>
  <c r="C248" i="21" s="1"/>
  <c r="C249" i="21" s="1"/>
  <c r="C250" i="21" s="1"/>
  <c r="C251" i="21" s="1"/>
  <c r="C252" i="21" s="1"/>
  <c r="C253" i="21" s="1"/>
  <c r="C254" i="21" s="1"/>
  <c r="C255" i="21" s="1"/>
  <c r="C256" i="21" s="1"/>
  <c r="C257" i="21" s="1"/>
  <c r="C258" i="21" s="1"/>
  <c r="C259" i="21" s="1"/>
  <c r="C260" i="21" s="1"/>
  <c r="C261" i="21" s="1"/>
  <c r="C262" i="21" s="1"/>
  <c r="C263" i="21" s="1"/>
  <c r="C264" i="21" s="1"/>
  <c r="C265" i="21" s="1"/>
  <c r="C266" i="21" s="1"/>
  <c r="C267" i="21" s="1"/>
  <c r="C268" i="21" s="1"/>
  <c r="C269" i="21" s="1"/>
  <c r="C270" i="21" s="1"/>
  <c r="C271" i="21" s="1"/>
  <c r="C272" i="21" s="1"/>
  <c r="C273" i="21" s="1"/>
  <c r="C274" i="21" s="1"/>
  <c r="C275" i="21" s="1"/>
  <c r="C276" i="21" s="1"/>
  <c r="C277" i="21" s="1"/>
  <c r="C278" i="21" s="1"/>
  <c r="C279" i="21" s="1"/>
  <c r="C280" i="21" s="1"/>
  <c r="C281" i="21" s="1"/>
  <c r="C282" i="21" s="1"/>
  <c r="C283" i="21" s="1"/>
  <c r="C284" i="21" s="1"/>
  <c r="C285" i="21" s="1"/>
  <c r="C286" i="21" s="1"/>
  <c r="C287" i="21" s="1"/>
  <c r="C288" i="21" s="1"/>
  <c r="C289" i="21" s="1"/>
  <c r="C290" i="21" s="1"/>
  <c r="C291" i="21" s="1"/>
  <c r="C292" i="21" s="1"/>
  <c r="C293" i="21" s="1"/>
  <c r="C294" i="21" s="1"/>
  <c r="C295" i="21" s="1"/>
  <c r="C296" i="21" s="1"/>
  <c r="C297" i="21" s="1"/>
  <c r="C298" i="21" s="1"/>
  <c r="C299" i="21" s="1"/>
  <c r="C300" i="21" s="1"/>
  <c r="C301" i="21" s="1"/>
  <c r="C302" i="21" s="1"/>
  <c r="C303" i="21" s="1"/>
  <c r="C304" i="21" s="1"/>
  <c r="C305" i="21" s="1"/>
  <c r="C306" i="21" s="1"/>
  <c r="C307" i="21" s="1"/>
  <c r="I856" i="1"/>
  <c r="I857" i="1"/>
  <c r="I855" i="1"/>
  <c r="I854" i="1"/>
  <c r="I853" i="1"/>
  <c r="I849" i="1"/>
  <c r="I846" i="1"/>
  <c r="I845" i="1"/>
  <c r="I847" i="1"/>
  <c r="I852" i="1"/>
  <c r="I851" i="1"/>
  <c r="I829" i="1"/>
  <c r="I844" i="1"/>
  <c r="I843" i="1"/>
  <c r="I842" i="1"/>
  <c r="I841" i="1"/>
  <c r="I840" i="1"/>
  <c r="I839" i="1"/>
  <c r="I838" i="1"/>
  <c r="I837" i="1"/>
  <c r="I836" i="1"/>
  <c r="I835" i="1"/>
  <c r="I831" i="1"/>
  <c r="I834" i="1"/>
  <c r="I833" i="1"/>
  <c r="I832" i="1"/>
  <c r="I830" i="1"/>
  <c r="I826" i="1"/>
  <c r="I825" i="1"/>
  <c r="I823" i="1"/>
  <c r="I796" i="1"/>
  <c r="I797" i="1"/>
  <c r="I824" i="1"/>
  <c r="I822" i="1"/>
  <c r="I821" i="1"/>
  <c r="I820" i="1"/>
  <c r="I800" i="1"/>
  <c r="I801" i="1"/>
  <c r="I818" i="1"/>
  <c r="I819" i="1"/>
  <c r="I817" i="1"/>
  <c r="I816" i="1"/>
  <c r="I815" i="1"/>
  <c r="I814" i="1"/>
  <c r="I813" i="1"/>
  <c r="I812" i="1"/>
  <c r="M4" i="1"/>
  <c r="I809" i="1"/>
  <c r="I808" i="1"/>
  <c r="I807" i="1"/>
  <c r="I805" i="1"/>
  <c r="I802" i="1"/>
  <c r="I798" i="1"/>
  <c r="I794" i="1"/>
  <c r="I793" i="1"/>
  <c r="I791" i="1"/>
  <c r="I790" i="1"/>
  <c r="I789" i="1"/>
  <c r="I788" i="1"/>
  <c r="I787" i="1"/>
  <c r="I786" i="1"/>
  <c r="I785" i="1"/>
  <c r="I784" i="1"/>
  <c r="I783" i="1"/>
  <c r="I782" i="1"/>
  <c r="I780" i="1"/>
  <c r="I778" i="1"/>
  <c r="I779" i="1"/>
  <c r="I777" i="1"/>
  <c r="I776" i="1"/>
  <c r="I774" i="1"/>
  <c r="I773" i="1"/>
  <c r="I772" i="1" l="1"/>
  <c r="G680" i="1" l="1"/>
  <c r="H5" i="1"/>
  <c r="F5" i="1"/>
  <c r="E5" i="1"/>
  <c r="G164" i="21" l="1"/>
  <c r="H164" i="21"/>
  <c r="F164" i="21"/>
  <c r="F82" i="21"/>
  <c r="F241" i="21"/>
  <c r="F63" i="21"/>
  <c r="F103" i="21"/>
  <c r="F34" i="21"/>
  <c r="F183" i="21"/>
  <c r="F95" i="21"/>
  <c r="F163" i="21"/>
  <c r="F160" i="21"/>
  <c r="F55" i="21"/>
  <c r="F69" i="21"/>
  <c r="F125" i="21"/>
  <c r="F191" i="21"/>
  <c r="F33" i="21"/>
  <c r="F21" i="21"/>
  <c r="F101" i="21"/>
  <c r="F110" i="21"/>
  <c r="F205" i="21"/>
  <c r="F8" i="21"/>
  <c r="F122" i="21"/>
  <c r="F203" i="21"/>
  <c r="F214" i="21"/>
  <c r="F127" i="21"/>
  <c r="I5" i="1"/>
  <c r="F115" i="21"/>
  <c r="I771" i="1"/>
  <c r="F181" i="21"/>
  <c r="I770" i="1"/>
  <c r="F58" i="21"/>
  <c r="I769" i="1"/>
  <c r="I768" i="1"/>
  <c r="I762" i="1"/>
  <c r="I767" i="1"/>
  <c r="I766" i="1"/>
  <c r="I765" i="1"/>
  <c r="F268" i="21"/>
  <c r="I764" i="1"/>
  <c r="I763" i="1"/>
  <c r="F290" i="21"/>
  <c r="I760" i="1"/>
  <c r="I761" i="1"/>
  <c r="I759" i="1"/>
  <c r="I758" i="1"/>
  <c r="I757" i="1"/>
  <c r="I756" i="1"/>
  <c r="I755" i="1"/>
  <c r="I754" i="1"/>
  <c r="I753" i="1"/>
  <c r="I752" i="1"/>
  <c r="I751" i="1"/>
  <c r="I750" i="1"/>
  <c r="I749" i="1"/>
  <c r="I748" i="1"/>
  <c r="I747" i="1"/>
  <c r="I746" i="1"/>
  <c r="I745" i="1"/>
  <c r="I744" i="1"/>
  <c r="I743" i="1"/>
  <c r="I742" i="1"/>
  <c r="I739" i="1"/>
  <c r="I737" i="1"/>
  <c r="I736" i="1"/>
  <c r="I734" i="1"/>
  <c r="I741" i="1"/>
  <c r="I738" i="1" l="1"/>
  <c r="F266" i="21"/>
  <c r="F40" i="21"/>
  <c r="I735" i="1"/>
  <c r="I733" i="1"/>
  <c r="I732" i="1"/>
  <c r="I731" i="1" l="1"/>
  <c r="I729" i="1"/>
  <c r="I728" i="1" l="1"/>
  <c r="I727" i="1"/>
  <c r="I726" i="1"/>
  <c r="F195" i="21"/>
  <c r="I725" i="1"/>
  <c r="I724" i="1"/>
  <c r="F211" i="21"/>
  <c r="I723" i="1"/>
  <c r="I722" i="1"/>
  <c r="I721" i="1"/>
  <c r="F180" i="21"/>
  <c r="I720" i="1"/>
  <c r="F134" i="21"/>
  <c r="F45" i="21" l="1"/>
  <c r="I718" i="1"/>
  <c r="I719" i="1"/>
  <c r="I717" i="1"/>
  <c r="F206" i="21"/>
  <c r="I716" i="1" l="1"/>
  <c r="I715" i="1"/>
  <c r="I714" i="1"/>
  <c r="I713" i="1"/>
  <c r="I712" i="1"/>
  <c r="I711" i="1"/>
  <c r="F252" i="21"/>
  <c r="I710" i="1"/>
  <c r="I709" i="1" l="1"/>
  <c r="I708" i="1"/>
  <c r="I707" i="1"/>
  <c r="I706" i="1"/>
  <c r="I705" i="1"/>
  <c r="I704" i="1"/>
  <c r="I703" i="1"/>
  <c r="I702" i="1" l="1"/>
  <c r="I700" i="1"/>
  <c r="I699" i="1"/>
  <c r="F50" i="21"/>
  <c r="I698" i="1"/>
  <c r="F231" i="21"/>
  <c r="I696" i="1"/>
  <c r="I695" i="1"/>
  <c r="F187" i="21"/>
  <c r="I694" i="1"/>
  <c r="F194" i="21"/>
  <c r="I692" i="1"/>
  <c r="I691" i="1"/>
  <c r="F74" i="21"/>
  <c r="I690" i="1"/>
  <c r="I689" i="1"/>
  <c r="I688" i="1"/>
  <c r="I684" i="1"/>
  <c r="I687" i="1"/>
  <c r="I686" i="1"/>
  <c r="I685" i="1"/>
  <c r="F275" i="21"/>
  <c r="I683" i="1"/>
  <c r="I682" i="1"/>
  <c r="I680" i="1"/>
  <c r="F168" i="21"/>
  <c r="I681" i="1"/>
  <c r="I679" i="1"/>
  <c r="I678" i="1"/>
  <c r="I676" i="1"/>
  <c r="F291" i="21"/>
  <c r="I675" i="1"/>
  <c r="I674" i="1"/>
  <c r="F288" i="21"/>
  <c r="I673" i="1"/>
  <c r="I672" i="1"/>
  <c r="F30" i="21"/>
  <c r="I671" i="1"/>
  <c r="I670" i="1"/>
  <c r="I666" i="1"/>
  <c r="F59" i="21"/>
  <c r="I669" i="1"/>
  <c r="F189" i="21"/>
  <c r="I668" i="1"/>
  <c r="F112" i="21"/>
  <c r="I667" i="1"/>
  <c r="I665" i="1"/>
  <c r="I664" i="1"/>
  <c r="I663" i="1"/>
  <c r="I662" i="1"/>
  <c r="F116" i="21"/>
  <c r="I661" i="1"/>
  <c r="I660" i="1"/>
  <c r="I659" i="1"/>
  <c r="F301" i="21"/>
  <c r="I658" i="1"/>
  <c r="I657" i="1"/>
  <c r="I656" i="1"/>
  <c r="I655" i="1"/>
  <c r="F76" i="21"/>
  <c r="I654" i="1"/>
  <c r="I653" i="1"/>
  <c r="I652" i="1"/>
  <c r="F81" i="21"/>
  <c r="I651" i="1"/>
  <c r="I650" i="1"/>
  <c r="I649" i="1"/>
  <c r="G647" i="1"/>
  <c r="G646" i="1"/>
  <c r="F31" i="21" s="1"/>
  <c r="I647" i="1"/>
  <c r="I646" i="1"/>
  <c r="J314" i="21"/>
  <c r="G645" i="1"/>
  <c r="F19" i="21" s="1"/>
  <c r="G644" i="1"/>
  <c r="I645" i="1"/>
  <c r="I644" i="1"/>
  <c r="I643" i="1"/>
  <c r="G643" i="1"/>
  <c r="F171" i="21"/>
  <c r="G3" i="21"/>
  <c r="G82" i="21" s="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F215" i="21" s="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F221" i="21" s="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642" i="1"/>
  <c r="C5" i="21"/>
  <c r="C6" i="21" s="1"/>
  <c r="C7" i="21" s="1"/>
  <c r="C8" i="21" s="1"/>
  <c r="C9" i="21" s="1"/>
  <c r="C10" i="21" s="1"/>
  <c r="C11" i="21" s="1"/>
  <c r="C12" i="21" s="1"/>
  <c r="C13" i="21" s="1"/>
  <c r="C14" i="21" s="1"/>
  <c r="C15" i="21" s="1"/>
  <c r="C16" i="21" s="1"/>
  <c r="C17" i="21" s="1"/>
  <c r="C18" i="21" s="1"/>
  <c r="C19" i="21" s="1"/>
  <c r="C20" i="21" s="1"/>
  <c r="C21" i="21" s="1"/>
  <c r="C22" i="21" s="1"/>
  <c r="C23" i="21" s="1"/>
  <c r="C24" i="21" s="1"/>
  <c r="C25" i="21" s="1"/>
  <c r="C26" i="21" s="1"/>
  <c r="C27" i="21" s="1"/>
  <c r="C28" i="21" s="1"/>
  <c r="C29" i="21" s="1"/>
  <c r="C30" i="21" s="1"/>
  <c r="C31" i="21" s="1"/>
  <c r="C32" i="21" s="1"/>
  <c r="C33" i="21" s="1"/>
  <c r="C34" i="21" s="1"/>
  <c r="C35" i="21" s="1"/>
  <c r="C36" i="21" s="1"/>
  <c r="C37" i="21" s="1"/>
  <c r="C38" i="21" s="1"/>
  <c r="C39" i="21" s="1"/>
  <c r="C40" i="21" s="1"/>
  <c r="C41" i="21" s="1"/>
  <c r="C42" i="21" s="1"/>
  <c r="C43" i="21" s="1"/>
  <c r="C44" i="21" s="1"/>
  <c r="C45" i="21" s="1"/>
  <c r="C46" i="21" s="1"/>
  <c r="C47" i="21" s="1"/>
  <c r="C48" i="21" s="1"/>
  <c r="C49" i="21" s="1"/>
  <c r="C50" i="21" s="1"/>
  <c r="C51" i="21" s="1"/>
  <c r="C52" i="21" s="1"/>
  <c r="C53" i="21" s="1"/>
  <c r="C54" i="21" s="1"/>
  <c r="C55" i="21" s="1"/>
  <c r="C56" i="21" s="1"/>
  <c r="C57" i="21" s="1"/>
  <c r="C58" i="21" s="1"/>
  <c r="C59" i="21" s="1"/>
  <c r="C60" i="21" s="1"/>
  <c r="C61" i="21" s="1"/>
  <c r="C62" i="21" s="1"/>
  <c r="C63" i="21" s="1"/>
  <c r="C64" i="21" s="1"/>
  <c r="C65" i="21" s="1"/>
  <c r="C66" i="21" s="1"/>
  <c r="C67" i="21" s="1"/>
  <c r="C68" i="21" s="1"/>
  <c r="C69" i="21" s="1"/>
  <c r="C70" i="21" s="1"/>
  <c r="C71" i="21" s="1"/>
  <c r="C72" i="21" s="1"/>
  <c r="C73" i="21" s="1"/>
  <c r="C74" i="21" s="1"/>
  <c r="C75" i="21" s="1"/>
  <c r="C76" i="21" s="1"/>
  <c r="C77" i="21" s="1"/>
  <c r="C78" i="21" s="1"/>
  <c r="C79" i="21" s="1"/>
  <c r="C80" i="21" s="1"/>
  <c r="C81" i="21" s="1"/>
  <c r="C82" i="21" s="1"/>
  <c r="C83" i="21" s="1"/>
  <c r="C84" i="21" s="1"/>
  <c r="C85" i="21" s="1"/>
  <c r="C86" i="21" s="1"/>
  <c r="C87" i="21" s="1"/>
  <c r="C88" i="21" s="1"/>
  <c r="C89" i="21" s="1"/>
  <c r="C90" i="21" s="1"/>
  <c r="C91" i="21" s="1"/>
  <c r="C92" i="21" s="1"/>
  <c r="C93" i="21" s="1"/>
  <c r="C94" i="21" s="1"/>
  <c r="C95" i="21" s="1"/>
  <c r="C96" i="21" s="1"/>
  <c r="C97" i="21" s="1"/>
  <c r="C98" i="21" s="1"/>
  <c r="C99" i="21" s="1"/>
  <c r="C100" i="21" s="1"/>
  <c r="C101" i="21" s="1"/>
  <c r="C102" i="21" s="1"/>
  <c r="C103" i="21" s="1"/>
  <c r="C104" i="21" s="1"/>
  <c r="C105" i="21" s="1"/>
  <c r="C106" i="21" s="1"/>
  <c r="C107" i="21" s="1"/>
  <c r="C108" i="21" s="1"/>
  <c r="C109" i="21" s="1"/>
  <c r="C110" i="21" s="1"/>
  <c r="C111" i="21" s="1"/>
  <c r="C112" i="21" s="1"/>
  <c r="C113" i="21" s="1"/>
  <c r="C114" i="21" s="1"/>
  <c r="C115" i="21" s="1"/>
  <c r="C116" i="21" s="1"/>
  <c r="C117" i="21" s="1"/>
  <c r="C118" i="21" s="1"/>
  <c r="C119" i="21" s="1"/>
  <c r="C120" i="21" s="1"/>
  <c r="C121" i="21" s="1"/>
  <c r="C122" i="21" s="1"/>
  <c r="C123" i="21" s="1"/>
  <c r="C124" i="21" s="1"/>
  <c r="C125" i="21" s="1"/>
  <c r="C126" i="21" s="1"/>
  <c r="C127" i="21" s="1"/>
  <c r="C128" i="21" s="1"/>
  <c r="C129" i="21" s="1"/>
  <c r="C130" i="21" s="1"/>
  <c r="C131" i="21" s="1"/>
  <c r="C132" i="21" s="1"/>
  <c r="C133" i="21" s="1"/>
  <c r="C134" i="21" s="1"/>
  <c r="C135" i="21" s="1"/>
  <c r="C136" i="21" s="1"/>
  <c r="C137" i="21" s="1"/>
  <c r="C138" i="21" s="1"/>
  <c r="C139" i="21" s="1"/>
  <c r="C140" i="21" s="1"/>
  <c r="C141" i="21" s="1"/>
  <c r="C142" i="21" s="1"/>
  <c r="C143" i="21" s="1"/>
  <c r="C144" i="21" s="1"/>
  <c r="C145" i="21" s="1"/>
  <c r="C146" i="21" s="1"/>
  <c r="C147" i="21" s="1"/>
  <c r="C148" i="21" s="1"/>
  <c r="C149" i="21" s="1"/>
  <c r="C150" i="21" s="1"/>
  <c r="C151" i="21" s="1"/>
  <c r="C152" i="21" s="1"/>
  <c r="C153" i="21" s="1"/>
  <c r="C154" i="21" s="1"/>
  <c r="C155" i="21" s="1"/>
  <c r="C156" i="21" s="1"/>
  <c r="C157" i="21" s="1"/>
  <c r="C158" i="21" s="1"/>
  <c r="C159" i="21" s="1"/>
  <c r="C160" i="21" s="1"/>
  <c r="C161" i="21" s="1"/>
  <c r="C162" i="21" s="1"/>
  <c r="C163" i="21" s="1"/>
  <c r="Q44" i="18"/>
  <c r="Q43" i="18"/>
  <c r="Q27" i="18"/>
  <c r="Q373" i="18"/>
  <c r="Q372" i="18"/>
  <c r="Q371" i="18"/>
  <c r="Q370" i="18"/>
  <c r="Q369" i="18"/>
  <c r="Q368" i="18"/>
  <c r="Q367" i="18"/>
  <c r="Q366" i="18"/>
  <c r="Q365" i="18"/>
  <c r="Q364" i="18"/>
  <c r="Q363" i="18"/>
  <c r="Q362" i="18"/>
  <c r="Q361" i="18"/>
  <c r="Q360" i="18"/>
  <c r="Q359" i="18"/>
  <c r="Q358" i="18"/>
  <c r="Q356" i="18"/>
  <c r="Q355" i="18"/>
  <c r="Q354" i="18"/>
  <c r="Q353" i="18"/>
  <c r="Q352" i="18"/>
  <c r="Q351" i="18"/>
  <c r="Q350" i="18"/>
  <c r="Q349" i="18"/>
  <c r="Q348" i="18"/>
  <c r="Q347" i="18"/>
  <c r="Q346" i="18"/>
  <c r="Q345" i="18"/>
  <c r="Q344" i="18"/>
  <c r="Q343" i="18"/>
  <c r="Q342" i="18"/>
  <c r="Q341" i="18"/>
  <c r="Q340" i="18"/>
  <c r="Q339" i="18"/>
  <c r="Q338" i="18"/>
  <c r="Q337" i="18"/>
  <c r="Q336" i="18"/>
  <c r="Q335" i="18"/>
  <c r="Q334" i="18"/>
  <c r="Q333" i="18"/>
  <c r="Q332" i="18"/>
  <c r="Q331" i="18"/>
  <c r="Q330" i="18"/>
  <c r="Q329" i="18"/>
  <c r="Q328" i="18"/>
  <c r="Q327" i="18"/>
  <c r="Q326" i="18"/>
  <c r="Q325" i="18"/>
  <c r="Q324" i="18"/>
  <c r="Q323" i="18"/>
  <c r="Q322" i="18"/>
  <c r="Q321" i="18"/>
  <c r="Q320" i="18"/>
  <c r="Q319" i="18"/>
  <c r="Q318" i="18"/>
  <c r="Q317" i="18"/>
  <c r="Q316" i="18"/>
  <c r="Q315" i="18"/>
  <c r="Q314" i="18"/>
  <c r="Q313" i="18"/>
  <c r="Q312" i="18"/>
  <c r="Q311" i="18"/>
  <c r="Q310" i="18"/>
  <c r="Q309" i="18"/>
  <c r="Q308" i="18"/>
  <c r="Q307" i="18"/>
  <c r="Q306" i="18"/>
  <c r="Q305" i="18"/>
  <c r="Q304" i="18"/>
  <c r="Q303" i="18"/>
  <c r="Q302" i="18"/>
  <c r="Q301" i="18"/>
  <c r="Q300" i="18"/>
  <c r="Q299" i="18"/>
  <c r="Q297" i="18"/>
  <c r="Q296" i="18"/>
  <c r="Q295" i="18"/>
  <c r="Q294" i="18"/>
  <c r="Q293" i="18"/>
  <c r="Q292" i="18"/>
  <c r="Q291" i="18"/>
  <c r="Q290" i="18"/>
  <c r="Q289" i="18"/>
  <c r="Q288" i="18"/>
  <c r="Q287" i="18"/>
  <c r="Q286" i="18"/>
  <c r="Q285" i="18"/>
  <c r="Q284" i="18"/>
  <c r="Q283" i="18"/>
  <c r="Q282" i="18"/>
  <c r="Q281" i="18"/>
  <c r="Q280" i="18"/>
  <c r="Q279" i="18"/>
  <c r="Q278" i="18"/>
  <c r="Q277" i="18"/>
  <c r="Q276" i="18"/>
  <c r="Q275" i="18"/>
  <c r="Q274" i="18"/>
  <c r="Q273" i="18"/>
  <c r="Q272" i="18"/>
  <c r="Q271" i="18"/>
  <c r="Q270" i="18"/>
  <c r="Q269" i="18"/>
  <c r="Q268" i="18"/>
  <c r="Q267" i="18"/>
  <c r="Q266" i="18"/>
  <c r="Q265" i="18"/>
  <c r="Q264" i="18"/>
  <c r="Q263" i="18"/>
  <c r="Q262" i="18"/>
  <c r="Q261" i="18"/>
  <c r="Q260" i="18"/>
  <c r="Q259" i="18"/>
  <c r="Q258" i="18"/>
  <c r="Q257" i="18"/>
  <c r="Q256" i="18"/>
  <c r="Q255" i="18"/>
  <c r="Q254" i="18"/>
  <c r="Q253" i="18"/>
  <c r="Q252" i="18"/>
  <c r="Q251" i="18"/>
  <c r="Q250" i="18"/>
  <c r="Q249" i="18"/>
  <c r="Q248" i="18"/>
  <c r="Q247" i="18"/>
  <c r="Q246" i="18"/>
  <c r="Q245" i="18"/>
  <c r="Q244" i="18"/>
  <c r="Q243" i="18"/>
  <c r="Q242" i="18"/>
  <c r="Q241" i="18"/>
  <c r="Q240" i="18"/>
  <c r="Q239" i="18"/>
  <c r="Q238" i="18"/>
  <c r="Q237" i="18"/>
  <c r="Q236" i="18"/>
  <c r="Q235" i="18"/>
  <c r="Q234" i="18"/>
  <c r="Q233" i="18"/>
  <c r="Q232" i="18"/>
  <c r="Q231" i="18"/>
  <c r="Q230" i="18"/>
  <c r="Q229" i="18"/>
  <c r="Q228" i="18"/>
  <c r="Q227" i="18"/>
  <c r="Q226" i="18"/>
  <c r="Q225" i="18"/>
  <c r="Q224" i="18"/>
  <c r="Q223" i="18"/>
  <c r="Q222" i="18"/>
  <c r="Q221" i="18"/>
  <c r="Q220" i="18"/>
  <c r="Q219" i="18"/>
  <c r="Q218" i="18"/>
  <c r="Q217" i="18"/>
  <c r="Q216" i="18"/>
  <c r="Q215" i="18"/>
  <c r="Q214" i="18"/>
  <c r="Q213" i="18"/>
  <c r="Q212" i="18"/>
  <c r="Q211" i="18"/>
  <c r="Q210" i="18"/>
  <c r="Q209" i="18"/>
  <c r="Q208" i="18"/>
  <c r="Q207" i="18"/>
  <c r="Q206" i="18"/>
  <c r="Q205" i="18"/>
  <c r="Q204" i="18"/>
  <c r="Q203" i="18"/>
  <c r="Q202" i="18"/>
  <c r="Q201" i="18"/>
  <c r="Q200" i="18"/>
  <c r="Q199" i="18"/>
  <c r="Q198" i="18"/>
  <c r="Q197" i="18"/>
  <c r="Q196" i="18"/>
  <c r="Q195" i="18"/>
  <c r="Q194" i="18"/>
  <c r="Q193" i="18"/>
  <c r="Q192" i="18"/>
  <c r="Q191" i="18"/>
  <c r="Q190" i="18"/>
  <c r="Q189" i="18"/>
  <c r="Q188" i="18"/>
  <c r="Q187" i="18"/>
  <c r="Q186" i="18"/>
  <c r="Q185" i="18"/>
  <c r="Q184" i="18"/>
  <c r="Q183" i="18"/>
  <c r="Q182" i="18"/>
  <c r="Q181" i="18"/>
  <c r="Q180" i="18"/>
  <c r="Q179" i="18"/>
  <c r="Q178" i="18"/>
  <c r="Q177" i="18"/>
  <c r="Q176" i="18"/>
  <c r="Q175" i="18"/>
  <c r="Q174" i="18"/>
  <c r="Q173" i="18"/>
  <c r="Q172" i="18"/>
  <c r="Q171" i="18"/>
  <c r="Q170" i="18"/>
  <c r="Q169" i="18"/>
  <c r="Q168" i="18"/>
  <c r="Q167" i="18"/>
  <c r="Q166" i="18"/>
  <c r="Q165" i="18"/>
  <c r="Q164" i="18"/>
  <c r="Q163" i="18"/>
  <c r="Q162" i="18"/>
  <c r="Q160" i="18"/>
  <c r="Q159" i="18"/>
  <c r="Q158" i="18"/>
  <c r="Q157" i="18"/>
  <c r="Q156" i="18"/>
  <c r="Q155" i="18"/>
  <c r="Q154" i="18"/>
  <c r="Q153" i="18"/>
  <c r="Q152" i="18"/>
  <c r="Q151" i="18"/>
  <c r="Q150" i="18"/>
  <c r="Q149" i="18"/>
  <c r="Q148" i="18"/>
  <c r="Q147" i="18"/>
  <c r="Q146" i="18"/>
  <c r="Q145" i="18"/>
  <c r="Q144" i="18"/>
  <c r="Q143" i="18"/>
  <c r="Q142" i="18"/>
  <c r="Q141" i="18"/>
  <c r="Q140" i="18"/>
  <c r="Q139" i="18"/>
  <c r="Q138" i="18"/>
  <c r="Q137" i="18"/>
  <c r="Q136" i="18"/>
  <c r="Q135" i="18"/>
  <c r="Q134" i="18"/>
  <c r="Q133" i="18"/>
  <c r="Q132" i="18"/>
  <c r="Q131" i="18"/>
  <c r="Q130" i="18"/>
  <c r="Q129" i="18"/>
  <c r="Q128" i="18"/>
  <c r="Q127" i="18"/>
  <c r="Q126" i="18"/>
  <c r="Q125" i="18"/>
  <c r="Q124" i="18"/>
  <c r="Q123" i="18"/>
  <c r="Q122" i="18"/>
  <c r="Q121" i="18"/>
  <c r="Q120" i="18"/>
  <c r="Q119" i="18"/>
  <c r="Q118" i="18"/>
  <c r="Q117" i="18"/>
  <c r="Q116" i="18"/>
  <c r="Q115" i="18"/>
  <c r="Q112" i="18"/>
  <c r="Q111" i="18"/>
  <c r="Q110" i="18"/>
  <c r="Q109" i="18"/>
  <c r="Q108" i="18"/>
  <c r="Q107" i="18"/>
  <c r="Q106" i="18"/>
  <c r="Q105" i="18"/>
  <c r="Q104" i="18"/>
  <c r="Q103" i="18"/>
  <c r="Q101" i="18"/>
  <c r="Q100" i="18"/>
  <c r="Q99" i="18"/>
  <c r="Q98" i="18"/>
  <c r="Q97" i="18"/>
  <c r="Q96" i="18"/>
  <c r="Q95" i="18"/>
  <c r="Q94" i="18"/>
  <c r="Q93" i="18"/>
  <c r="Q92" i="18"/>
  <c r="Q91" i="18"/>
  <c r="Q90" i="18"/>
  <c r="Q89" i="18"/>
  <c r="Q88" i="18"/>
  <c r="Q87" i="18"/>
  <c r="Q86" i="18"/>
  <c r="Q85" i="18"/>
  <c r="Q84" i="18"/>
  <c r="Q83" i="18"/>
  <c r="Q82" i="18"/>
  <c r="Q81" i="18"/>
  <c r="Q80" i="18"/>
  <c r="Q78" i="18"/>
  <c r="Q77" i="18"/>
  <c r="Q76" i="18"/>
  <c r="Q75" i="18"/>
  <c r="Q74" i="18"/>
  <c r="Q73" i="18"/>
  <c r="Q72" i="18"/>
  <c r="Q71" i="18"/>
  <c r="Q70" i="18"/>
  <c r="Q69" i="18"/>
  <c r="Q68" i="18"/>
  <c r="Q67" i="18"/>
  <c r="Q66" i="18"/>
  <c r="Q65" i="18"/>
  <c r="Q64" i="18"/>
  <c r="Q63" i="18"/>
  <c r="Q62" i="18"/>
  <c r="Q61" i="18"/>
  <c r="Q60" i="18"/>
  <c r="Q59" i="18"/>
  <c r="Q58" i="18"/>
  <c r="Q57" i="18"/>
  <c r="Q56" i="18"/>
  <c r="Q55" i="18"/>
  <c r="Q54" i="18"/>
  <c r="Q53" i="18"/>
  <c r="Q52" i="18"/>
  <c r="Q51" i="18"/>
  <c r="Q50" i="18"/>
  <c r="Q49" i="18"/>
  <c r="Q48" i="18"/>
  <c r="Q47" i="18"/>
  <c r="Q46" i="18"/>
  <c r="Q45" i="18"/>
  <c r="Q42" i="18"/>
  <c r="Q41" i="18"/>
  <c r="Q40" i="18"/>
  <c r="Q39" i="18"/>
  <c r="Q38" i="18"/>
  <c r="Q37" i="18"/>
  <c r="Q36" i="18"/>
  <c r="Q35" i="18"/>
  <c r="Q34" i="18"/>
  <c r="Q33" i="18"/>
  <c r="Q32" i="18"/>
  <c r="Q31" i="18"/>
  <c r="Q30" i="18"/>
  <c r="Q29" i="18"/>
  <c r="Q26" i="18"/>
  <c r="Q25" i="18"/>
  <c r="Q23" i="18"/>
  <c r="Q22" i="18"/>
  <c r="Q21" i="18"/>
  <c r="Q20" i="18"/>
  <c r="Q18" i="18"/>
  <c r="Q17" i="18"/>
  <c r="Q16" i="18"/>
  <c r="Q15" i="18"/>
  <c r="Q14" i="18"/>
  <c r="Q13" i="18"/>
  <c r="Q12" i="18"/>
  <c r="Q11" i="18"/>
  <c r="Q10" i="18"/>
  <c r="Q9" i="18"/>
  <c r="Q8" i="18"/>
  <c r="Q7" i="18"/>
  <c r="Q6" i="18"/>
  <c r="Q5" i="18"/>
  <c r="Q4" i="18"/>
  <c r="Q3" i="18"/>
  <c r="Q374" i="18"/>
  <c r="E7" i="18"/>
  <c r="E6" i="18"/>
  <c r="E5" i="18"/>
  <c r="E4" i="18"/>
  <c r="N373" i="18"/>
  <c r="N372" i="18"/>
  <c r="N371" i="18"/>
  <c r="N370" i="18"/>
  <c r="N369" i="18"/>
  <c r="N368" i="18"/>
  <c r="N367" i="18"/>
  <c r="N366" i="18"/>
  <c r="N365" i="18"/>
  <c r="N364" i="18"/>
  <c r="N363" i="18"/>
  <c r="N362" i="18"/>
  <c r="N361" i="18"/>
  <c r="N360" i="18"/>
  <c r="N359" i="18"/>
  <c r="N358" i="18"/>
  <c r="N357" i="18"/>
  <c r="N356" i="18"/>
  <c r="N355" i="18"/>
  <c r="N354" i="18"/>
  <c r="N353" i="18"/>
  <c r="N352" i="18"/>
  <c r="N351" i="18"/>
  <c r="N350" i="18"/>
  <c r="N349" i="18"/>
  <c r="N348" i="18"/>
  <c r="N347" i="18"/>
  <c r="N346" i="18"/>
  <c r="N345" i="18"/>
  <c r="N344" i="18"/>
  <c r="N343" i="18"/>
  <c r="N342" i="18"/>
  <c r="N341" i="18"/>
  <c r="N340" i="18"/>
  <c r="N339" i="18"/>
  <c r="N338" i="18"/>
  <c r="N337" i="18"/>
  <c r="N336" i="18"/>
  <c r="N335" i="18"/>
  <c r="N334" i="18"/>
  <c r="N333" i="18"/>
  <c r="N332" i="18"/>
  <c r="N331" i="18"/>
  <c r="N330" i="18"/>
  <c r="N329" i="18"/>
  <c r="N328" i="18"/>
  <c r="N327" i="18"/>
  <c r="N326" i="18"/>
  <c r="N325" i="18"/>
  <c r="N324" i="18"/>
  <c r="N323" i="18"/>
  <c r="N322" i="18"/>
  <c r="N321" i="18"/>
  <c r="N320" i="18"/>
  <c r="N319" i="18"/>
  <c r="N318" i="18"/>
  <c r="N317" i="18"/>
  <c r="N316" i="18"/>
  <c r="N315" i="18"/>
  <c r="N314" i="18"/>
  <c r="N313" i="18"/>
  <c r="N312" i="18"/>
  <c r="N311" i="18"/>
  <c r="N310" i="18"/>
  <c r="N309" i="18"/>
  <c r="N308" i="18"/>
  <c r="N307" i="18"/>
  <c r="N306" i="18"/>
  <c r="N305" i="18"/>
  <c r="N304" i="18"/>
  <c r="N303" i="18"/>
  <c r="N302" i="18"/>
  <c r="N301" i="18"/>
  <c r="N300" i="18"/>
  <c r="N299" i="18"/>
  <c r="N298" i="18"/>
  <c r="N297" i="18"/>
  <c r="N296" i="18"/>
  <c r="N295" i="18"/>
  <c r="N294" i="18"/>
  <c r="N293" i="18"/>
  <c r="N292" i="18"/>
  <c r="N291" i="18"/>
  <c r="N290" i="18"/>
  <c r="N289" i="18"/>
  <c r="N288" i="18"/>
  <c r="N287" i="18"/>
  <c r="N286" i="18"/>
  <c r="N285" i="18"/>
  <c r="N284" i="18"/>
  <c r="N283" i="18"/>
  <c r="N282" i="18"/>
  <c r="N281" i="18"/>
  <c r="N280" i="18"/>
  <c r="N279" i="18"/>
  <c r="N278" i="18"/>
  <c r="N277" i="18"/>
  <c r="N276" i="18"/>
  <c r="N275" i="18"/>
  <c r="N274" i="18"/>
  <c r="N273" i="18"/>
  <c r="N272" i="18"/>
  <c r="N271" i="18"/>
  <c r="N270" i="18"/>
  <c r="N269" i="18"/>
  <c r="N268" i="18"/>
  <c r="N267" i="18"/>
  <c r="N266" i="18"/>
  <c r="N265" i="18"/>
  <c r="N264" i="18"/>
  <c r="N263" i="18"/>
  <c r="N262" i="18"/>
  <c r="N261" i="18"/>
  <c r="N260" i="18"/>
  <c r="N259" i="18"/>
  <c r="N258" i="18"/>
  <c r="N257" i="18"/>
  <c r="N256" i="18"/>
  <c r="N255" i="18"/>
  <c r="N254" i="18"/>
  <c r="N253" i="18"/>
  <c r="N252" i="18"/>
  <c r="N251" i="18"/>
  <c r="N250" i="18"/>
  <c r="N249" i="18"/>
  <c r="N248" i="18"/>
  <c r="N247" i="18"/>
  <c r="N246" i="18"/>
  <c r="N245" i="18"/>
  <c r="N244" i="18"/>
  <c r="N243" i="18"/>
  <c r="N242" i="18"/>
  <c r="N241" i="18"/>
  <c r="N240" i="18"/>
  <c r="N239" i="18"/>
  <c r="N238" i="18"/>
  <c r="N237" i="18"/>
  <c r="N236" i="18"/>
  <c r="N235" i="18"/>
  <c r="N234" i="18"/>
  <c r="N233" i="18"/>
  <c r="N232" i="18"/>
  <c r="N231" i="18"/>
  <c r="N230" i="18"/>
  <c r="N229" i="18"/>
  <c r="N228" i="18"/>
  <c r="N227" i="18"/>
  <c r="N226" i="18"/>
  <c r="N225" i="18"/>
  <c r="N224" i="18"/>
  <c r="N223" i="18"/>
  <c r="N222" i="18"/>
  <c r="N221" i="18"/>
  <c r="N220" i="18"/>
  <c r="N219" i="18"/>
  <c r="N218" i="18"/>
  <c r="N217" i="18"/>
  <c r="N216" i="18"/>
  <c r="N215" i="18"/>
  <c r="N214" i="18"/>
  <c r="N213" i="18"/>
  <c r="N212" i="18"/>
  <c r="N211" i="18"/>
  <c r="N210" i="18"/>
  <c r="N209" i="18"/>
  <c r="N208" i="18"/>
  <c r="N207" i="18"/>
  <c r="N206" i="18"/>
  <c r="N205" i="18"/>
  <c r="N204" i="18"/>
  <c r="N203" i="18"/>
  <c r="N202" i="18"/>
  <c r="N201" i="18"/>
  <c r="N200" i="18"/>
  <c r="N199" i="18"/>
  <c r="N198" i="18"/>
  <c r="N197" i="18"/>
  <c r="N196" i="18"/>
  <c r="N195" i="18"/>
  <c r="N194" i="18"/>
  <c r="N193" i="18"/>
  <c r="N192" i="18"/>
  <c r="N191" i="18"/>
  <c r="N190" i="18"/>
  <c r="N189" i="18"/>
  <c r="N188" i="18"/>
  <c r="N187" i="18"/>
  <c r="N186" i="18"/>
  <c r="N185" i="18"/>
  <c r="N184" i="18"/>
  <c r="N183" i="18"/>
  <c r="N182" i="18"/>
  <c r="N181" i="18"/>
  <c r="N180" i="18"/>
  <c r="N179" i="18"/>
  <c r="N178" i="18"/>
  <c r="N177" i="18"/>
  <c r="N176" i="18"/>
  <c r="N175" i="18"/>
  <c r="N174" i="18"/>
  <c r="N173" i="18"/>
  <c r="N172" i="18"/>
  <c r="N171" i="18"/>
  <c r="N170" i="18"/>
  <c r="N169" i="18"/>
  <c r="N168" i="18"/>
  <c r="N167" i="18"/>
  <c r="N166" i="18"/>
  <c r="N165" i="18"/>
  <c r="N164" i="18"/>
  <c r="N163" i="18"/>
  <c r="N162" i="18"/>
  <c r="N161" i="18"/>
  <c r="N160" i="18"/>
  <c r="N159" i="18"/>
  <c r="N158" i="18"/>
  <c r="N157" i="18"/>
  <c r="N156" i="18"/>
  <c r="N155" i="18"/>
  <c r="N154" i="18"/>
  <c r="N153" i="18"/>
  <c r="N152" i="18"/>
  <c r="N151" i="18"/>
  <c r="N150" i="18"/>
  <c r="N149" i="18"/>
  <c r="N148" i="18"/>
  <c r="N147" i="18"/>
  <c r="N146" i="18"/>
  <c r="N145" i="18"/>
  <c r="N144" i="18"/>
  <c r="N143" i="18"/>
  <c r="N142" i="18"/>
  <c r="N141" i="18"/>
  <c r="N140" i="18"/>
  <c r="N139" i="18"/>
  <c r="N138" i="18"/>
  <c r="N137" i="18"/>
  <c r="N136" i="18"/>
  <c r="N135" i="18"/>
  <c r="N134" i="18"/>
  <c r="N133" i="18"/>
  <c r="N132" i="18"/>
  <c r="N131" i="18"/>
  <c r="N130" i="18"/>
  <c r="N129" i="18"/>
  <c r="N128" i="18"/>
  <c r="N127" i="18"/>
  <c r="N126" i="18"/>
  <c r="N125" i="18"/>
  <c r="N124" i="18"/>
  <c r="N123" i="18"/>
  <c r="N122" i="18"/>
  <c r="N121" i="18"/>
  <c r="N120" i="18"/>
  <c r="N119" i="18"/>
  <c r="N118" i="18"/>
  <c r="N117" i="18"/>
  <c r="N116" i="18"/>
  <c r="N115" i="18"/>
  <c r="N114" i="18"/>
  <c r="N113" i="18"/>
  <c r="N112" i="18"/>
  <c r="N111" i="18"/>
  <c r="N110" i="18"/>
  <c r="N109" i="18"/>
  <c r="N108" i="18"/>
  <c r="N107" i="18"/>
  <c r="N106" i="18"/>
  <c r="N105" i="18"/>
  <c r="N104" i="18"/>
  <c r="N103" i="18"/>
  <c r="N102" i="18"/>
  <c r="N101" i="18"/>
  <c r="N100" i="18"/>
  <c r="N99" i="18"/>
  <c r="N98" i="18"/>
  <c r="N97" i="18"/>
  <c r="N96" i="18"/>
  <c r="N95" i="18"/>
  <c r="N94" i="18"/>
  <c r="N93" i="18"/>
  <c r="N92" i="18"/>
  <c r="N91" i="18"/>
  <c r="N90" i="18"/>
  <c r="N89" i="18"/>
  <c r="N88" i="18"/>
  <c r="N87" i="18"/>
  <c r="N86" i="18"/>
  <c r="N85" i="18"/>
  <c r="N84" i="18"/>
  <c r="N83" i="18"/>
  <c r="N82" i="18"/>
  <c r="N81" i="18"/>
  <c r="N80" i="18"/>
  <c r="N79" i="18"/>
  <c r="N78" i="18"/>
  <c r="N77" i="18"/>
  <c r="N76" i="18"/>
  <c r="N75" i="18"/>
  <c r="N74" i="18"/>
  <c r="N73" i="18"/>
  <c r="N72" i="18"/>
  <c r="N71" i="18"/>
  <c r="N70" i="18"/>
  <c r="N69" i="18"/>
  <c r="N68" i="18"/>
  <c r="N67" i="18"/>
  <c r="N66" i="18"/>
  <c r="N65" i="18"/>
  <c r="N64" i="18"/>
  <c r="N63" i="18"/>
  <c r="N62" i="18"/>
  <c r="N61" i="18"/>
  <c r="N60" i="18"/>
  <c r="N59" i="18"/>
  <c r="N58" i="18"/>
  <c r="N57" i="18"/>
  <c r="N56" i="18"/>
  <c r="N55" i="18"/>
  <c r="N54" i="18"/>
  <c r="N53" i="18"/>
  <c r="N52" i="18"/>
  <c r="N51" i="18"/>
  <c r="N50" i="18"/>
  <c r="N49" i="18"/>
  <c r="N48" i="18"/>
  <c r="N47" i="18"/>
  <c r="N46" i="18"/>
  <c r="N45" i="18"/>
  <c r="N44" i="18"/>
  <c r="N43" i="18"/>
  <c r="N42" i="18"/>
  <c r="N41" i="18"/>
  <c r="N40" i="18"/>
  <c r="N39" i="18"/>
  <c r="N38" i="18"/>
  <c r="N37" i="18"/>
  <c r="N36" i="18"/>
  <c r="N35" i="18"/>
  <c r="N34" i="18"/>
  <c r="N33" i="18"/>
  <c r="N32" i="18"/>
  <c r="N31" i="18"/>
  <c r="N30" i="18"/>
  <c r="N29" i="18"/>
  <c r="N28" i="18"/>
  <c r="N27" i="18"/>
  <c r="N26" i="18"/>
  <c r="N25" i="18"/>
  <c r="N24" i="18"/>
  <c r="N23" i="18"/>
  <c r="N22" i="18"/>
  <c r="N21" i="18"/>
  <c r="N20" i="18"/>
  <c r="N19" i="18"/>
  <c r="N18" i="18"/>
  <c r="N17" i="18"/>
  <c r="N16" i="18"/>
  <c r="N15" i="18"/>
  <c r="N14" i="18"/>
  <c r="N13" i="18"/>
  <c r="N12" i="18"/>
  <c r="N11" i="18"/>
  <c r="N10" i="18"/>
  <c r="N9" i="18"/>
  <c r="N8" i="18"/>
  <c r="N7" i="18"/>
  <c r="N6" i="18"/>
  <c r="N5" i="18"/>
  <c r="N4" i="18"/>
  <c r="N3" i="18"/>
  <c r="N374" i="18"/>
  <c r="C57" i="20"/>
  <c r="C58" i="20" s="1"/>
  <c r="C59" i="20" s="1"/>
  <c r="C60" i="20" s="1"/>
  <c r="C61" i="20" s="1"/>
  <c r="C62" i="20" s="1"/>
  <c r="C63" i="20" s="1"/>
  <c r="C64" i="20" s="1"/>
  <c r="C65" i="20" s="1"/>
  <c r="C66" i="20" s="1"/>
  <c r="C67" i="20" s="1"/>
  <c r="C68" i="20" s="1"/>
  <c r="C69" i="20" s="1"/>
  <c r="C70" i="20" s="1"/>
  <c r="C71" i="20" s="1"/>
  <c r="C72" i="20" s="1"/>
  <c r="C73" i="20" s="1"/>
  <c r="C74" i="20" s="1"/>
  <c r="C75" i="20" s="1"/>
  <c r="C76" i="20" s="1"/>
  <c r="C77" i="20" s="1"/>
  <c r="C78" i="20" s="1"/>
  <c r="C79" i="20" s="1"/>
  <c r="C80" i="20" s="1"/>
  <c r="C5" i="20"/>
  <c r="C6" i="20" s="1"/>
  <c r="C7" i="20" s="1"/>
  <c r="C8" i="20" s="1"/>
  <c r="C9" i="20" s="1"/>
  <c r="C10" i="20" s="1"/>
  <c r="C11" i="20" s="1"/>
  <c r="C12" i="20" s="1"/>
  <c r="C13" i="20" s="1"/>
  <c r="C14" i="20" s="1"/>
  <c r="C15" i="20" s="1"/>
  <c r="C16" i="20" s="1"/>
  <c r="C17" i="20" s="1"/>
  <c r="C18" i="20" s="1"/>
  <c r="C19" i="20" s="1"/>
  <c r="C20" i="20" s="1"/>
  <c r="C21" i="20" s="1"/>
  <c r="C22" i="20" s="1"/>
  <c r="C23" i="20" s="1"/>
  <c r="C24" i="20" s="1"/>
  <c r="C25" i="20" s="1"/>
  <c r="C26" i="20" s="1"/>
  <c r="C27" i="20" s="1"/>
  <c r="C28" i="20" s="1"/>
  <c r="C29" i="20" s="1"/>
  <c r="C30" i="20" s="1"/>
  <c r="C31" i="20" s="1"/>
  <c r="C32" i="20" s="1"/>
  <c r="C33" i="20" s="1"/>
  <c r="C34" i="20" s="1"/>
  <c r="C35" i="20" s="1"/>
  <c r="C36" i="20" s="1"/>
  <c r="C37" i="20" s="1"/>
  <c r="C38" i="20" s="1"/>
  <c r="C39" i="20" s="1"/>
  <c r="C40" i="20" s="1"/>
  <c r="C41" i="20" s="1"/>
  <c r="C42" i="20" s="1"/>
  <c r="C43" i="20" s="1"/>
  <c r="C44" i="20" s="1"/>
  <c r="C45" i="20" s="1"/>
  <c r="C46" i="20" s="1"/>
  <c r="C47" i="20" s="1"/>
  <c r="C48" i="20" s="1"/>
  <c r="C49" i="20" s="1"/>
  <c r="C50" i="20" s="1"/>
  <c r="J7" i="20"/>
  <c r="G70" i="17"/>
  <c r="R5" i="1"/>
  <c r="P3" i="1"/>
  <c r="G241" i="21" l="1"/>
  <c r="G63" i="21"/>
  <c r="G34" i="21"/>
  <c r="G103" i="21"/>
  <c r="G95" i="21"/>
  <c r="G183" i="21"/>
  <c r="G160" i="21"/>
  <c r="G163" i="21"/>
  <c r="G69" i="21"/>
  <c r="G55" i="21"/>
  <c r="G56" i="21"/>
  <c r="F56" i="21"/>
  <c r="G191" i="21"/>
  <c r="G125" i="21"/>
  <c r="G21" i="21"/>
  <c r="G33" i="21"/>
  <c r="G110" i="21"/>
  <c r="G101" i="21"/>
  <c r="G8" i="21"/>
  <c r="G205" i="21"/>
  <c r="G203" i="21"/>
  <c r="G122" i="21"/>
  <c r="G127" i="21"/>
  <c r="G214" i="21"/>
  <c r="G181" i="21"/>
  <c r="G115" i="21"/>
  <c r="G268" i="21"/>
  <c r="G58" i="21"/>
  <c r="G266" i="21"/>
  <c r="G290" i="21"/>
  <c r="G195" i="21"/>
  <c r="G40" i="21"/>
  <c r="G180" i="21"/>
  <c r="G211" i="21"/>
  <c r="G45" i="21"/>
  <c r="G134" i="21"/>
  <c r="G50" i="21"/>
  <c r="G206" i="21"/>
  <c r="G187" i="21"/>
  <c r="G252" i="21"/>
  <c r="G231" i="21"/>
  <c r="G194" i="21"/>
  <c r="G275" i="21"/>
  <c r="G168" i="21"/>
  <c r="G74" i="21"/>
  <c r="F39" i="21"/>
  <c r="G291" i="21"/>
  <c r="G288" i="21"/>
  <c r="G59" i="21"/>
  <c r="G30" i="21"/>
  <c r="G112" i="21"/>
  <c r="G189" i="21"/>
  <c r="G301" i="21"/>
  <c r="G116" i="21"/>
  <c r="G81" i="21"/>
  <c r="G76" i="21"/>
  <c r="F278" i="21"/>
  <c r="G19" i="21"/>
  <c r="G31" i="21"/>
  <c r="H3" i="21"/>
  <c r="H82" i="21" s="1"/>
  <c r="F299" i="21"/>
  <c r="F226" i="21"/>
  <c r="F4" i="21"/>
  <c r="F298" i="21"/>
  <c r="F98" i="21"/>
  <c r="F91" i="21"/>
  <c r="F230" i="21"/>
  <c r="F222" i="21"/>
  <c r="F7" i="21"/>
  <c r="F70" i="21"/>
  <c r="F200" i="21"/>
  <c r="F184" i="21"/>
  <c r="F149" i="21"/>
  <c r="F245" i="21"/>
  <c r="F165" i="21"/>
  <c r="F228" i="21"/>
  <c r="F90" i="21"/>
  <c r="F212" i="21"/>
  <c r="F136" i="21"/>
  <c r="F196" i="21"/>
  <c r="F106" i="21"/>
  <c r="F15" i="21"/>
  <c r="F256" i="21"/>
  <c r="F5" i="21"/>
  <c r="F170" i="21"/>
  <c r="F244" i="21"/>
  <c r="F197" i="21"/>
  <c r="F283" i="21"/>
  <c r="F121" i="21"/>
  <c r="F238" i="21"/>
  <c r="F42" i="21"/>
  <c r="F29" i="21"/>
  <c r="F43" i="21"/>
  <c r="F253" i="21"/>
  <c r="F243" i="21"/>
  <c r="F210" i="21"/>
  <c r="F182" i="21"/>
  <c r="F6" i="21"/>
  <c r="F223" i="21"/>
  <c r="F17" i="21"/>
  <c r="F25" i="21"/>
  <c r="F199" i="21"/>
  <c r="F213" i="21"/>
  <c r="F176" i="21"/>
  <c r="F147" i="21"/>
  <c r="F274" i="21"/>
  <c r="F166" i="21"/>
  <c r="F32" i="21"/>
  <c r="F302" i="21"/>
  <c r="F219" i="21"/>
  <c r="F232" i="21"/>
  <c r="F61" i="21"/>
  <c r="F145" i="21"/>
  <c r="F186" i="21"/>
  <c r="F154" i="21"/>
  <c r="F78" i="21"/>
  <c r="F207" i="21"/>
  <c r="F46" i="21"/>
  <c r="F259" i="21"/>
  <c r="F169" i="21"/>
  <c r="F67" i="21"/>
  <c r="F139" i="21"/>
  <c r="F233" i="21"/>
  <c r="F54" i="21"/>
  <c r="F276" i="21"/>
  <c r="F144" i="21"/>
  <c r="F62" i="21"/>
  <c r="F193" i="21"/>
  <c r="F286" i="21"/>
  <c r="F36" i="21"/>
  <c r="F240" i="21"/>
  <c r="F282" i="21"/>
  <c r="F227" i="21"/>
  <c r="F148" i="21"/>
  <c r="F68" i="21"/>
  <c r="F109" i="21"/>
  <c r="F80" i="21"/>
  <c r="F297" i="21"/>
  <c r="F295" i="21"/>
  <c r="F157" i="21"/>
  <c r="F216" i="21"/>
  <c r="F18" i="21"/>
  <c r="F239" i="21"/>
  <c r="F108" i="21"/>
  <c r="F198" i="21"/>
  <c r="F13" i="21"/>
  <c r="F143" i="21"/>
  <c r="F75" i="21"/>
  <c r="G297" i="21"/>
  <c r="G282" i="21"/>
  <c r="G227" i="21"/>
  <c r="G226" i="21"/>
  <c r="G221" i="21"/>
  <c r="G144" i="21"/>
  <c r="G98" i="21"/>
  <c r="G75" i="21"/>
  <c r="G42" i="21"/>
  <c r="G4" i="21"/>
  <c r="G256" i="21"/>
  <c r="G253" i="21"/>
  <c r="G245" i="21"/>
  <c r="G233" i="21"/>
  <c r="G223" i="21"/>
  <c r="G216" i="21"/>
  <c r="G207" i="21"/>
  <c r="G184" i="21"/>
  <c r="G170" i="21"/>
  <c r="G109" i="21"/>
  <c r="G32" i="21"/>
  <c r="G15" i="21"/>
  <c r="G276" i="21"/>
  <c r="G243" i="21"/>
  <c r="G106" i="21"/>
  <c r="G68" i="21"/>
  <c r="G62" i="21"/>
  <c r="G54" i="21"/>
  <c r="G18" i="21"/>
  <c r="G298" i="21"/>
  <c r="G283" i="21"/>
  <c r="G278" i="21"/>
  <c r="G239" i="21"/>
  <c r="G228" i="21"/>
  <c r="G222" i="21"/>
  <c r="G212" i="21"/>
  <c r="G193" i="21"/>
  <c r="G186" i="21"/>
  <c r="G171" i="21"/>
  <c r="G149" i="21"/>
  <c r="G136" i="21"/>
  <c r="G121" i="21"/>
  <c r="G91" i="21"/>
  <c r="G39" i="21"/>
  <c r="G36" i="21"/>
  <c r="G17" i="21"/>
  <c r="G238" i="21"/>
  <c r="G215" i="21"/>
  <c r="G200" i="21"/>
  <c r="G182" i="21"/>
  <c r="G169" i="21"/>
  <c r="G90" i="21"/>
  <c r="G80" i="21"/>
  <c r="G61" i="21"/>
  <c r="G46" i="21"/>
  <c r="G43" i="21"/>
  <c r="G29" i="21"/>
  <c r="G7" i="21"/>
  <c r="G154" i="21"/>
  <c r="G302" i="21"/>
  <c r="G286" i="21"/>
  <c r="G232" i="21"/>
  <c r="G230" i="21"/>
  <c r="G219" i="21"/>
  <c r="G197" i="21"/>
  <c r="G196" i="21"/>
  <c r="G165" i="21"/>
  <c r="G78" i="21"/>
  <c r="G244" i="21"/>
  <c r="G213" i="21"/>
  <c r="G210" i="21"/>
  <c r="G157" i="21"/>
  <c r="G108" i="21"/>
  <c r="G13" i="21"/>
  <c r="G6" i="21"/>
  <c r="G5" i="21"/>
  <c r="G166" i="21"/>
  <c r="G299" i="21"/>
  <c r="G295" i="21"/>
  <c r="G274" i="21"/>
  <c r="G259" i="21"/>
  <c r="G199" i="21"/>
  <c r="G198" i="21"/>
  <c r="G143" i="21"/>
  <c r="G139" i="21"/>
  <c r="G70" i="21"/>
  <c r="G67" i="21"/>
  <c r="G240" i="21"/>
  <c r="G25" i="21"/>
  <c r="G176" i="21"/>
  <c r="G148" i="21"/>
  <c r="G147" i="21"/>
  <c r="G145" i="21"/>
  <c r="F20" i="21"/>
  <c r="G20" i="21"/>
  <c r="G304" i="21"/>
  <c r="F304" i="21"/>
  <c r="F172" i="21"/>
  <c r="G172" i="21"/>
  <c r="F188" i="21"/>
  <c r="G188" i="21"/>
  <c r="G14" i="21"/>
  <c r="F14" i="21"/>
  <c r="F305" i="21"/>
  <c r="G305" i="21"/>
  <c r="F114" i="21"/>
  <c r="G114" i="21"/>
  <c r="G51" i="21"/>
  <c r="F51" i="21"/>
  <c r="F167" i="21"/>
  <c r="G167" i="21"/>
  <c r="F270" i="21"/>
  <c r="G270" i="21"/>
  <c r="F129" i="21"/>
  <c r="G129" i="21"/>
  <c r="F229" i="21"/>
  <c r="G229" i="21"/>
  <c r="G105" i="21"/>
  <c r="F105" i="21"/>
  <c r="G152" i="21"/>
  <c r="F152" i="21"/>
  <c r="G185" i="21"/>
  <c r="F185" i="21"/>
  <c r="G293" i="21"/>
  <c r="F293" i="21"/>
  <c r="G89" i="21"/>
  <c r="F89" i="21"/>
  <c r="G280" i="21"/>
  <c r="F280" i="21"/>
  <c r="F35" i="21"/>
  <c r="G35" i="21"/>
  <c r="F44" i="21"/>
  <c r="G44" i="21"/>
  <c r="F271" i="21"/>
  <c r="G271" i="21"/>
  <c r="F151" i="21"/>
  <c r="G151" i="21"/>
  <c r="G285" i="21"/>
  <c r="F285" i="21"/>
  <c r="G142" i="21"/>
  <c r="F142" i="21"/>
  <c r="G218" i="21"/>
  <c r="F218" i="21"/>
  <c r="G130" i="21"/>
  <c r="F130" i="21"/>
  <c r="F242" i="21"/>
  <c r="G242" i="21"/>
  <c r="F235" i="21"/>
  <c r="G235" i="21"/>
  <c r="G113" i="21"/>
  <c r="F113" i="21"/>
  <c r="G248" i="21"/>
  <c r="F248" i="21"/>
  <c r="G246" i="21"/>
  <c r="F246" i="21"/>
  <c r="G294" i="21"/>
  <c r="F294" i="21"/>
  <c r="F120" i="21"/>
  <c r="G120" i="21"/>
  <c r="F86" i="21"/>
  <c r="G86" i="21"/>
  <c r="F38" i="21"/>
  <c r="G38" i="21"/>
  <c r="G111" i="21"/>
  <c r="F111" i="21"/>
  <c r="F26" i="21"/>
  <c r="G26" i="21"/>
  <c r="G119" i="21"/>
  <c r="F119" i="21"/>
  <c r="G237" i="21"/>
  <c r="F237" i="21"/>
  <c r="F107" i="21"/>
  <c r="G107" i="21"/>
  <c r="G124" i="21"/>
  <c r="F124" i="21"/>
  <c r="G263" i="21"/>
  <c r="F263" i="21"/>
  <c r="G217" i="21"/>
  <c r="F217" i="21"/>
  <c r="F155" i="21"/>
  <c r="G155" i="21"/>
  <c r="G104" i="21"/>
  <c r="F104" i="21"/>
  <c r="G23" i="21"/>
  <c r="F23" i="21"/>
  <c r="F236" i="21"/>
  <c r="G236" i="21"/>
  <c r="G123" i="21"/>
  <c r="F123" i="21"/>
  <c r="G131" i="21"/>
  <c r="F131" i="21"/>
  <c r="G79" i="21"/>
  <c r="F79" i="21"/>
  <c r="G28" i="21"/>
  <c r="F28" i="21"/>
  <c r="G100" i="21"/>
  <c r="F100" i="21"/>
  <c r="F47" i="21"/>
  <c r="G47" i="21"/>
  <c r="G208" i="21"/>
  <c r="F208" i="21"/>
  <c r="G156" i="21"/>
  <c r="F156" i="21"/>
  <c r="F102" i="21"/>
  <c r="G102" i="21"/>
  <c r="F66" i="21"/>
  <c r="G66" i="21"/>
  <c r="F24" i="21"/>
  <c r="G24" i="21"/>
  <c r="G179" i="21"/>
  <c r="F179" i="21"/>
  <c r="G141" i="21"/>
  <c r="F141" i="21"/>
  <c r="F126" i="21"/>
  <c r="G126" i="21"/>
  <c r="F57" i="21"/>
  <c r="G57" i="21"/>
  <c r="F175" i="21"/>
  <c r="G175" i="21"/>
  <c r="F273" i="21"/>
  <c r="G273" i="21"/>
  <c r="G48" i="21"/>
  <c r="F48" i="21"/>
  <c r="F37" i="21"/>
  <c r="G37" i="21"/>
  <c r="G83" i="21"/>
  <c r="F83" i="21"/>
  <c r="F267" i="21"/>
  <c r="G267" i="21"/>
  <c r="G158" i="21"/>
  <c r="F158" i="21"/>
  <c r="G251" i="21"/>
  <c r="F251" i="21"/>
  <c r="G220" i="21"/>
  <c r="F220" i="21"/>
  <c r="F289" i="21"/>
  <c r="G289" i="21"/>
  <c r="G261" i="21"/>
  <c r="F261" i="21"/>
  <c r="F209" i="21"/>
  <c r="G209" i="21"/>
  <c r="G247" i="21"/>
  <c r="F247" i="21"/>
  <c r="F10" i="21"/>
  <c r="G10" i="21"/>
  <c r="F177" i="21"/>
  <c r="G177" i="21"/>
  <c r="F88" i="21"/>
  <c r="G88" i="21"/>
  <c r="F173" i="21"/>
  <c r="G173" i="21"/>
  <c r="G224" i="21"/>
  <c r="F224" i="21"/>
  <c r="F204" i="21"/>
  <c r="G204" i="21"/>
  <c r="G303" i="21"/>
  <c r="F303" i="21"/>
  <c r="F64" i="21"/>
  <c r="G64" i="21"/>
  <c r="F190" i="21"/>
  <c r="G190" i="21"/>
  <c r="F264" i="21"/>
  <c r="G264" i="21"/>
  <c r="F277" i="21"/>
  <c r="G277" i="21"/>
  <c r="F265" i="21"/>
  <c r="G265" i="21"/>
  <c r="F11" i="21"/>
  <c r="G11" i="21"/>
  <c r="G269" i="21"/>
  <c r="F269" i="21"/>
  <c r="F150" i="21"/>
  <c r="G150" i="21"/>
  <c r="G272" i="21"/>
  <c r="F272" i="21"/>
  <c r="F174" i="21"/>
  <c r="G174" i="21"/>
  <c r="G281" i="21"/>
  <c r="F281" i="21"/>
  <c r="F77" i="21"/>
  <c r="G77" i="21"/>
  <c r="G201" i="21"/>
  <c r="F201" i="21"/>
  <c r="F292" i="21"/>
  <c r="G292" i="21"/>
  <c r="F260" i="21"/>
  <c r="G260" i="21"/>
  <c r="G296" i="21"/>
  <c r="F296" i="21"/>
  <c r="G16" i="21"/>
  <c r="F16" i="21"/>
  <c r="G279" i="21"/>
  <c r="F279" i="21"/>
  <c r="F97" i="21"/>
  <c r="G97" i="21"/>
  <c r="F162" i="21"/>
  <c r="G162" i="21"/>
  <c r="G192" i="21"/>
  <c r="F192" i="21"/>
  <c r="G258" i="21"/>
  <c r="F258" i="21"/>
  <c r="F84" i="21"/>
  <c r="G84" i="21"/>
  <c r="F87" i="21"/>
  <c r="G87" i="21"/>
  <c r="G94" i="21"/>
  <c r="F94" i="21"/>
  <c r="F93" i="21"/>
  <c r="G93" i="21"/>
  <c r="F49" i="21"/>
  <c r="G49" i="21"/>
  <c r="F9" i="21"/>
  <c r="G9" i="21"/>
  <c r="F60" i="21"/>
  <c r="G60" i="21"/>
  <c r="F234" i="21"/>
  <c r="G234" i="21"/>
  <c r="G117" i="21"/>
  <c r="F117" i="21"/>
  <c r="F133" i="21"/>
  <c r="G133" i="21"/>
  <c r="F73" i="21"/>
  <c r="G73" i="21"/>
  <c r="G159" i="21"/>
  <c r="F159" i="21"/>
  <c r="G202" i="21"/>
  <c r="F202" i="21"/>
  <c r="F254" i="21"/>
  <c r="G254" i="21"/>
  <c r="G22" i="21"/>
  <c r="F22" i="21"/>
  <c r="F71" i="21"/>
  <c r="G71" i="21"/>
  <c r="G153" i="21"/>
  <c r="F153" i="21"/>
  <c r="F307" i="21"/>
  <c r="G307" i="21"/>
  <c r="F287" i="21"/>
  <c r="G287" i="21"/>
  <c r="F65" i="21"/>
  <c r="G65" i="21"/>
  <c r="G178" i="21"/>
  <c r="F178" i="21"/>
  <c r="F262" i="21"/>
  <c r="G262" i="21"/>
  <c r="G72" i="21"/>
  <c r="F72" i="21"/>
  <c r="F85" i="21"/>
  <c r="G85" i="21"/>
  <c r="F161" i="21"/>
  <c r="G161" i="21"/>
  <c r="G284" i="21"/>
  <c r="F284" i="21"/>
  <c r="F99" i="21"/>
  <c r="G99" i="21"/>
  <c r="G250" i="21"/>
  <c r="F250" i="21"/>
  <c r="F225" i="21"/>
  <c r="G225" i="21"/>
  <c r="G128" i="21"/>
  <c r="F128" i="21"/>
  <c r="G52" i="21"/>
  <c r="F52" i="21"/>
  <c r="F118" i="21"/>
  <c r="G118" i="21"/>
  <c r="F255" i="21"/>
  <c r="G255" i="21"/>
  <c r="G12" i="21"/>
  <c r="F12" i="21"/>
  <c r="F92" i="21"/>
  <c r="G92" i="21"/>
  <c r="F53" i="21"/>
  <c r="G53" i="21"/>
  <c r="F257" i="21"/>
  <c r="G257" i="21"/>
  <c r="G300" i="21"/>
  <c r="F300" i="21"/>
  <c r="G146" i="21"/>
  <c r="F146" i="21"/>
  <c r="G140" i="21"/>
  <c r="F140" i="21"/>
  <c r="F306" i="21"/>
  <c r="G306" i="21"/>
  <c r="G132" i="21"/>
  <c r="F132" i="21"/>
  <c r="F137" i="21"/>
  <c r="G137" i="21"/>
  <c r="V9" i="18"/>
  <c r="V8" i="18"/>
  <c r="V7" i="18"/>
  <c r="V6" i="18"/>
  <c r="V5" i="18"/>
  <c r="V4" i="18"/>
  <c r="V3" i="18"/>
  <c r="D3" i="18"/>
  <c r="C50" i="17"/>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71" i="17" s="1"/>
  <c r="C5" i="17"/>
  <c r="C6" i="17" s="1"/>
  <c r="C7" i="17" s="1"/>
  <c r="C8" i="17" s="1"/>
  <c r="C9" i="17" s="1"/>
  <c r="C10" i="17" s="1"/>
  <c r="C11" i="17" s="1"/>
  <c r="C12" i="17" s="1"/>
  <c r="C13" i="17" s="1"/>
  <c r="C14" i="17" s="1"/>
  <c r="C15" i="17" s="1"/>
  <c r="C16" i="17" s="1"/>
  <c r="C17" i="17" s="1"/>
  <c r="C18" i="17" s="1"/>
  <c r="C19" i="17" s="1"/>
  <c r="C20" i="17" s="1"/>
  <c r="C21" i="17" s="1"/>
  <c r="C22" i="17" s="1"/>
  <c r="C23" i="17" s="1"/>
  <c r="C24" i="17" s="1"/>
  <c r="C25" i="17" s="1"/>
  <c r="C26" i="17" s="1"/>
  <c r="C27" i="17" s="1"/>
  <c r="C28" i="17" s="1"/>
  <c r="C29" i="17" s="1"/>
  <c r="C30" i="17" s="1"/>
  <c r="C31" i="17" s="1"/>
  <c r="C32" i="17" s="1"/>
  <c r="C33" i="17" s="1"/>
  <c r="C34" i="17" s="1"/>
  <c r="C35" i="17" s="1"/>
  <c r="C36" i="17" s="1"/>
  <c r="C37" i="17" s="1"/>
  <c r="C38" i="17" s="1"/>
  <c r="C39" i="17" s="1"/>
  <c r="C40" i="17" s="1"/>
  <c r="C41" i="17" s="1"/>
  <c r="N5" i="17"/>
  <c r="N6" i="17" s="1"/>
  <c r="N7" i="17" s="1"/>
  <c r="N8" i="17" s="1"/>
  <c r="N11" i="17" s="1"/>
  <c r="N12" i="17" s="1"/>
  <c r="N19" i="17" s="1"/>
  <c r="N20" i="17" s="1"/>
  <c r="N21" i="17" s="1"/>
  <c r="N22" i="17" s="1"/>
  <c r="N23" i="17" s="1"/>
  <c r="N24" i="17" s="1"/>
  <c r="N25" i="17" s="1"/>
  <c r="N26" i="17" s="1"/>
  <c r="N27" i="17" s="1"/>
  <c r="N28" i="17" s="1"/>
  <c r="N29" i="17" s="1"/>
  <c r="N30" i="17" s="1"/>
  <c r="N31" i="17" s="1"/>
  <c r="N32" i="17" s="1"/>
  <c r="N33" i="17" s="1"/>
  <c r="N34" i="17" s="1"/>
  <c r="N35" i="17" s="1"/>
  <c r="N36" i="17" s="1"/>
  <c r="N37" i="17" s="1"/>
  <c r="N38" i="17" s="1"/>
  <c r="N39" i="17" s="1"/>
  <c r="N40" i="17" s="1"/>
  <c r="N41" i="17" s="1"/>
  <c r="N42" i="17" s="1"/>
  <c r="J7" i="17"/>
  <c r="H241" i="21" l="1"/>
  <c r="H63" i="21"/>
  <c r="H34" i="21"/>
  <c r="H103" i="21"/>
  <c r="H95" i="21"/>
  <c r="H183" i="21"/>
  <c r="H160" i="21"/>
  <c r="H163" i="21"/>
  <c r="H56" i="21"/>
  <c r="H55" i="21"/>
  <c r="H125" i="21"/>
  <c r="H69" i="21"/>
  <c r="H33" i="21"/>
  <c r="H191" i="21"/>
  <c r="H101" i="21"/>
  <c r="H21" i="21"/>
  <c r="H205" i="21"/>
  <c r="H110" i="21"/>
  <c r="H122" i="21"/>
  <c r="H8" i="21"/>
  <c r="H214" i="21"/>
  <c r="H203" i="21"/>
  <c r="H115" i="21"/>
  <c r="H127" i="21"/>
  <c r="H58" i="21"/>
  <c r="H181" i="21"/>
  <c r="H290" i="21"/>
  <c r="H268" i="21"/>
  <c r="H40" i="21"/>
  <c r="H266" i="21"/>
  <c r="H297" i="21"/>
  <c r="H211" i="21"/>
  <c r="H195" i="21"/>
  <c r="H134" i="21"/>
  <c r="H180" i="21"/>
  <c r="H145" i="21"/>
  <c r="H154" i="21"/>
  <c r="H45" i="21"/>
  <c r="H283" i="21"/>
  <c r="H109" i="21"/>
  <c r="H302" i="21"/>
  <c r="H182" i="21"/>
  <c r="H149" i="21"/>
  <c r="H210" i="21"/>
  <c r="H166" i="21"/>
  <c r="H243" i="21"/>
  <c r="H78" i="21"/>
  <c r="H32" i="21"/>
  <c r="H274" i="21"/>
  <c r="H253" i="21"/>
  <c r="H252" i="21"/>
  <c r="H206" i="21"/>
  <c r="H80" i="21"/>
  <c r="H207" i="21"/>
  <c r="H295" i="21"/>
  <c r="H186" i="21"/>
  <c r="H245" i="21"/>
  <c r="H7" i="21"/>
  <c r="H143" i="21"/>
  <c r="H29" i="21"/>
  <c r="H61" i="21"/>
  <c r="H148" i="21"/>
  <c r="H232" i="21"/>
  <c r="H42" i="21"/>
  <c r="H13" i="21"/>
  <c r="H68" i="21"/>
  <c r="H230" i="21"/>
  <c r="H238" i="21"/>
  <c r="H227" i="21"/>
  <c r="H46" i="21"/>
  <c r="H219" i="21"/>
  <c r="H298" i="21"/>
  <c r="H121" i="21"/>
  <c r="H200" i="21"/>
  <c r="H50" i="21"/>
  <c r="H91" i="21"/>
  <c r="H98" i="21"/>
  <c r="H165" i="21"/>
  <c r="H184" i="21"/>
  <c r="H4" i="21"/>
  <c r="H43" i="21"/>
  <c r="H187" i="21"/>
  <c r="H231" i="21"/>
  <c r="H222" i="21"/>
  <c r="H74" i="21"/>
  <c r="H194" i="21"/>
  <c r="H168" i="21"/>
  <c r="H70" i="21"/>
  <c r="H275" i="21"/>
  <c r="H288" i="21"/>
  <c r="H291" i="21"/>
  <c r="H59" i="21"/>
  <c r="H30" i="21"/>
  <c r="H228" i="21"/>
  <c r="H189" i="21"/>
  <c r="H5" i="21"/>
  <c r="H170" i="21"/>
  <c r="H244" i="21"/>
  <c r="H197" i="21"/>
  <c r="H213" i="21"/>
  <c r="H176" i="21"/>
  <c r="H62" i="21"/>
  <c r="H193" i="21"/>
  <c r="H286" i="21"/>
  <c r="H240" i="21"/>
  <c r="H282" i="21"/>
  <c r="H75" i="21"/>
  <c r="H112" i="21"/>
  <c r="H212" i="21"/>
  <c r="H196" i="21"/>
  <c r="H106" i="21"/>
  <c r="H15" i="21"/>
  <c r="H256" i="21"/>
  <c r="H6" i="21"/>
  <c r="H199" i="21"/>
  <c r="H259" i="21"/>
  <c r="H169" i="21"/>
  <c r="H67" i="21"/>
  <c r="H139" i="21"/>
  <c r="H233" i="21"/>
  <c r="H54" i="21"/>
  <c r="H276" i="21"/>
  <c r="H144" i="21"/>
  <c r="H116" i="21"/>
  <c r="H136" i="21"/>
  <c r="H223" i="21"/>
  <c r="H17" i="21"/>
  <c r="H25" i="21"/>
  <c r="H157" i="21"/>
  <c r="H216" i="21"/>
  <c r="H18" i="21"/>
  <c r="H239" i="21"/>
  <c r="H108" i="21"/>
  <c r="H198" i="21"/>
  <c r="H301" i="21"/>
  <c r="H147" i="21"/>
  <c r="H36" i="21"/>
  <c r="H76" i="21"/>
  <c r="H90" i="21"/>
  <c r="H81" i="21"/>
  <c r="H262" i="21"/>
  <c r="H131" i="21"/>
  <c r="H174" i="21"/>
  <c r="H104" i="21"/>
  <c r="H23" i="21"/>
  <c r="H248" i="21"/>
  <c r="H118" i="21"/>
  <c r="H246" i="21"/>
  <c r="H12" i="21"/>
  <c r="H161" i="21"/>
  <c r="H267" i="21"/>
  <c r="H132" i="21"/>
  <c r="H10" i="21"/>
  <c r="H97" i="21"/>
  <c r="H280" i="21"/>
  <c r="H293" i="21"/>
  <c r="H140" i="21"/>
  <c r="H100" i="21"/>
  <c r="H133" i="21"/>
  <c r="H269" i="21"/>
  <c r="H255" i="21"/>
  <c r="H273" i="21"/>
  <c r="H66" i="21"/>
  <c r="H260" i="21"/>
  <c r="H77" i="21"/>
  <c r="H190" i="21"/>
  <c r="H173" i="21"/>
  <c r="H52" i="21"/>
  <c r="H224" i="21"/>
  <c r="H304" i="21"/>
  <c r="H11" i="21"/>
  <c r="H271" i="21"/>
  <c r="H208" i="21"/>
  <c r="H126" i="21"/>
  <c r="H254" i="21"/>
  <c r="H218" i="21"/>
  <c r="H220" i="21"/>
  <c r="H141" i="21"/>
  <c r="H24" i="21"/>
  <c r="H250" i="21"/>
  <c r="H102" i="21"/>
  <c r="H156" i="21"/>
  <c r="H202" i="21"/>
  <c r="H299" i="21"/>
  <c r="H47" i="21"/>
  <c r="H48" i="21"/>
  <c r="H277" i="21"/>
  <c r="H28" i="21"/>
  <c r="H79" i="21"/>
  <c r="H123" i="21"/>
  <c r="H236" i="21"/>
  <c r="H155" i="21"/>
  <c r="H217" i="21"/>
  <c r="H263" i="21"/>
  <c r="H124" i="21"/>
  <c r="H107" i="21"/>
  <c r="H237" i="21"/>
  <c r="H26" i="21"/>
  <c r="H111" i="21"/>
  <c r="H38" i="21"/>
  <c r="H86" i="21"/>
  <c r="H120" i="21"/>
  <c r="H113" i="21"/>
  <c r="H235" i="21"/>
  <c r="H242" i="21"/>
  <c r="H130" i="21"/>
  <c r="H142" i="21"/>
  <c r="H285" i="21"/>
  <c r="H151" i="21"/>
  <c r="H44" i="21"/>
  <c r="H226" i="21"/>
  <c r="H119" i="21"/>
  <c r="H128" i="21"/>
  <c r="H284" i="21"/>
  <c r="H85" i="21"/>
  <c r="H65" i="21"/>
  <c r="H71" i="21"/>
  <c r="H105" i="21"/>
  <c r="H60" i="21"/>
  <c r="H14" i="21"/>
  <c r="H19" i="21"/>
  <c r="H31" i="21"/>
  <c r="H51" i="21"/>
  <c r="H53" i="21"/>
  <c r="H114" i="21"/>
  <c r="H129" i="21"/>
  <c r="H146" i="21"/>
  <c r="H152" i="21"/>
  <c r="H167" i="21"/>
  <c r="H171" i="21"/>
  <c r="H188" i="21"/>
  <c r="H215" i="21"/>
  <c r="H221" i="21"/>
  <c r="H229" i="21"/>
  <c r="H270" i="21"/>
  <c r="H294" i="21"/>
  <c r="H300" i="21"/>
  <c r="H305" i="21"/>
  <c r="H306" i="21"/>
  <c r="H179" i="21"/>
  <c r="H257" i="21"/>
  <c r="H172" i="21"/>
  <c r="H178" i="21"/>
  <c r="H234" i="21"/>
  <c r="H258" i="21"/>
  <c r="H279" i="21"/>
  <c r="H292" i="21"/>
  <c r="H281" i="21"/>
  <c r="H150" i="21"/>
  <c r="H264" i="21"/>
  <c r="H303" i="21"/>
  <c r="H204" i="21"/>
  <c r="H88" i="21"/>
  <c r="H247" i="21"/>
  <c r="H261" i="21"/>
  <c r="H289" i="21"/>
  <c r="H251" i="21"/>
  <c r="H158" i="21"/>
  <c r="H37" i="21"/>
  <c r="H175" i="21"/>
  <c r="H57" i="21"/>
  <c r="H278" i="21"/>
  <c r="H225" i="21"/>
  <c r="H307" i="21"/>
  <c r="H73" i="21"/>
  <c r="H49" i="21"/>
  <c r="H87" i="21"/>
  <c r="H162" i="21"/>
  <c r="H201" i="21"/>
  <c r="H272" i="21"/>
  <c r="H64" i="21"/>
  <c r="H209" i="21"/>
  <c r="H22" i="21"/>
  <c r="H39" i="21"/>
  <c r="H92" i="21"/>
  <c r="H137" i="21"/>
  <c r="H185" i="21"/>
  <c r="H89" i="21"/>
  <c r="H99" i="21"/>
  <c r="H72" i="21"/>
  <c r="H153" i="21"/>
  <c r="H159" i="21"/>
  <c r="H9" i="21"/>
  <c r="H94" i="21"/>
  <c r="H192" i="21"/>
  <c r="H296" i="21"/>
  <c r="H177" i="21"/>
  <c r="H35" i="21"/>
  <c r="H287" i="21"/>
  <c r="H117" i="21"/>
  <c r="H93" i="21"/>
  <c r="H84" i="21"/>
  <c r="H16" i="21"/>
  <c r="H20" i="21"/>
  <c r="H265" i="21"/>
  <c r="H83" i="21"/>
  <c r="V10" i="18"/>
  <c r="W3" i="18" s="1"/>
  <c r="AE3" i="18" s="1"/>
  <c r="F7" i="18"/>
  <c r="D4" i="18"/>
  <c r="D6" i="18"/>
  <c r="D5" i="18"/>
  <c r="C5" i="15"/>
  <c r="C50" i="15"/>
  <c r="C51" i="15" s="1"/>
  <c r="C52" i="15" s="1"/>
  <c r="C53" i="15" s="1"/>
  <c r="C54" i="15" s="1"/>
  <c r="C55" i="15" s="1"/>
  <c r="C56" i="15" s="1"/>
  <c r="C57" i="15" s="1"/>
  <c r="C58" i="15" s="1"/>
  <c r="C59" i="15" s="1"/>
  <c r="C60" i="15" s="1"/>
  <c r="C61" i="15" s="1"/>
  <c r="O10" i="15"/>
  <c r="O9" i="15"/>
  <c r="N24" i="15"/>
  <c r="N23" i="15"/>
  <c r="N22" i="15"/>
  <c r="N21" i="15"/>
  <c r="N20" i="15"/>
  <c r="N19" i="15"/>
  <c r="N18" i="15"/>
  <c r="N17" i="15"/>
  <c r="N16" i="15"/>
  <c r="N15" i="15"/>
  <c r="N14" i="15"/>
  <c r="N13" i="15"/>
  <c r="N12" i="15"/>
  <c r="N11" i="15"/>
  <c r="N10" i="15"/>
  <c r="N9" i="15"/>
  <c r="N8" i="15"/>
  <c r="N7" i="15"/>
  <c r="N5" i="15"/>
  <c r="N4" i="15"/>
  <c r="J7" i="15"/>
  <c r="J80" i="15"/>
  <c r="C78" i="15"/>
  <c r="C79" i="15" s="1"/>
  <c r="C80" i="15" s="1"/>
  <c r="C81" i="15" s="1"/>
  <c r="C82" i="15" s="1"/>
  <c r="C83" i="15" s="1"/>
  <c r="C84" i="15" s="1"/>
  <c r="C85" i="15" s="1"/>
  <c r="C86" i="15" s="1"/>
  <c r="C87" i="15" s="1"/>
  <c r="C88" i="15" s="1"/>
  <c r="C89" i="15" s="1"/>
  <c r="C90" i="15" s="1"/>
  <c r="C91" i="15" s="1"/>
  <c r="C92" i="15" s="1"/>
  <c r="C93" i="15" s="1"/>
  <c r="C94" i="15" s="1"/>
  <c r="C95" i="15" s="1"/>
  <c r="C96" i="15" s="1"/>
  <c r="C97" i="15" s="1"/>
  <c r="C98" i="15" s="1"/>
  <c r="C99" i="15" s="1"/>
  <c r="C100" i="15" s="1"/>
  <c r="C101" i="15" s="1"/>
  <c r="C102" i="15" s="1"/>
  <c r="F554" i="1"/>
  <c r="K5" i="1"/>
  <c r="C41" i="14"/>
  <c r="J43" i="14"/>
  <c r="C5" i="14"/>
  <c r="C6" i="14" s="1"/>
  <c r="C7" i="14" s="1"/>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J7" i="14"/>
  <c r="C6" i="15" l="1"/>
  <c r="C7" i="15" s="1"/>
  <c r="C8" i="15" s="1"/>
  <c r="C9" i="15" s="1"/>
  <c r="C10" i="15" s="1"/>
  <c r="C11" i="15" s="1"/>
  <c r="C12" i="15" s="1"/>
  <c r="C13" i="15" s="1"/>
  <c r="C14" i="15" s="1"/>
  <c r="C15" i="15" s="1"/>
  <c r="C16" i="15" s="1"/>
  <c r="C17" i="15" s="1"/>
  <c r="C18" i="15" s="1"/>
  <c r="C19" i="15" s="1"/>
  <c r="C20" i="15" s="1"/>
  <c r="C21" i="15" s="1"/>
  <c r="C22" i="15" s="1"/>
  <c r="C23" i="15" s="1"/>
  <c r="C24" i="15" s="1"/>
  <c r="C25" i="15" s="1"/>
  <c r="C26" i="15" s="1"/>
  <c r="C27" i="15" s="1"/>
  <c r="C28" i="15" s="1"/>
  <c r="C29" i="15" s="1"/>
  <c r="C30" i="15" s="1"/>
  <c r="C31" i="15" s="1"/>
  <c r="C32" i="15" s="1"/>
  <c r="C33" i="15" s="1"/>
  <c r="C34" i="15" s="1"/>
  <c r="C35" i="15" s="1"/>
  <c r="C36" i="15" s="1"/>
  <c r="C37" i="15" s="1"/>
  <c r="C38" i="15" s="1"/>
  <c r="C39" i="15" s="1"/>
  <c r="C40" i="15" s="1"/>
  <c r="C41" i="15" s="1"/>
  <c r="C42" i="15" s="1"/>
  <c r="C42" i="14"/>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C81" i="14" s="1"/>
  <c r="C82" i="14" s="1"/>
  <c r="F555" i="1"/>
  <c r="G554" i="1"/>
  <c r="W5" i="18"/>
  <c r="AE6" i="18" s="1"/>
  <c r="W6" i="18"/>
  <c r="AE9" i="18" s="1"/>
  <c r="W7" i="18"/>
  <c r="AE7" i="18" s="1"/>
  <c r="W8" i="18"/>
  <c r="AE5" i="18" s="1"/>
  <c r="W9" i="18"/>
  <c r="AE8" i="18" s="1"/>
  <c r="W4" i="18"/>
  <c r="AE4" i="18" s="1"/>
  <c r="C103" i="15"/>
  <c r="C104" i="15" s="1"/>
  <c r="C105" i="15" s="1"/>
  <c r="C106" i="15" s="1"/>
  <c r="C107" i="15" s="1"/>
  <c r="C108" i="15" s="1"/>
  <c r="C109" i="15" s="1"/>
  <c r="C110" i="15" s="1"/>
  <c r="C111" i="15" s="1"/>
  <c r="C112" i="15" s="1"/>
  <c r="C113" i="15" s="1"/>
  <c r="C114" i="15" s="1"/>
  <c r="C115" i="15" s="1"/>
  <c r="C116" i="15" s="1"/>
  <c r="C117" i="15" s="1"/>
  <c r="C118" i="15" s="1"/>
  <c r="C119" i="15" s="1"/>
  <c r="C125" i="15"/>
  <c r="C126" i="15" s="1"/>
  <c r="C127" i="15" s="1"/>
  <c r="C128" i="15" s="1"/>
  <c r="C129" i="15" s="1"/>
  <c r="C130" i="15" s="1"/>
  <c r="C131" i="15" s="1"/>
  <c r="C132" i="15" s="1"/>
  <c r="C133" i="15" s="1"/>
  <c r="C134" i="15" s="1"/>
  <c r="C135" i="15" s="1"/>
  <c r="C136" i="15" s="1"/>
  <c r="C137" i="15" s="1"/>
  <c r="C138" i="15" s="1"/>
  <c r="C139" i="15" s="1"/>
  <c r="C140" i="15" s="1"/>
  <c r="C141" i="15" s="1"/>
  <c r="C142" i="15" s="1"/>
  <c r="C143" i="15" s="1"/>
  <c r="C144" i="15" s="1"/>
  <c r="C145" i="15" s="1"/>
  <c r="C146" i="15" s="1"/>
  <c r="C147" i="15" s="1"/>
  <c r="C148" i="15" s="1"/>
  <c r="C149" i="15" s="1"/>
  <c r="C150" i="15" s="1"/>
  <c r="C151" i="15" s="1"/>
  <c r="C152" i="15" s="1"/>
  <c r="C153" i="15" s="1"/>
  <c r="C154" i="15" s="1"/>
  <c r="Q47" i="7"/>
  <c r="J66" i="12"/>
  <c r="G54" i="12"/>
  <c r="G55" i="12"/>
  <c r="G56" i="12"/>
  <c r="G57" i="12"/>
  <c r="G58" i="12"/>
  <c r="K58" i="12"/>
  <c r="K3" i="12"/>
  <c r="K7" i="12" s="1"/>
  <c r="G99" i="12"/>
  <c r="G98" i="12"/>
  <c r="G97" i="12"/>
  <c r="G96" i="12"/>
  <c r="G95" i="12"/>
  <c r="G94" i="12"/>
  <c r="G93" i="12"/>
  <c r="G92" i="12"/>
  <c r="G91" i="12"/>
  <c r="G90" i="12"/>
  <c r="G89" i="12"/>
  <c r="G88" i="12"/>
  <c r="G87" i="12"/>
  <c r="G86" i="12"/>
  <c r="G85" i="12"/>
  <c r="G84" i="12"/>
  <c r="G83" i="12"/>
  <c r="G82" i="12"/>
  <c r="G81" i="12"/>
  <c r="G74" i="12"/>
  <c r="G73" i="12"/>
  <c r="G72" i="12"/>
  <c r="G71" i="12"/>
  <c r="G70" i="12"/>
  <c r="G69" i="12"/>
  <c r="G68" i="12"/>
  <c r="G67" i="12"/>
  <c r="G66" i="12"/>
  <c r="G65" i="12"/>
  <c r="G64" i="12"/>
  <c r="G63" i="12"/>
  <c r="G62" i="12"/>
  <c r="G61" i="12"/>
  <c r="G60" i="12"/>
  <c r="G59"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H4" i="12"/>
  <c r="H3" i="12"/>
  <c r="H48" i="12"/>
  <c r="C55" i="12"/>
  <c r="C4" i="12"/>
  <c r="C5" i="12" s="1"/>
  <c r="H135" i="21" l="1"/>
  <c r="G555" i="1"/>
  <c r="H249" i="21" s="1"/>
  <c r="F556" i="1"/>
  <c r="G135" i="21"/>
  <c r="F135" i="21"/>
  <c r="C88" i="14"/>
  <c r="C89" i="14" s="1"/>
  <c r="C90" i="14" s="1"/>
  <c r="C91" i="14" s="1"/>
  <c r="C92" i="14" s="1"/>
  <c r="C93" i="14" s="1"/>
  <c r="C94" i="14" s="1"/>
  <c r="C95" i="14" s="1"/>
  <c r="C96" i="14" s="1"/>
  <c r="C97" i="14" s="1"/>
  <c r="C98" i="14" s="1"/>
  <c r="C99" i="14" s="1"/>
  <c r="C100" i="14" s="1"/>
  <c r="C101" i="14" s="1"/>
  <c r="C102" i="14" s="1"/>
  <c r="C103" i="14" s="1"/>
  <c r="C104" i="14" s="1"/>
  <c r="C105" i="14" s="1"/>
  <c r="C106" i="14" s="1"/>
  <c r="C107" i="14" s="1"/>
  <c r="C108" i="14" s="1"/>
  <c r="C109" i="14" s="1"/>
  <c r="C110" i="14" s="1"/>
  <c r="C111" i="14" s="1"/>
  <c r="C112" i="14" s="1"/>
  <c r="C113" i="14" s="1"/>
  <c r="C114" i="14" s="1"/>
  <c r="C115" i="14" s="1"/>
  <c r="C116" i="14" s="1"/>
  <c r="C117" i="14" s="1"/>
  <c r="C56" i="12"/>
  <c r="C57" i="12" s="1"/>
  <c r="C58" i="12" s="1"/>
  <c r="C59" i="12" s="1"/>
  <c r="C60" i="12" s="1"/>
  <c r="C61" i="12" s="1"/>
  <c r="C62" i="12" s="1"/>
  <c r="C63" i="12" s="1"/>
  <c r="C64" i="12" s="1"/>
  <c r="C65" i="12" s="1"/>
  <c r="C66" i="12" s="1"/>
  <c r="C67" i="12" s="1"/>
  <c r="C68" i="12" s="1"/>
  <c r="C69" i="12" s="1"/>
  <c r="C70" i="12" s="1"/>
  <c r="C71" i="12" s="1"/>
  <c r="C72" i="12" s="1"/>
  <c r="C73" i="12" s="1"/>
  <c r="C74" i="12" s="1"/>
  <c r="C75" i="12" s="1"/>
  <c r="C76" i="12" s="1"/>
  <c r="C77" i="12" s="1"/>
  <c r="C78" i="12" s="1"/>
  <c r="C79" i="12" s="1"/>
  <c r="C80" i="12" s="1"/>
  <c r="C81" i="12" s="1"/>
  <c r="C82" i="12" s="1"/>
  <c r="C83" i="12" s="1"/>
  <c r="C84" i="12" s="1"/>
  <c r="C85" i="12" s="1"/>
  <c r="C86" i="12" s="1"/>
  <c r="C87" i="12" s="1"/>
  <c r="C88" i="12" s="1"/>
  <c r="C89" i="12" s="1"/>
  <c r="C90" i="12" s="1"/>
  <c r="C91" i="12" s="1"/>
  <c r="C92" i="12" s="1"/>
  <c r="C93" i="12" s="1"/>
  <c r="C94" i="12" s="1"/>
  <c r="C95" i="12" s="1"/>
  <c r="C96" i="12" s="1"/>
  <c r="C97" i="12" s="1"/>
  <c r="C98" i="12" s="1"/>
  <c r="C99" i="12" s="1"/>
  <c r="C6" i="12"/>
  <c r="C7" i="12" s="1"/>
  <c r="C8" i="12" s="1"/>
  <c r="C9" i="12" s="1"/>
  <c r="C10" i="12" s="1"/>
  <c r="C11" i="12" s="1"/>
  <c r="C12" i="12" s="1"/>
  <c r="C13" i="12" s="1"/>
  <c r="C14" i="12" s="1"/>
  <c r="C15" i="12" s="1"/>
  <c r="C16" i="12" s="1"/>
  <c r="C17" i="12" s="1"/>
  <c r="C18" i="12" s="1"/>
  <c r="C19" i="12" s="1"/>
  <c r="C20" i="12" s="1"/>
  <c r="C21" i="12" s="1"/>
  <c r="C22" i="12" s="1"/>
  <c r="C23" i="12" s="1"/>
  <c r="C24" i="12" s="1"/>
  <c r="C25" i="12" s="1"/>
  <c r="C26" i="12" s="1"/>
  <c r="C27" i="12" s="1"/>
  <c r="C28" i="12" s="1"/>
  <c r="C29" i="12" s="1"/>
  <c r="C30" i="12" s="1"/>
  <c r="C31" i="12" s="1"/>
  <c r="C32" i="12" s="1"/>
  <c r="C33" i="12" s="1"/>
  <c r="C34" i="12" s="1"/>
  <c r="C35" i="12" s="1"/>
  <c r="C36" i="12" s="1"/>
  <c r="C37" i="12" s="1"/>
  <c r="C38" i="12" s="1"/>
  <c r="C39" i="12" s="1"/>
  <c r="C40" i="12" s="1"/>
  <c r="C41" i="12" s="1"/>
  <c r="C42" i="12" s="1"/>
  <c r="C43" i="12" s="1"/>
  <c r="C44" i="12" s="1"/>
  <c r="C45" i="12" s="1"/>
  <c r="C46" i="12" s="1"/>
  <c r="C47" i="12" s="1"/>
  <c r="C48" i="12" s="1"/>
  <c r="F249" i="21" l="1"/>
  <c r="G249" i="21"/>
  <c r="G556" i="1"/>
  <c r="F557" i="1"/>
  <c r="G557" i="1" s="1"/>
  <c r="H96" i="21" s="1"/>
  <c r="T454" i="1"/>
  <c r="H138" i="21" l="1"/>
  <c r="N5" i="23"/>
  <c r="N4" i="23"/>
  <c r="N6" i="23"/>
  <c r="F138" i="21"/>
  <c r="G138" i="21"/>
  <c r="F96" i="21"/>
  <c r="G96" i="21"/>
  <c r="F21" i="7"/>
  <c r="H44" i="7" l="1"/>
  <c r="H45" i="7" s="1"/>
  <c r="H46" i="7" s="1"/>
  <c r="H47" i="7" s="1"/>
  <c r="H48" i="7" s="1"/>
  <c r="H49" i="7" s="1"/>
  <c r="H50" i="7" s="1"/>
  <c r="H51" i="7" s="1"/>
  <c r="H52" i="7" s="1"/>
  <c r="H53" i="7" s="1"/>
  <c r="H54" i="7" s="1"/>
  <c r="H55" i="7" s="1"/>
  <c r="H56" i="7" s="1"/>
  <c r="H57" i="7" s="1"/>
  <c r="H58" i="7" s="1"/>
  <c r="H59" i="7" s="1"/>
  <c r="H60" i="7" s="1"/>
  <c r="H61" i="7" s="1"/>
  <c r="H62" i="7" s="1"/>
  <c r="H63" i="7" s="1"/>
  <c r="H64" i="7" s="1"/>
  <c r="H65" i="7" s="1"/>
  <c r="H66" i="7" s="1"/>
  <c r="H67" i="7" s="1"/>
  <c r="H68" i="7" s="1"/>
  <c r="H69" i="7" s="1"/>
  <c r="H70" i="7" s="1"/>
  <c r="H5" i="7"/>
  <c r="H6" i="7" s="1"/>
  <c r="H7" i="7" s="1"/>
  <c r="H8" i="7" s="1"/>
  <c r="H9" i="7" s="1"/>
  <c r="H10" i="7" s="1"/>
  <c r="H11" i="7" s="1"/>
  <c r="H12" i="7" s="1"/>
  <c r="H13" i="7" s="1"/>
  <c r="H14" i="7" s="1"/>
  <c r="H15" i="7" s="1"/>
  <c r="H16" i="7" s="1"/>
  <c r="H17" i="7" s="1"/>
  <c r="H18" i="7" s="1"/>
  <c r="H19" i="7" s="1"/>
  <c r="H20" i="7" l="1"/>
  <c r="H21" i="7" l="1"/>
  <c r="H22" i="7" s="1"/>
  <c r="H23" i="7" s="1"/>
  <c r="H24" i="7" s="1"/>
  <c r="H25" i="7" s="1"/>
  <c r="H26" i="7" s="1"/>
  <c r="H27" i="7" s="1"/>
  <c r="H28" i="7" s="1"/>
  <c r="H29" i="7" s="1"/>
  <c r="H30" i="7" s="1"/>
  <c r="H31" i="7" s="1"/>
  <c r="H32" i="7" s="1"/>
  <c r="H33" i="7" s="1"/>
  <c r="H34" i="7" s="1"/>
  <c r="H35" i="7" s="1"/>
  <c r="H36" i="7" s="1"/>
  <c r="H37" i="7" s="1"/>
  <c r="H38" i="7" s="1"/>
  <c r="K3" i="1"/>
  <c r="H43" i="6" l="1"/>
  <c r="H44" i="6" s="1"/>
  <c r="H45" i="6" s="1"/>
  <c r="H46" i="6" s="1"/>
  <c r="H47" i="6" s="1"/>
  <c r="H48" i="6" s="1"/>
  <c r="H49" i="6" s="1"/>
  <c r="H50" i="6" s="1"/>
  <c r="H51" i="6" s="1"/>
  <c r="H52" i="6" s="1"/>
  <c r="H53" i="6" s="1"/>
  <c r="H54" i="6" s="1"/>
  <c r="H55" i="6" s="1"/>
  <c r="H56" i="6" s="1"/>
  <c r="H57" i="6" s="1"/>
  <c r="H58" i="6" s="1"/>
  <c r="H59" i="6" s="1"/>
  <c r="H60" i="6" s="1"/>
  <c r="H61" i="6" s="1"/>
  <c r="H62" i="6" s="1"/>
  <c r="H63" i="6" s="1"/>
  <c r="H64" i="6" s="1"/>
  <c r="H65" i="6" s="1"/>
  <c r="H66" i="6" s="1"/>
  <c r="H67" i="6" s="1"/>
  <c r="H68" i="6" s="1"/>
  <c r="H69" i="6" s="1"/>
  <c r="H4" i="6"/>
  <c r="H5" i="6" s="1"/>
  <c r="H6" i="6" s="1"/>
  <c r="H7" i="6" s="1"/>
  <c r="H8" i="6" s="1"/>
  <c r="B40" i="2"/>
  <c r="B41" i="2" s="1"/>
  <c r="B42" i="2" s="1"/>
  <c r="B43" i="2" s="1"/>
  <c r="B44" i="2" s="1"/>
  <c r="B45" i="2" s="1"/>
  <c r="B46" i="2" s="1"/>
  <c r="B47" i="2" s="1"/>
  <c r="B48" i="2" s="1"/>
  <c r="B49" i="2" s="1"/>
  <c r="B50" i="2" s="1"/>
  <c r="B51" i="2" s="1"/>
  <c r="B52" i="2" s="1"/>
  <c r="B53" i="2" s="1"/>
  <c r="B54" i="2" s="1"/>
  <c r="B55" i="2" s="1"/>
  <c r="B57" i="2" s="1"/>
  <c r="B58" i="2" s="1"/>
  <c r="B59" i="2" s="1"/>
  <c r="B60" i="2" s="1"/>
  <c r="B61" i="2" s="1"/>
  <c r="B62" i="2" s="1"/>
  <c r="B63" i="2" s="1"/>
  <c r="B64" i="2" s="1"/>
  <c r="B65" i="2" s="1"/>
  <c r="B66" i="2" s="1"/>
  <c r="B67" i="2" s="1"/>
  <c r="B68" i="2" s="1"/>
  <c r="B69" i="2" s="1"/>
  <c r="B70" i="2" s="1"/>
  <c r="B71" i="2" s="1"/>
  <c r="B72" i="2" s="1"/>
  <c r="B4" i="2"/>
  <c r="B5" i="2" s="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H9" i="6" l="1"/>
  <c r="H10" i="6" l="1"/>
  <c r="H11" i="6" s="1"/>
  <c r="H12" i="6" s="1"/>
  <c r="H13" i="6" s="1"/>
  <c r="H14" i="6" s="1"/>
  <c r="H15" i="6" s="1"/>
  <c r="H16" i="6" s="1"/>
  <c r="H17" i="6" s="1"/>
  <c r="H18" i="6" s="1"/>
  <c r="H19" i="6" s="1"/>
  <c r="H20" i="6" s="1"/>
  <c r="H21" i="6" s="1"/>
  <c r="H22" i="6" s="1"/>
  <c r="H23" i="6"/>
  <c r="H24" i="6" s="1"/>
  <c r="H25" i="6" s="1"/>
  <c r="H26" i="6" s="1"/>
  <c r="H27" i="6" s="1"/>
  <c r="H28" i="6" s="1"/>
  <c r="H29" i="6" s="1"/>
  <c r="H30" i="6" s="1"/>
  <c r="H31" i="6" s="1"/>
  <c r="H32" i="6" s="1"/>
  <c r="H33" i="6" s="1"/>
  <c r="H34" i="6" s="1"/>
  <c r="H35" i="6" s="1"/>
  <c r="AG4" i="5"/>
  <c r="AG3" i="5"/>
  <c r="AG8" i="5"/>
  <c r="AG7" i="5"/>
  <c r="AG9" i="5"/>
  <c r="AG5" i="5"/>
  <c r="AG6" i="5"/>
  <c r="AG10"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U9" i="5" s="1"/>
  <c r="U14" i="5" s="1"/>
  <c r="G187" i="5"/>
  <c r="G186" i="5"/>
  <c r="G185" i="5"/>
  <c r="G184" i="5"/>
  <c r="G183" i="5"/>
  <c r="G182" i="5"/>
  <c r="U8" i="5" s="1"/>
  <c r="U15" i="5" s="1"/>
  <c r="G181" i="5"/>
  <c r="G180" i="5"/>
  <c r="G179" i="5"/>
  <c r="G178" i="5"/>
  <c r="G177" i="5"/>
  <c r="G176" i="5"/>
  <c r="U7" i="5" s="1"/>
  <c r="U16" i="5" s="1"/>
  <c r="G175" i="5"/>
  <c r="G174" i="5"/>
  <c r="G173" i="5"/>
  <c r="G172" i="5"/>
  <c r="G171" i="5"/>
  <c r="G170" i="5"/>
  <c r="G169" i="5"/>
  <c r="G168" i="5"/>
  <c r="G167" i="5"/>
  <c r="U6" i="5" s="1"/>
  <c r="U17" i="5" s="1"/>
  <c r="G166" i="5"/>
  <c r="G165" i="5"/>
  <c r="G164" i="5"/>
  <c r="G163" i="5"/>
  <c r="G162" i="5"/>
  <c r="G161" i="5"/>
  <c r="G160" i="5"/>
  <c r="G159" i="5"/>
  <c r="G158" i="5"/>
  <c r="U5" i="5" s="1"/>
  <c r="U18" i="5" s="1"/>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U4" i="5" s="1"/>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G264" i="5"/>
  <c r="E125" i="5"/>
  <c r="E124" i="5"/>
  <c r="E145" i="5"/>
  <c r="E144" i="5"/>
  <c r="E143" i="5"/>
  <c r="E76" i="5"/>
  <c r="E75" i="5"/>
  <c r="E238" i="5"/>
  <c r="E264" i="5"/>
  <c r="E74" i="5"/>
  <c r="E73" i="5"/>
  <c r="E228" i="5"/>
  <c r="E227" i="5"/>
  <c r="E226" i="5"/>
  <c r="E225" i="5"/>
  <c r="E224" i="5"/>
  <c r="E223" i="5"/>
  <c r="E263" i="5"/>
  <c r="E72" i="5"/>
  <c r="E71" i="5"/>
  <c r="E70" i="5"/>
  <c r="E69" i="5"/>
  <c r="E68" i="5"/>
  <c r="E262" i="5"/>
  <c r="E67" i="5"/>
  <c r="E66" i="5"/>
  <c r="E222" i="5"/>
  <c r="E221" i="5"/>
  <c r="E220" i="5"/>
  <c r="E65" i="5"/>
  <c r="E64" i="5"/>
  <c r="E63" i="5"/>
  <c r="E62" i="5"/>
  <c r="E61" i="5"/>
  <c r="E261" i="5"/>
  <c r="E60" i="5"/>
  <c r="E166" i="5"/>
  <c r="E165" i="5"/>
  <c r="E164" i="5"/>
  <c r="E163" i="5"/>
  <c r="E162" i="5"/>
  <c r="E161" i="5"/>
  <c r="E160" i="5"/>
  <c r="E159" i="5"/>
  <c r="E158" i="5"/>
  <c r="E237" i="5"/>
  <c r="E236" i="5"/>
  <c r="E59" i="5"/>
  <c r="E58" i="5"/>
  <c r="E57" i="5"/>
  <c r="E56" i="5"/>
  <c r="E260" i="5"/>
  <c r="E235" i="5"/>
  <c r="E55" i="5"/>
  <c r="E54" i="5"/>
  <c r="E53" i="5"/>
  <c r="E259" i="5"/>
  <c r="E142" i="5"/>
  <c r="E216" i="5"/>
  <c r="E215" i="5"/>
  <c r="E214" i="5"/>
  <c r="E213" i="5"/>
  <c r="E52" i="5"/>
  <c r="E51" i="5"/>
  <c r="E50" i="5"/>
  <c r="E141" i="5"/>
  <c r="E140" i="5"/>
  <c r="E139" i="5"/>
  <c r="E138" i="5"/>
  <c r="E137" i="5"/>
  <c r="E136" i="5"/>
  <c r="E135" i="5"/>
  <c r="E134" i="5"/>
  <c r="E133" i="5"/>
  <c r="E132" i="5"/>
  <c r="E131" i="5"/>
  <c r="E130" i="5"/>
  <c r="E258" i="5"/>
  <c r="E49" i="5"/>
  <c r="E48" i="5"/>
  <c r="E47" i="5"/>
  <c r="E46" i="5"/>
  <c r="E45" i="5"/>
  <c r="E44" i="5"/>
  <c r="E43" i="5"/>
  <c r="E42" i="5"/>
  <c r="E219" i="5"/>
  <c r="E41" i="5"/>
  <c r="E157" i="5"/>
  <c r="E40" i="5"/>
  <c r="E199" i="5"/>
  <c r="E198" i="5"/>
  <c r="E197" i="5"/>
  <c r="E196" i="5"/>
  <c r="E195" i="5"/>
  <c r="E194" i="5"/>
  <c r="E39" i="5"/>
  <c r="E38" i="5"/>
  <c r="E37" i="5"/>
  <c r="E36" i="5"/>
  <c r="E35" i="5"/>
  <c r="E234" i="5"/>
  <c r="E233" i="5"/>
  <c r="E34" i="5"/>
  <c r="E33" i="5"/>
  <c r="E32" i="5"/>
  <c r="E257" i="5"/>
  <c r="E256" i="5"/>
  <c r="E31" i="5"/>
  <c r="E255" i="5"/>
  <c r="E30" i="5"/>
  <c r="E29" i="5"/>
  <c r="E156" i="5"/>
  <c r="E175" i="5"/>
  <c r="E232" i="5"/>
  <c r="E231" i="5"/>
  <c r="E254" i="5"/>
  <c r="E253"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28" i="5"/>
  <c r="E193" i="5"/>
  <c r="E192" i="5"/>
  <c r="E191" i="5"/>
  <c r="E190" i="5"/>
  <c r="E189" i="5"/>
  <c r="E188" i="5"/>
  <c r="E27" i="5"/>
  <c r="E212" i="5"/>
  <c r="E211" i="5"/>
  <c r="E210" i="5"/>
  <c r="E209" i="5"/>
  <c r="E129" i="5"/>
  <c r="E252" i="5"/>
  <c r="E251" i="5"/>
  <c r="E26" i="5"/>
  <c r="E25" i="5"/>
  <c r="E128" i="5"/>
  <c r="E208" i="5"/>
  <c r="E207" i="5"/>
  <c r="E206" i="5"/>
  <c r="E205" i="5"/>
  <c r="E218" i="5"/>
  <c r="E217" i="5"/>
  <c r="E24" i="5"/>
  <c r="E23" i="5"/>
  <c r="E204" i="5"/>
  <c r="E203" i="5"/>
  <c r="E202" i="5"/>
  <c r="E201" i="5"/>
  <c r="E200" i="5"/>
  <c r="E77" i="5"/>
  <c r="E230" i="5"/>
  <c r="E250" i="5"/>
  <c r="E249" i="5"/>
  <c r="E22" i="5"/>
  <c r="E21" i="5"/>
  <c r="E127" i="5"/>
  <c r="E174" i="5"/>
  <c r="E248" i="5"/>
  <c r="E20" i="5"/>
  <c r="E19" i="5"/>
  <c r="E247" i="5"/>
  <c r="E18" i="5"/>
  <c r="E17" i="5"/>
  <c r="E16" i="5"/>
  <c r="E187" i="5"/>
  <c r="E15" i="5"/>
  <c r="E14" i="5"/>
  <c r="E13" i="5"/>
  <c r="E186" i="5"/>
  <c r="E185" i="5"/>
  <c r="E184" i="5"/>
  <c r="E183" i="5"/>
  <c r="E182" i="5"/>
  <c r="E155" i="5"/>
  <c r="E154" i="5"/>
  <c r="E153" i="5"/>
  <c r="E152" i="5"/>
  <c r="E151" i="5"/>
  <c r="E150" i="5"/>
  <c r="E149" i="5"/>
  <c r="E148" i="5"/>
  <c r="E147" i="5"/>
  <c r="E146" i="5"/>
  <c r="E246" i="5"/>
  <c r="E12" i="5"/>
  <c r="E11" i="5"/>
  <c r="E245" i="5"/>
  <c r="E244" i="5"/>
  <c r="E243" i="5"/>
  <c r="E229" i="5"/>
  <c r="E10" i="5"/>
  <c r="E242" i="5"/>
  <c r="E9" i="5"/>
  <c r="E241" i="5"/>
  <c r="E173" i="5"/>
  <c r="E172" i="5"/>
  <c r="E171" i="5"/>
  <c r="E170" i="5"/>
  <c r="E169" i="5"/>
  <c r="E168" i="5"/>
  <c r="E240" i="5"/>
  <c r="E181" i="5"/>
  <c r="E180" i="5"/>
  <c r="E179" i="5"/>
  <c r="E178" i="5"/>
  <c r="E177" i="5"/>
  <c r="E176" i="5"/>
  <c r="E8" i="5"/>
  <c r="E7" i="5"/>
  <c r="E6" i="5"/>
  <c r="E5" i="5"/>
  <c r="E239" i="5"/>
  <c r="E167" i="5"/>
  <c r="E4" i="5"/>
  <c r="E126" i="5"/>
  <c r="AG11" i="5" l="1"/>
  <c r="AH6" i="5" s="1"/>
  <c r="AL5" i="5" s="1"/>
  <c r="AP6" i="5" s="1"/>
  <c r="U19" i="5"/>
  <c r="U10" i="5"/>
  <c r="U13" i="5" s="1"/>
  <c r="V139" i="4"/>
  <c r="V138" i="4"/>
  <c r="V137" i="4"/>
  <c r="V136" i="4"/>
  <c r="V135" i="4"/>
  <c r="V134" i="4"/>
  <c r="V133" i="4"/>
  <c r="V132" i="4"/>
  <c r="V131" i="4"/>
  <c r="L132" i="4"/>
  <c r="L133" i="4" s="1"/>
  <c r="L134" i="4" s="1"/>
  <c r="L135" i="4" s="1"/>
  <c r="L136" i="4" s="1"/>
  <c r="L137" i="4" s="1"/>
  <c r="L138" i="4" s="1"/>
  <c r="L139" i="4" s="1"/>
  <c r="L140" i="4" s="1"/>
  <c r="L141" i="4" s="1"/>
  <c r="L142" i="4" s="1"/>
  <c r="L143" i="4" s="1"/>
  <c r="L144" i="4" s="1"/>
  <c r="L145" i="4" s="1"/>
  <c r="L146" i="4" s="1"/>
  <c r="L147" i="4" s="1"/>
  <c r="L148" i="4" s="1"/>
  <c r="L149" i="4" s="1"/>
  <c r="L150" i="4" s="1"/>
  <c r="L151" i="4" s="1"/>
  <c r="L152" i="4" s="1"/>
  <c r="L153" i="4" s="1"/>
  <c r="L154" i="4" s="1"/>
  <c r="L155" i="4" s="1"/>
  <c r="L156" i="4" s="1"/>
  <c r="L157" i="4" s="1"/>
  <c r="L158" i="4" s="1"/>
  <c r="L159" i="4" s="1"/>
  <c r="L160" i="4" s="1"/>
  <c r="L161" i="4" s="1"/>
  <c r="L162" i="4" s="1"/>
  <c r="L163" i="4" s="1"/>
  <c r="L164" i="4" s="1"/>
  <c r="L165" i="4" s="1"/>
  <c r="L166" i="4" s="1"/>
  <c r="L167" i="4" s="1"/>
  <c r="L168" i="4" s="1"/>
  <c r="L169" i="4" s="1"/>
  <c r="L170" i="4" s="1"/>
  <c r="L171" i="4" s="1"/>
  <c r="L172" i="4" s="1"/>
  <c r="L173" i="4" s="1"/>
  <c r="L174" i="4" s="1"/>
  <c r="L175" i="4" s="1"/>
  <c r="L176" i="4" s="1"/>
  <c r="L177" i="4" s="1"/>
  <c r="L178" i="4" s="1"/>
  <c r="L179" i="4" s="1"/>
  <c r="L180" i="4" s="1"/>
  <c r="L181" i="4" s="1"/>
  <c r="L182" i="4" s="1"/>
  <c r="L183" i="4" s="1"/>
  <c r="L184" i="4" s="1"/>
  <c r="L185" i="4" s="1"/>
  <c r="L186" i="4" s="1"/>
  <c r="L187" i="4" s="1"/>
  <c r="L188" i="4" s="1"/>
  <c r="L189" i="4" s="1"/>
  <c r="L190" i="4" s="1"/>
  <c r="L191" i="4" s="1"/>
  <c r="L192" i="4" s="1"/>
  <c r="L193" i="4" s="1"/>
  <c r="L194" i="4" s="1"/>
  <c r="L195" i="4" s="1"/>
  <c r="L196" i="4" s="1"/>
  <c r="L197" i="4" s="1"/>
  <c r="L198" i="4" s="1"/>
  <c r="L199" i="4" s="1"/>
  <c r="L200" i="4" s="1"/>
  <c r="L201" i="4" s="1"/>
  <c r="L202" i="4" s="1"/>
  <c r="L203" i="4" s="1"/>
  <c r="L204" i="4" s="1"/>
  <c r="L205" i="4" s="1"/>
  <c r="L206" i="4" s="1"/>
  <c r="L207" i="4" s="1"/>
  <c r="L208" i="4" s="1"/>
  <c r="L209" i="4" s="1"/>
  <c r="L210" i="4" s="1"/>
  <c r="L211" i="4" s="1"/>
  <c r="L212" i="4" s="1"/>
  <c r="L213" i="4" s="1"/>
  <c r="L214" i="4" s="1"/>
  <c r="L215" i="4" s="1"/>
  <c r="L216" i="4" s="1"/>
  <c r="L217" i="4" s="1"/>
  <c r="L218" i="4" s="1"/>
  <c r="L219" i="4" s="1"/>
  <c r="L220" i="4" s="1"/>
  <c r="L221" i="4" s="1"/>
  <c r="L222" i="4" s="1"/>
  <c r="L223" i="4" s="1"/>
  <c r="L224" i="4" s="1"/>
  <c r="L225" i="4" s="1"/>
  <c r="L226" i="4" s="1"/>
  <c r="L227" i="4" s="1"/>
  <c r="L228" i="4" s="1"/>
  <c r="L229" i="4" s="1"/>
  <c r="L230" i="4" s="1"/>
  <c r="L231" i="4" s="1"/>
  <c r="L232" i="4" s="1"/>
  <c r="L233" i="4" s="1"/>
  <c r="L234" i="4" s="1"/>
  <c r="L235" i="4" s="1"/>
  <c r="L236" i="4" s="1"/>
  <c r="L237" i="4" s="1"/>
  <c r="L238" i="4" s="1"/>
  <c r="L239" i="4" s="1"/>
  <c r="L240" i="4" s="1"/>
  <c r="L241" i="4" s="1"/>
  <c r="L242" i="4" s="1"/>
  <c r="L243" i="4" s="1"/>
  <c r="L244" i="4" s="1"/>
  <c r="L245" i="4" s="1"/>
  <c r="L246" i="4" s="1"/>
  <c r="L247" i="4" s="1"/>
  <c r="L248" i="4" s="1"/>
  <c r="L249" i="4" s="1"/>
  <c r="L250" i="4" s="1"/>
  <c r="L251" i="4" s="1"/>
  <c r="L252" i="4" s="1"/>
  <c r="L253" i="4" s="1"/>
  <c r="L254" i="4" s="1"/>
  <c r="L255" i="4" s="1"/>
  <c r="L256" i="4" s="1"/>
  <c r="L257" i="4" s="1"/>
  <c r="L258" i="4" s="1"/>
  <c r="L259" i="4" s="1"/>
  <c r="L260" i="4" s="1"/>
  <c r="L261" i="4" s="1"/>
  <c r="L262" i="4" s="1"/>
  <c r="L263" i="4" s="1"/>
  <c r="L264" i="4" s="1"/>
  <c r="C4" i="4"/>
  <c r="C5" i="4" s="1"/>
  <c r="C6" i="4" s="1"/>
  <c r="C7" i="4" s="1"/>
  <c r="C8" i="4" s="1"/>
  <c r="C9" i="4" s="1"/>
  <c r="C10" i="4" s="1"/>
  <c r="C11" i="4" s="1"/>
  <c r="C12" i="4" s="1"/>
  <c r="C13" i="4" s="1"/>
  <c r="C14" i="4" s="1"/>
  <c r="C15" i="4" s="1"/>
  <c r="C16" i="4" s="1"/>
  <c r="C17" i="4" s="1"/>
  <c r="C18" i="4" s="1"/>
  <c r="C19" i="4" s="1"/>
  <c r="C20" i="4" s="1"/>
  <c r="C21" i="4" s="1"/>
  <c r="C22" i="4" s="1"/>
  <c r="C23" i="4" s="1"/>
  <c r="C24" i="4" s="1"/>
  <c r="C25" i="4" s="1"/>
  <c r="C26" i="4" s="1"/>
  <c r="C27" i="4" s="1"/>
  <c r="C28" i="4" s="1"/>
  <c r="C29" i="4" s="1"/>
  <c r="C30" i="4" s="1"/>
  <c r="C31" i="4" s="1"/>
  <c r="C32" i="4" s="1"/>
  <c r="C33" i="4" s="1"/>
  <c r="C34" i="4" s="1"/>
  <c r="C35" i="4" s="1"/>
  <c r="C36" i="4" s="1"/>
  <c r="C37" i="4" s="1"/>
  <c r="C38" i="4" s="1"/>
  <c r="C39" i="4" s="1"/>
  <c r="C40" i="4" s="1"/>
  <c r="C41" i="4" s="1"/>
  <c r="C42" i="4" s="1"/>
  <c r="C43" i="4" s="1"/>
  <c r="C44" i="4" s="1"/>
  <c r="C45" i="4" s="1"/>
  <c r="C46" i="4" s="1"/>
  <c r="C47" i="4" s="1"/>
  <c r="C48" i="4" s="1"/>
  <c r="C49" i="4" s="1"/>
  <c r="C50" i="4" s="1"/>
  <c r="C51" i="4" s="1"/>
  <c r="C52" i="4" s="1"/>
  <c r="C53" i="4" s="1"/>
  <c r="C54" i="4" s="1"/>
  <c r="C55" i="4" s="1"/>
  <c r="C56" i="4" s="1"/>
  <c r="C57" i="4" s="1"/>
  <c r="C58" i="4" s="1"/>
  <c r="C59" i="4" s="1"/>
  <c r="C60" i="4" s="1"/>
  <c r="C61" i="4" s="1"/>
  <c r="C62" i="4" s="1"/>
  <c r="C63" i="4" s="1"/>
  <c r="C64" i="4" s="1"/>
  <c r="C65" i="4" s="1"/>
  <c r="C66" i="4" s="1"/>
  <c r="C67" i="4" s="1"/>
  <c r="C68" i="4" s="1"/>
  <c r="C69" i="4" s="1"/>
  <c r="C70" i="4" s="1"/>
  <c r="C71" i="4" s="1"/>
  <c r="C72" i="4" s="1"/>
  <c r="C73" i="4" s="1"/>
  <c r="C74" i="4" s="1"/>
  <c r="C75" i="4" s="1"/>
  <c r="C76" i="4" s="1"/>
  <c r="C77" i="4" s="1"/>
  <c r="C78" i="4" s="1"/>
  <c r="C79" i="4" s="1"/>
  <c r="C80" i="4" s="1"/>
  <c r="C81" i="4" s="1"/>
  <c r="C82" i="4" s="1"/>
  <c r="C83" i="4" s="1"/>
  <c r="C84" i="4" s="1"/>
  <c r="C85" i="4" s="1"/>
  <c r="C86" i="4" s="1"/>
  <c r="C87" i="4" s="1"/>
  <c r="C88" i="4" s="1"/>
  <c r="C89" i="4" s="1"/>
  <c r="C90" i="4" s="1"/>
  <c r="C91" i="4" s="1"/>
  <c r="C92" i="4" s="1"/>
  <c r="C93" i="4" s="1"/>
  <c r="C94" i="4" s="1"/>
  <c r="C95" i="4" s="1"/>
  <c r="C96" i="4" s="1"/>
  <c r="C97" i="4" s="1"/>
  <c r="C98" i="4" s="1"/>
  <c r="C99" i="4" s="1"/>
  <c r="C100" i="4" s="1"/>
  <c r="C101" i="4" s="1"/>
  <c r="C102" i="4" s="1"/>
  <c r="C103" i="4" s="1"/>
  <c r="C104" i="4" s="1"/>
  <c r="C105" i="4" s="1"/>
  <c r="C106" i="4" s="1"/>
  <c r="C107" i="4" s="1"/>
  <c r="C108" i="4" s="1"/>
  <c r="C109" i="4" s="1"/>
  <c r="C110" i="4" s="1"/>
  <c r="C111" i="4" s="1"/>
  <c r="C112" i="4" s="1"/>
  <c r="C113" i="4" s="1"/>
  <c r="C114" i="4" s="1"/>
  <c r="C115" i="4" s="1"/>
  <c r="C116" i="4" s="1"/>
  <c r="C117" i="4" s="1"/>
  <c r="C118" i="4" s="1"/>
  <c r="C119" i="4" s="1"/>
  <c r="C120" i="4" s="1"/>
  <c r="C121" i="4" s="1"/>
  <c r="C122" i="4" s="1"/>
  <c r="C123" i="4" s="1"/>
  <c r="C124" i="4" s="1"/>
  <c r="C125" i="4" s="1"/>
  <c r="C126" i="4" s="1"/>
  <c r="C127" i="4" s="1"/>
  <c r="C128" i="4" s="1"/>
  <c r="C129" i="4" s="1"/>
  <c r="C130" i="4" s="1"/>
  <c r="C131" i="4" s="1"/>
  <c r="C132" i="4" s="1"/>
  <c r="C133" i="4" s="1"/>
  <c r="C134" i="4" s="1"/>
  <c r="C135" i="4" s="1"/>
  <c r="C136" i="4" s="1"/>
  <c r="C137" i="4" s="1"/>
  <c r="C138" i="4" s="1"/>
  <c r="C139" i="4" s="1"/>
  <c r="C140" i="4" s="1"/>
  <c r="C141" i="4" s="1"/>
  <c r="C142" i="4" s="1"/>
  <c r="C143" i="4" s="1"/>
  <c r="C144" i="4" s="1"/>
  <c r="C145" i="4" s="1"/>
  <c r="C146" i="4" s="1"/>
  <c r="C147" i="4" s="1"/>
  <c r="C148" i="4" s="1"/>
  <c r="C149" i="4" s="1"/>
  <c r="C150" i="4" s="1"/>
  <c r="C151" i="4" s="1"/>
  <c r="C152" i="4" s="1"/>
  <c r="C153" i="4" s="1"/>
  <c r="C154" i="4" s="1"/>
  <c r="C155" i="4" s="1"/>
  <c r="C156" i="4" s="1"/>
  <c r="C157" i="4" s="1"/>
  <c r="C158" i="4" s="1"/>
  <c r="C159" i="4" s="1"/>
  <c r="C160" i="4" s="1"/>
  <c r="C161" i="4" s="1"/>
  <c r="C162" i="4" s="1"/>
  <c r="C163" i="4" s="1"/>
  <c r="C164" i="4" s="1"/>
  <c r="C165" i="4" s="1"/>
  <c r="C166" i="4" s="1"/>
  <c r="C167" i="4" s="1"/>
  <c r="C168" i="4" s="1"/>
  <c r="C169" i="4" s="1"/>
  <c r="C170" i="4" s="1"/>
  <c r="C171" i="4" s="1"/>
  <c r="C172" i="4" s="1"/>
  <c r="C173" i="4" s="1"/>
  <c r="C174" i="4" s="1"/>
  <c r="C175" i="4" s="1"/>
  <c r="C176" i="4" s="1"/>
  <c r="C177" i="4" s="1"/>
  <c r="C178" i="4" s="1"/>
  <c r="C179" i="4" s="1"/>
  <c r="C180" i="4" s="1"/>
  <c r="C181" i="4" s="1"/>
  <c r="C182" i="4" s="1"/>
  <c r="C183" i="4" s="1"/>
  <c r="C184" i="4" s="1"/>
  <c r="C185" i="4" s="1"/>
  <c r="C186" i="4" s="1"/>
  <c r="C187" i="4" s="1"/>
  <c r="C188" i="4" s="1"/>
  <c r="C189" i="4" s="1"/>
  <c r="C190" i="4" s="1"/>
  <c r="C191" i="4" s="1"/>
  <c r="C192" i="4" s="1"/>
  <c r="C193" i="4" s="1"/>
  <c r="C194" i="4" s="1"/>
  <c r="C195" i="4" s="1"/>
  <c r="C196" i="4" s="1"/>
  <c r="C197" i="4" s="1"/>
  <c r="C198" i="4" s="1"/>
  <c r="C199" i="4" s="1"/>
  <c r="C200" i="4" s="1"/>
  <c r="C201" i="4" s="1"/>
  <c r="C202" i="4" s="1"/>
  <c r="C203" i="4" s="1"/>
  <c r="C204" i="4" s="1"/>
  <c r="C205" i="4" s="1"/>
  <c r="C206" i="4" s="1"/>
  <c r="C207" i="4" s="1"/>
  <c r="C208" i="4" s="1"/>
  <c r="C209" i="4" s="1"/>
  <c r="C210" i="4" s="1"/>
  <c r="C211" i="4" s="1"/>
  <c r="C212" i="4" s="1"/>
  <c r="C213" i="4" s="1"/>
  <c r="C214" i="4" s="1"/>
  <c r="C215" i="4" s="1"/>
  <c r="C216" i="4" s="1"/>
  <c r="C217" i="4" s="1"/>
  <c r="C218" i="4" s="1"/>
  <c r="C219" i="4" s="1"/>
  <c r="C220" i="4" s="1"/>
  <c r="C221" i="4" s="1"/>
  <c r="C222" i="4" s="1"/>
  <c r="C223" i="4" s="1"/>
  <c r="C224" i="4" s="1"/>
  <c r="C225" i="4" s="1"/>
  <c r="C226" i="4" s="1"/>
  <c r="C227" i="4" s="1"/>
  <c r="C228" i="4" s="1"/>
  <c r="C229" i="4" s="1"/>
  <c r="C230" i="4" s="1"/>
  <c r="C231" i="4" s="1"/>
  <c r="C232" i="4" s="1"/>
  <c r="C233" i="4" s="1"/>
  <c r="C234" i="4" s="1"/>
  <c r="C235" i="4" s="1"/>
  <c r="C236" i="4" s="1"/>
  <c r="C237" i="4" s="1"/>
  <c r="C238" i="4" s="1"/>
  <c r="C239" i="4" s="1"/>
  <c r="C240" i="4" s="1"/>
  <c r="C241" i="4" s="1"/>
  <c r="C242" i="4" s="1"/>
  <c r="C243" i="4" s="1"/>
  <c r="C244" i="4" s="1"/>
  <c r="C245" i="4" s="1"/>
  <c r="C246" i="4" s="1"/>
  <c r="C247" i="4" s="1"/>
  <c r="C248" i="4" s="1"/>
  <c r="C249" i="4" s="1"/>
  <c r="C250" i="4" s="1"/>
  <c r="C251" i="4" s="1"/>
  <c r="C252" i="4" s="1"/>
  <c r="C253" i="4" s="1"/>
  <c r="C254" i="4" s="1"/>
  <c r="C255" i="4" s="1"/>
  <c r="C256" i="4" s="1"/>
  <c r="C257" i="4" s="1"/>
  <c r="C258" i="4" s="1"/>
  <c r="C259" i="4" s="1"/>
  <c r="C260" i="4" s="1"/>
  <c r="C261" i="4" s="1"/>
  <c r="C262" i="4" s="1"/>
  <c r="C263" i="4" s="1"/>
  <c r="C264" i="4" s="1"/>
  <c r="AH9" i="5" l="1"/>
  <c r="AL8" i="5" s="1"/>
  <c r="AH7" i="5"/>
  <c r="AL6" i="5" s="1"/>
  <c r="AP7" i="5" s="1"/>
  <c r="AH3" i="5"/>
  <c r="AL2" i="5" s="1"/>
  <c r="AH10" i="5"/>
  <c r="AL9" i="5" s="1"/>
  <c r="AP2" i="5" s="1"/>
  <c r="AH5" i="5"/>
  <c r="AL4" i="5" s="1"/>
  <c r="AP5" i="5" s="1"/>
  <c r="AH4" i="5"/>
  <c r="AL3" i="5" s="1"/>
  <c r="AP4" i="5" s="1"/>
  <c r="AH8" i="5"/>
  <c r="AL7" i="5" s="1"/>
  <c r="AP8" i="5" s="1"/>
  <c r="O10" i="3"/>
  <c r="O9" i="3"/>
  <c r="O8" i="3"/>
  <c r="O7" i="3"/>
  <c r="O6" i="3"/>
  <c r="O5" i="3"/>
  <c r="O4" i="3"/>
  <c r="O3" i="3"/>
  <c r="B4" i="3"/>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AP3" i="5" l="1"/>
  <c r="B50" i="3"/>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L131" i="1"/>
  <c r="L96" i="1"/>
  <c r="L24" i="1"/>
  <c r="C10" i="1"/>
  <c r="C11" i="1" s="1"/>
  <c r="C12" i="1" s="1"/>
  <c r="C13" i="1" s="1"/>
  <c r="C14" i="1" s="1"/>
  <c r="C15" i="1" l="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S29" i="17" l="1"/>
  <c r="S39" i="17"/>
  <c r="S35" i="17"/>
  <c r="S34" i="17"/>
  <c r="S32" i="17"/>
  <c r="S11" i="17"/>
  <c r="S27" i="17"/>
  <c r="S19" i="17"/>
  <c r="S40" i="17"/>
  <c r="S38" i="17"/>
  <c r="S22" i="17"/>
  <c r="S33" i="17"/>
  <c r="S6" i="17"/>
  <c r="S12" i="17"/>
  <c r="S36" i="17"/>
  <c r="S24" i="17"/>
  <c r="S30" i="17"/>
  <c r="S28" i="17"/>
  <c r="S37" i="17"/>
  <c r="S26" i="17"/>
  <c r="S25" i="17"/>
  <c r="S20" i="17"/>
  <c r="S4" i="17"/>
  <c r="S31" i="17"/>
  <c r="S23" i="17"/>
  <c r="S5" i="17"/>
  <c r="O15" i="15"/>
  <c r="N34" i="15"/>
  <c r="N48" i="15"/>
  <c r="M48" i="15"/>
  <c r="M44" i="15"/>
  <c r="M38" i="15"/>
  <c r="O23" i="15"/>
  <c r="O18" i="15"/>
  <c r="O13" i="15"/>
  <c r="O8" i="15"/>
  <c r="N32" i="15"/>
  <c r="N46" i="15"/>
  <c r="M42" i="15"/>
  <c r="O16" i="15"/>
  <c r="O5" i="15"/>
  <c r="O20" i="15"/>
  <c r="N39" i="15"/>
  <c r="N45" i="15"/>
  <c r="M31" i="15"/>
  <c r="O14" i="15"/>
  <c r="O4" i="15"/>
  <c r="O11" i="15"/>
  <c r="N36" i="15"/>
  <c r="N47" i="15"/>
  <c r="M47" i="15"/>
  <c r="M43" i="15"/>
  <c r="M36" i="15"/>
  <c r="O22" i="15"/>
  <c r="O17" i="15"/>
  <c r="O12" i="15"/>
  <c r="O7" i="15"/>
  <c r="O24" i="15"/>
  <c r="N38" i="15"/>
  <c r="M46" i="15"/>
  <c r="M32" i="15"/>
  <c r="O21" i="15"/>
  <c r="N31" i="15"/>
  <c r="M45" i="15"/>
  <c r="M41" i="15"/>
  <c r="O19" i="15"/>
  <c r="G151" i="15"/>
  <c r="G147" i="15"/>
  <c r="G143" i="15"/>
  <c r="G139" i="15"/>
  <c r="G135" i="15"/>
  <c r="G131" i="15"/>
  <c r="G127" i="15"/>
  <c r="G149" i="15"/>
  <c r="G141" i="15"/>
  <c r="G137" i="15"/>
  <c r="G129" i="15"/>
  <c r="G148" i="15"/>
  <c r="G140" i="15"/>
  <c r="G132" i="15"/>
  <c r="G154" i="15"/>
  <c r="G150" i="15"/>
  <c r="G146" i="15"/>
  <c r="G142" i="15"/>
  <c r="G138" i="15"/>
  <c r="G134" i="15"/>
  <c r="G130" i="15"/>
  <c r="G126" i="15"/>
  <c r="G153" i="15"/>
  <c r="G145" i="15"/>
  <c r="G133" i="15"/>
  <c r="G125" i="15"/>
  <c r="G152" i="15"/>
  <c r="G144" i="15"/>
  <c r="G136" i="15"/>
  <c r="G128" i="15"/>
  <c r="G114" i="14"/>
  <c r="G110" i="14"/>
  <c r="G106" i="14"/>
  <c r="G102" i="14"/>
  <c r="G98" i="14"/>
  <c r="G94" i="14"/>
  <c r="G90" i="14"/>
  <c r="G117" i="14"/>
  <c r="G112" i="14"/>
  <c r="G100" i="14"/>
  <c r="G92" i="14"/>
  <c r="G115" i="14"/>
  <c r="G107" i="14"/>
  <c r="G99" i="14"/>
  <c r="G91" i="14"/>
  <c r="G113" i="14"/>
  <c r="G109" i="14"/>
  <c r="G105" i="14"/>
  <c r="G101" i="14"/>
  <c r="G97" i="14"/>
  <c r="G93" i="14"/>
  <c r="G89" i="14"/>
  <c r="G116" i="14"/>
  <c r="G108" i="14"/>
  <c r="G104" i="14"/>
  <c r="G96" i="14"/>
  <c r="G88" i="14"/>
  <c r="G111" i="14"/>
  <c r="G103" i="14"/>
  <c r="G95" i="14"/>
  <c r="M54" i="7"/>
  <c r="M18" i="7"/>
  <c r="M14" i="7"/>
  <c r="M7" i="7"/>
  <c r="M52" i="7"/>
  <c r="M43" i="7"/>
  <c r="M17" i="7"/>
  <c r="M13" i="7"/>
  <c r="M6" i="7"/>
  <c r="M50" i="7"/>
  <c r="M20" i="7"/>
  <c r="M16" i="7"/>
  <c r="M11" i="7"/>
  <c r="M5" i="7"/>
  <c r="M55" i="7"/>
  <c r="M49" i="7"/>
  <c r="M19" i="7"/>
  <c r="M15" i="7"/>
  <c r="M8" i="7"/>
  <c r="M4" i="7"/>
  <c r="M69" i="6"/>
  <c r="M65" i="6"/>
  <c r="M57" i="6"/>
  <c r="M53" i="6"/>
  <c r="M49" i="6"/>
  <c r="M63" i="6"/>
  <c r="M55" i="6"/>
  <c r="M54" i="6"/>
  <c r="M68" i="6"/>
  <c r="M60" i="6"/>
  <c r="M56" i="6"/>
  <c r="M48" i="6"/>
  <c r="M59" i="6"/>
  <c r="M51" i="6"/>
  <c r="M42" i="6"/>
  <c r="M58" i="6"/>
  <c r="M35" i="6"/>
  <c r="M31" i="6"/>
  <c r="M27" i="6"/>
  <c r="M23" i="6"/>
  <c r="M19" i="6"/>
  <c r="M14" i="6"/>
  <c r="M10" i="6"/>
  <c r="M6" i="6"/>
  <c r="M16" i="6"/>
  <c r="M30" i="6"/>
  <c r="M22" i="6"/>
  <c r="M18" i="6"/>
  <c r="M13" i="6"/>
  <c r="M5" i="6"/>
  <c r="M28" i="6"/>
  <c r="M24" i="6"/>
  <c r="M15" i="6"/>
  <c r="M7" i="6"/>
  <c r="M33" i="6"/>
  <c r="M29" i="6"/>
  <c r="M25" i="6"/>
  <c r="M21" i="6"/>
  <c r="M17" i="6"/>
  <c r="M12" i="6"/>
  <c r="M4" i="6"/>
  <c r="M32" i="6"/>
  <c r="M3" i="6"/>
  <c r="C54" i="1"/>
  <c r="C55" i="1" s="1"/>
  <c r="C56" i="1" s="1"/>
  <c r="C57" i="1" s="1"/>
  <c r="C58" i="1" s="1"/>
  <c r="C59" i="1" s="1"/>
  <c r="C60" i="1" s="1"/>
  <c r="M41" i="7" l="1"/>
  <c r="M2" i="7"/>
  <c r="M1" i="6"/>
  <c r="M40" i="6"/>
  <c r="C61" i="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l="1"/>
  <c r="C88" i="1" s="1"/>
  <c r="C89" i="1" s="1"/>
  <c r="C90" i="1" l="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l="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l="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C202" i="1" s="1"/>
  <c r="C203" i="1" s="1"/>
  <c r="C204" i="1" s="1"/>
  <c r="C205" i="1" s="1"/>
  <c r="C206" i="1" s="1"/>
  <c r="C207" i="1" s="1"/>
  <c r="C208" i="1" s="1"/>
  <c r="C209" i="1" s="1"/>
  <c r="C210" i="1" s="1"/>
  <c r="C211" i="1" s="1"/>
  <c r="C212" i="1" s="1"/>
  <c r="C213" i="1" s="1"/>
  <c r="C214" i="1" s="1"/>
  <c r="C215" i="1" s="1"/>
  <c r="C216" i="1" s="1"/>
  <c r="C217" i="1" s="1"/>
  <c r="C218" i="1" s="1"/>
  <c r="C219" i="1" s="1"/>
  <c r="C220" i="1" s="1"/>
  <c r="C221" i="1" s="1"/>
  <c r="C222" i="1" s="1"/>
  <c r="C223" i="1" s="1"/>
  <c r="C224" i="1" s="1"/>
  <c r="C225" i="1" s="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0" i="1" s="1"/>
  <c r="C261" i="1" s="1"/>
  <c r="C262" i="1" s="1"/>
  <c r="C263" i="1" s="1"/>
  <c r="C264" i="1" s="1"/>
  <c r="C265" i="1" s="1"/>
  <c r="C266" i="1" s="1"/>
  <c r="C267" i="1" s="1"/>
  <c r="C268" i="1" s="1"/>
  <c r="C269" i="1" s="1"/>
  <c r="C270" i="1" s="1"/>
  <c r="C271" i="1" s="1"/>
  <c r="C272" i="1" s="1"/>
  <c r="C273" i="1" s="1"/>
  <c r="C274" i="1" s="1"/>
  <c r="C275" i="1" l="1"/>
  <c r="C276" i="1" s="1"/>
  <c r="C277" i="1" s="1"/>
  <c r="C278" i="1" l="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l="1"/>
  <c r="C305" i="1" s="1"/>
  <c r="C306" i="1" s="1"/>
  <c r="C307" i="1" s="1"/>
  <c r="C308" i="1" s="1"/>
  <c r="C309" i="1" s="1"/>
  <c r="C310" i="1" s="1"/>
  <c r="C311" i="1" s="1"/>
  <c r="C312" i="1" s="1"/>
  <c r="C313" i="1" s="1"/>
  <c r="C314" i="1" s="1"/>
  <c r="C315" i="1" s="1"/>
  <c r="C316" i="1" s="1"/>
  <c r="C317" i="1" s="1"/>
  <c r="C318" i="1" s="1"/>
  <c r="C319" i="1" s="1"/>
  <c r="C320" i="1" s="1"/>
  <c r="C321" i="1" l="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C345" i="1" s="1"/>
  <c r="C346" i="1" s="1"/>
  <c r="C347" i="1" s="1"/>
  <c r="C348" i="1" s="1"/>
  <c r="C349" i="1" l="1"/>
  <c r="C350" i="1" s="1"/>
  <c r="C351" i="1" s="1"/>
  <c r="C352" i="1" s="1"/>
  <c r="C353" i="1" s="1"/>
  <c r="C354" i="1" s="1"/>
  <c r="C355" i="1" s="1"/>
  <c r="C356" i="1" s="1"/>
  <c r="C357" i="1" s="1"/>
  <c r="C358" i="1" s="1"/>
  <c r="C359" i="1" s="1"/>
  <c r="C360" i="1" s="1"/>
  <c r="C361" i="1" l="1"/>
  <c r="C362" i="1" s="1"/>
  <c r="C363" i="1" s="1"/>
  <c r="C364" i="1" s="1"/>
  <c r="C365" i="1" s="1"/>
  <c r="C366" i="1" s="1"/>
  <c r="C367" i="1" s="1"/>
  <c r="C368" i="1" s="1"/>
  <c r="C369" i="1" s="1"/>
  <c r="C370" i="1" s="1"/>
  <c r="C371" i="1" s="1"/>
  <c r="C372" i="1" s="1"/>
  <c r="C373" i="1" s="1"/>
  <c r="C374" i="1" s="1"/>
  <c r="C375" i="1" s="1"/>
  <c r="C376" i="1" s="1"/>
  <c r="C377" i="1" s="1"/>
  <c r="C378" i="1" s="1"/>
  <c r="C379" i="1" s="1"/>
  <c r="C380" i="1" s="1"/>
  <c r="C381" i="1" s="1"/>
  <c r="C382" i="1" s="1"/>
  <c r="C383" i="1" s="1"/>
  <c r="C384" i="1" s="1"/>
  <c r="C385" i="1" s="1"/>
  <c r="C386" i="1" s="1"/>
  <c r="C387" i="1" s="1"/>
  <c r="C388" i="1" s="1"/>
  <c r="C389" i="1" s="1"/>
  <c r="C390" i="1" s="1"/>
  <c r="C391" i="1" s="1"/>
  <c r="C392" i="1" s="1"/>
  <c r="C393" i="1" s="1"/>
  <c r="C394" i="1" s="1"/>
  <c r="C395" i="1" s="1"/>
  <c r="C396" i="1" s="1"/>
  <c r="C397" i="1" s="1"/>
  <c r="C398" i="1" s="1"/>
  <c r="C399" i="1" s="1"/>
  <c r="C400" i="1" s="1"/>
  <c r="C401" i="1" s="1"/>
  <c r="C402" i="1" s="1"/>
  <c r="C403" i="1" s="1"/>
  <c r="C404" i="1" s="1"/>
  <c r="C405" i="1" s="1"/>
  <c r="C406" i="1" s="1"/>
  <c r="C407" i="1" s="1"/>
  <c r="C408" i="1" s="1"/>
  <c r="C409" i="1" s="1"/>
  <c r="C410" i="1" s="1"/>
  <c r="C411" i="1" s="1"/>
  <c r="C412" i="1" s="1"/>
  <c r="C413" i="1" l="1"/>
  <c r="C414" i="1" s="1"/>
  <c r="C415" i="1" s="1"/>
  <c r="C416" i="1" s="1"/>
  <c r="C417" i="1" s="1"/>
  <c r="C418" i="1" l="1"/>
  <c r="C419" i="1" s="1"/>
  <c r="C420" i="1" s="1"/>
  <c r="C421" i="1" s="1"/>
  <c r="C422" i="1" s="1"/>
  <c r="C423" i="1" s="1"/>
  <c r="C424" i="1" s="1"/>
  <c r="C425" i="1" s="1"/>
  <c r="C426" i="1" s="1"/>
  <c r="C427" i="1" s="1"/>
  <c r="C428" i="1" s="1"/>
  <c r="C429" i="1" s="1"/>
  <c r="C430" i="1" s="1"/>
  <c r="C431" i="1" s="1"/>
  <c r="C432" i="1" s="1"/>
  <c r="C433" i="1" s="1"/>
  <c r="C434" i="1" s="1"/>
  <c r="C435" i="1" s="1"/>
  <c r="C436" i="1" s="1"/>
  <c r="C437" i="1" s="1"/>
  <c r="C438" i="1" l="1"/>
  <c r="C439" i="1" s="1"/>
  <c r="C440" i="1" s="1"/>
  <c r="C441" i="1" s="1"/>
  <c r="C442" i="1" s="1"/>
  <c r="C443" i="1" s="1"/>
  <c r="C444" i="1" s="1"/>
  <c r="C445" i="1" s="1"/>
  <c r="C446" i="1" s="1"/>
  <c r="C447" i="1" s="1"/>
  <c r="C448" i="1" s="1"/>
  <c r="C449" i="1" s="1"/>
  <c r="C450" i="1" s="1"/>
  <c r="C451" i="1" s="1"/>
  <c r="C452" i="1" s="1"/>
  <c r="C453" i="1" s="1"/>
  <c r="C454" i="1" s="1"/>
  <c r="C455" i="1" s="1"/>
  <c r="C456" i="1" s="1"/>
  <c r="C457" i="1" s="1"/>
  <c r="C458" i="1" s="1"/>
  <c r="C459" i="1" s="1"/>
  <c r="C460" i="1" s="1"/>
  <c r="C461" i="1" s="1"/>
  <c r="C462" i="1" s="1"/>
  <c r="C463" i="1" s="1"/>
  <c r="C464" i="1" s="1"/>
  <c r="C465" i="1" s="1"/>
  <c r="C466" i="1" s="1"/>
  <c r="C467" i="1" s="1"/>
  <c r="C468" i="1" s="1"/>
  <c r="C469" i="1" s="1"/>
  <c r="C470" i="1" s="1"/>
  <c r="C471" i="1" s="1"/>
  <c r="C472" i="1" s="1"/>
  <c r="C473" i="1" s="1"/>
  <c r="C474" i="1" s="1"/>
  <c r="C475" i="1" s="1"/>
  <c r="C476" i="1" l="1"/>
  <c r="C477" i="1" s="1"/>
  <c r="C478" i="1" s="1"/>
  <c r="C479" i="1" s="1"/>
  <c r="C480" i="1" s="1"/>
  <c r="C481" i="1" s="1"/>
  <c r="C482" i="1" s="1"/>
  <c r="C483" i="1" s="1"/>
  <c r="C484" i="1" s="1"/>
  <c r="C485" i="1" s="1"/>
  <c r="C486" i="1" s="1"/>
  <c r="C487" i="1" s="1"/>
  <c r="C488" i="1" s="1"/>
  <c r="C489" i="1" s="1"/>
  <c r="C490" i="1" s="1"/>
  <c r="C491" i="1" s="1"/>
  <c r="C492" i="1" s="1"/>
  <c r="C493" i="1" s="1"/>
  <c r="C494" i="1" s="1"/>
  <c r="C495" i="1" s="1"/>
  <c r="C496" i="1" s="1"/>
  <c r="C497" i="1" s="1"/>
  <c r="C498" i="1" s="1"/>
  <c r="C499" i="1" s="1"/>
  <c r="C500" i="1" s="1"/>
  <c r="C501" i="1" s="1"/>
  <c r="C502" i="1" s="1"/>
  <c r="C503" i="1" s="1"/>
  <c r="C504" i="1" s="1"/>
  <c r="C505" i="1" s="1"/>
  <c r="C506" i="1" s="1"/>
  <c r="C507" i="1" s="1"/>
  <c r="C508" i="1" s="1"/>
  <c r="C509" i="1" s="1"/>
  <c r="C510" i="1" s="1"/>
  <c r="C511" i="1" s="1"/>
  <c r="C512" i="1" s="1"/>
  <c r="C513" i="1" s="1"/>
  <c r="C514" i="1" s="1"/>
  <c r="C515" i="1" s="1"/>
  <c r="C516" i="1" s="1"/>
  <c r="C517" i="1" s="1"/>
  <c r="C518" i="1" s="1"/>
  <c r="C519" i="1" s="1"/>
  <c r="C520" i="1" s="1"/>
  <c r="C521" i="1" s="1"/>
  <c r="C522" i="1" s="1"/>
  <c r="C523" i="1" s="1"/>
  <c r="C524" i="1" s="1"/>
  <c r="C525" i="1" s="1"/>
  <c r="C526" i="1" s="1"/>
  <c r="C527" i="1" s="1"/>
  <c r="C528" i="1" s="1"/>
  <c r="C529" i="1" s="1"/>
  <c r="C530" i="1" s="1"/>
  <c r="C531" i="1" s="1"/>
  <c r="C532" i="1" s="1"/>
  <c r="C533" i="1" s="1"/>
  <c r="C534" i="1" s="1"/>
  <c r="C535" i="1" s="1"/>
  <c r="C536" i="1" s="1"/>
  <c r="C537" i="1" s="1"/>
  <c r="C538" i="1" s="1"/>
  <c r="C539" i="1" s="1"/>
  <c r="C540" i="1" s="1"/>
  <c r="C541" i="1" s="1"/>
  <c r="C542" i="1" s="1"/>
  <c r="C543" i="1" s="1"/>
  <c r="C544" i="1" s="1"/>
  <c r="C545" i="1" s="1"/>
  <c r="C546" i="1" s="1"/>
  <c r="C547" i="1" s="1"/>
  <c r="C548" i="1" s="1"/>
  <c r="C549" i="1" s="1"/>
  <c r="C550" i="1" s="1"/>
  <c r="C551" i="1" s="1"/>
  <c r="C552" i="1" s="1"/>
  <c r="C553" i="1" s="1"/>
  <c r="C554" i="1" s="1"/>
  <c r="C555" i="1" s="1"/>
  <c r="C556" i="1" s="1"/>
  <c r="C557" i="1" s="1"/>
  <c r="C558" i="1" s="1"/>
  <c r="C559" i="1" s="1"/>
  <c r="C560" i="1" s="1"/>
  <c r="C561" i="1" s="1"/>
  <c r="C562" i="1" s="1"/>
  <c r="C563" i="1" s="1"/>
  <c r="C564" i="1" s="1"/>
  <c r="C565" i="1" s="1"/>
  <c r="C566" i="1" s="1"/>
  <c r="C567" i="1" s="1"/>
  <c r="C568" i="1" s="1"/>
  <c r="C569" i="1" s="1"/>
  <c r="C570" i="1" s="1"/>
  <c r="C571" i="1" s="1"/>
  <c r="C572" i="1" s="1"/>
  <c r="C573" i="1" s="1"/>
  <c r="C574" i="1" s="1"/>
  <c r="C575" i="1" s="1"/>
  <c r="C576" i="1" s="1"/>
  <c r="C577" i="1" s="1"/>
  <c r="C578" i="1" s="1"/>
  <c r="C579" i="1" s="1"/>
  <c r="C580" i="1" s="1"/>
  <c r="C581" i="1" s="1"/>
  <c r="C582" i="1" s="1"/>
  <c r="C583" i="1" s="1"/>
  <c r="C584" i="1" s="1"/>
  <c r="C585" i="1" s="1"/>
  <c r="C586" i="1" s="1"/>
  <c r="C587" i="1" s="1"/>
  <c r="C588" i="1" s="1"/>
  <c r="C589" i="1" s="1"/>
  <c r="C590" i="1" s="1"/>
  <c r="C591" i="1" s="1"/>
  <c r="C592" i="1" s="1"/>
  <c r="C593" i="1" s="1"/>
  <c r="C594" i="1" s="1"/>
  <c r="C595" i="1" s="1"/>
  <c r="C596" i="1" s="1"/>
  <c r="C597" i="1" s="1"/>
  <c r="C598" i="1" s="1"/>
  <c r="C599" i="1" s="1"/>
  <c r="C600" i="1" s="1"/>
  <c r="C601" i="1" s="1"/>
  <c r="C602" i="1" s="1"/>
  <c r="C603" i="1" s="1"/>
  <c r="C604" i="1" s="1"/>
  <c r="C605" i="1" s="1"/>
  <c r="C606" i="1" s="1"/>
  <c r="C607" i="1" s="1"/>
  <c r="C608" i="1" s="1"/>
  <c r="C609" i="1" s="1"/>
  <c r="C610" i="1" s="1"/>
  <c r="C611" i="1" s="1"/>
  <c r="C612" i="1" s="1"/>
  <c r="C613" i="1" s="1"/>
  <c r="C614" i="1" s="1"/>
  <c r="C615" i="1" s="1"/>
  <c r="C616" i="1" s="1"/>
  <c r="C617" i="1" s="1"/>
  <c r="C618" i="1" s="1"/>
  <c r="C619" i="1" s="1"/>
  <c r="C620" i="1" s="1"/>
  <c r="C621" i="1" s="1"/>
  <c r="C622" i="1" s="1"/>
  <c r="C623" i="1" s="1"/>
  <c r="C624" i="1" s="1"/>
  <c r="C625" i="1" s="1"/>
  <c r="C626" i="1" s="1"/>
  <c r="C627" i="1" s="1"/>
  <c r="C628" i="1" s="1"/>
  <c r="C629" i="1" s="1"/>
  <c r="C630" i="1" s="1"/>
  <c r="C631" i="1" s="1"/>
  <c r="C632" i="1" s="1"/>
  <c r="C633" i="1" s="1"/>
  <c r="C634" i="1" s="1"/>
  <c r="C635" i="1" s="1"/>
  <c r="C636" i="1" s="1"/>
  <c r="C637" i="1" s="1"/>
  <c r="C638" i="1" s="1"/>
  <c r="C639" i="1" s="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0" i="1" s="1"/>
  <c r="C671" i="1" s="1"/>
  <c r="C672" i="1" s="1"/>
  <c r="C673" i="1" s="1"/>
  <c r="C674" i="1" s="1"/>
  <c r="C675" i="1" s="1"/>
  <c r="C676" i="1" s="1"/>
  <c r="C677" i="1" s="1"/>
  <c r="C678" i="1" s="1"/>
  <c r="C679" i="1" s="1"/>
  <c r="C680" i="1" s="1"/>
  <c r="C681" i="1" s="1"/>
  <c r="C682" i="1" s="1"/>
  <c r="C683" i="1" s="1"/>
  <c r="C684" i="1" s="1"/>
  <c r="C685" i="1" s="1"/>
  <c r="C686" i="1" s="1"/>
  <c r="C687" i="1" s="1"/>
  <c r="C688" i="1" s="1"/>
  <c r="C689" i="1" s="1"/>
  <c r="C690" i="1" s="1"/>
  <c r="C691" i="1" s="1"/>
  <c r="C692" i="1" s="1"/>
  <c r="C693" i="1" s="1"/>
  <c r="C694" i="1" s="1"/>
  <c r="C695" i="1" s="1"/>
  <c r="C696" i="1" s="1"/>
  <c r="C697" i="1" s="1"/>
  <c r="C698" i="1" s="1"/>
  <c r="C699" i="1" s="1"/>
  <c r="C700" i="1" s="1"/>
  <c r="C701" i="1" s="1"/>
  <c r="C702" i="1" s="1"/>
  <c r="C703" i="1" s="1"/>
  <c r="C704" i="1" s="1"/>
  <c r="C705" i="1" s="1"/>
  <c r="C706" i="1" s="1"/>
  <c r="C707" i="1" s="1"/>
  <c r="C708" i="1" s="1"/>
  <c r="C709" i="1" s="1"/>
  <c r="C710" i="1" s="1"/>
  <c r="C711" i="1" s="1"/>
  <c r="C712" i="1" s="1"/>
  <c r="C713" i="1" s="1"/>
  <c r="C714" i="1" s="1"/>
  <c r="C715" i="1" s="1"/>
  <c r="C716" i="1" s="1"/>
  <c r="C717" i="1" s="1"/>
  <c r="C718" i="1" s="1"/>
  <c r="C719" i="1" s="1"/>
  <c r="C720" i="1" s="1"/>
  <c r="C721" i="1" s="1"/>
  <c r="C722" i="1" s="1"/>
  <c r="C723" i="1" s="1"/>
  <c r="C724" i="1" s="1"/>
  <c r="C725" i="1" s="1"/>
  <c r="C726" i="1" s="1"/>
  <c r="C727" i="1" s="1"/>
  <c r="C728" i="1" s="1"/>
  <c r="C729" i="1" s="1"/>
  <c r="C730" i="1" s="1"/>
  <c r="C731" i="1" s="1"/>
  <c r="C732" i="1" s="1"/>
  <c r="C733" i="1" s="1"/>
  <c r="C734" i="1" s="1"/>
  <c r="C735" i="1" s="1"/>
  <c r="C736" i="1" s="1"/>
  <c r="C737" i="1" s="1"/>
  <c r="C738" i="1" s="1"/>
  <c r="C739" i="1" s="1"/>
  <c r="C740" i="1" s="1"/>
  <c r="C741" i="1" s="1"/>
  <c r="C742" i="1" s="1"/>
  <c r="C743" i="1" s="1"/>
  <c r="C744" i="1" s="1"/>
  <c r="C745" i="1" s="1"/>
  <c r="C746" i="1" s="1"/>
  <c r="C747" i="1" s="1"/>
  <c r="C748" i="1" s="1"/>
  <c r="C749" i="1" s="1"/>
  <c r="C750" i="1" s="1"/>
  <c r="C751" i="1" s="1"/>
  <c r="C752" i="1" s="1"/>
  <c r="C753" i="1" s="1"/>
  <c r="C754" i="1" s="1"/>
  <c r="C755" i="1" s="1"/>
  <c r="C756" i="1" s="1"/>
  <c r="C757" i="1" s="1"/>
  <c r="C758" i="1" s="1"/>
  <c r="C759" i="1" s="1"/>
  <c r="C760" i="1" s="1"/>
  <c r="C761" i="1" s="1"/>
  <c r="C762" i="1" s="1"/>
  <c r="C763" i="1" s="1"/>
  <c r="C764" i="1" s="1"/>
  <c r="C765" i="1" s="1"/>
  <c r="C766" i="1" s="1"/>
  <c r="C767" i="1" s="1"/>
  <c r="C768" i="1" s="1"/>
  <c r="C769" i="1" s="1"/>
  <c r="C770" i="1" s="1"/>
  <c r="C771" i="1" s="1"/>
  <c r="C772" i="1" s="1"/>
  <c r="C773" i="1" s="1"/>
  <c r="C774" i="1" s="1"/>
  <c r="C775" i="1" s="1"/>
  <c r="C776" i="1" s="1"/>
  <c r="C777" i="1" s="1"/>
  <c r="C778" i="1" s="1"/>
  <c r="C779" i="1" s="1"/>
  <c r="C780" i="1" s="1"/>
  <c r="C781" i="1" s="1"/>
  <c r="C782" i="1" s="1"/>
  <c r="C783" i="1" s="1"/>
  <c r="C784" i="1" s="1"/>
  <c r="C785" i="1" s="1"/>
  <c r="C786" i="1" s="1"/>
  <c r="C787" i="1" s="1"/>
  <c r="C788" i="1" s="1"/>
  <c r="C789" i="1" s="1"/>
  <c r="C790" i="1" s="1"/>
  <c r="C791" i="1" s="1"/>
  <c r="C792" i="1" s="1"/>
  <c r="C793" i="1" s="1"/>
  <c r="C794" i="1" s="1"/>
  <c r="C795" i="1" s="1"/>
  <c r="C796" i="1" s="1"/>
  <c r="C797" i="1" s="1"/>
  <c r="C798" i="1" s="1"/>
  <c r="C799" i="1" s="1"/>
  <c r="C800" i="1" s="1"/>
  <c r="C801" i="1" s="1"/>
  <c r="C802" i="1" s="1"/>
  <c r="C803" i="1" s="1"/>
  <c r="C804" i="1" s="1"/>
  <c r="C805" i="1" s="1"/>
  <c r="C806" i="1" s="1"/>
  <c r="C807" i="1" s="1"/>
  <c r="C808" i="1" s="1"/>
  <c r="C809" i="1" s="1"/>
  <c r="C810" i="1" s="1"/>
  <c r="C811" i="1" s="1"/>
  <c r="C812" i="1" s="1"/>
  <c r="C813" i="1" s="1"/>
  <c r="C814" i="1" s="1"/>
  <c r="C815" i="1" s="1"/>
  <c r="C816" i="1" s="1"/>
  <c r="C817" i="1" s="1"/>
  <c r="C818" i="1" s="1"/>
  <c r="C819" i="1" s="1"/>
  <c r="C820" i="1" s="1"/>
  <c r="C821" i="1" s="1"/>
  <c r="C822" i="1" s="1"/>
  <c r="C823" i="1" s="1"/>
  <c r="C824" i="1" s="1"/>
  <c r="C825" i="1" s="1"/>
  <c r="C826" i="1" s="1"/>
  <c r="C827" i="1" s="1"/>
  <c r="C828" i="1" s="1"/>
  <c r="C829" i="1" s="1"/>
  <c r="C830" i="1" s="1"/>
  <c r="C831" i="1" s="1"/>
  <c r="C832" i="1" s="1"/>
  <c r="C833" i="1" s="1"/>
  <c r="C834" i="1" s="1"/>
  <c r="C835" i="1" s="1"/>
  <c r="C836" i="1" s="1"/>
  <c r="C837" i="1" s="1"/>
  <c r="C838" i="1" s="1"/>
  <c r="C839" i="1" s="1"/>
  <c r="C840" i="1" s="1"/>
  <c r="C841" i="1" s="1"/>
  <c r="C842" i="1" s="1"/>
  <c r="C843" i="1" s="1"/>
  <c r="C844" i="1" s="1"/>
  <c r="C845" i="1" s="1"/>
  <c r="C846" i="1" s="1"/>
  <c r="C847" i="1" s="1"/>
  <c r="C848" i="1" s="1"/>
  <c r="C849" i="1" s="1"/>
  <c r="C850" i="1" s="1"/>
  <c r="C851" i="1" s="1"/>
  <c r="C852" i="1" s="1"/>
  <c r="C853" i="1" s="1"/>
  <c r="C854" i="1" s="1"/>
  <c r="C855" i="1" s="1"/>
  <c r="C856" i="1" s="1"/>
  <c r="C857" i="1" s="1"/>
  <c r="C858" i="1" s="1"/>
  <c r="C859" i="1" s="1"/>
  <c r="C860" i="1" s="1"/>
  <c r="C861" i="1" s="1"/>
  <c r="C862" i="1" s="1"/>
  <c r="C863" i="1" s="1"/>
  <c r="C864" i="1" s="1"/>
  <c r="C865" i="1" s="1"/>
  <c r="C866" i="1" s="1"/>
  <c r="C867" i="1" s="1"/>
  <c r="C868" i="1" s="1"/>
  <c r="C869" i="1" s="1"/>
  <c r="C870" i="1" s="1"/>
  <c r="C871" i="1" s="1"/>
  <c r="C872" i="1" s="1"/>
  <c r="C873" i="1" s="1"/>
  <c r="C874" i="1" s="1"/>
  <c r="C875" i="1" s="1"/>
  <c r="C876" i="1" s="1"/>
  <c r="C877" i="1" s="1"/>
  <c r="C878" i="1" s="1"/>
  <c r="C879" i="1" s="1"/>
  <c r="C880" i="1" s="1"/>
  <c r="C881" i="1" s="1"/>
  <c r="C882" i="1" s="1"/>
  <c r="C883" i="1" s="1"/>
  <c r="C884" i="1" s="1"/>
  <c r="C885" i="1" s="1"/>
  <c r="C886" i="1" s="1"/>
  <c r="C887" i="1" s="1"/>
  <c r="C888" i="1" s="1"/>
  <c r="C889" i="1" s="1"/>
  <c r="C890" i="1" s="1"/>
  <c r="C891" i="1" s="1"/>
  <c r="C892" i="1" s="1"/>
  <c r="C893" i="1" s="1"/>
  <c r="C894" i="1" s="1"/>
  <c r="C895" i="1" s="1"/>
  <c r="C896" i="1" s="1"/>
  <c r="C897" i="1" s="1"/>
  <c r="C898" i="1" s="1"/>
  <c r="C899" i="1" s="1"/>
  <c r="C900" i="1" s="1"/>
  <c r="C901" i="1" s="1"/>
  <c r="C902" i="1" s="1"/>
  <c r="C903" i="1" s="1"/>
  <c r="C904" i="1" s="1"/>
  <c r="C905" i="1" s="1"/>
  <c r="C906" i="1" s="1"/>
  <c r="C907" i="1" s="1"/>
  <c r="C908" i="1" s="1"/>
  <c r="C909" i="1" s="1"/>
  <c r="C910" i="1" s="1"/>
  <c r="C911" i="1" s="1"/>
</calcChain>
</file>

<file path=xl/sharedStrings.xml><?xml version="1.0" encoding="utf-8"?>
<sst xmlns="http://schemas.openxmlformats.org/spreadsheetml/2006/main" count="13907" uniqueCount="3365">
  <si>
    <t>Planilha de Controle do Pipeline - Special Situations</t>
  </si>
  <si>
    <t>Não</t>
  </si>
  <si>
    <t>Em análise</t>
  </si>
  <si>
    <t>Concluído</t>
  </si>
  <si>
    <t>On Hold</t>
  </si>
  <si>
    <t>Total</t>
  </si>
  <si>
    <t>Oportunidades Apresentadas</t>
  </si>
  <si>
    <t>#</t>
  </si>
  <si>
    <t>Tipo de Operação</t>
  </si>
  <si>
    <t xml:space="preserve">Nome </t>
  </si>
  <si>
    <t>Data Entrada</t>
  </si>
  <si>
    <t>Contato</t>
  </si>
  <si>
    <t>Tipo de Contato</t>
  </si>
  <si>
    <t>Descrição da Oportunidade</t>
  </si>
  <si>
    <t>Status da Operação</t>
  </si>
  <si>
    <t>Valor (R$ mm)</t>
  </si>
  <si>
    <t>Responsável</t>
  </si>
  <si>
    <t>Decisão</t>
  </si>
  <si>
    <t>Data de Saída</t>
  </si>
  <si>
    <t>Feedback</t>
  </si>
  <si>
    <t>Precatórios</t>
  </si>
  <si>
    <t>Precatórios do Estado do RN</t>
  </si>
  <si>
    <t>Thiago Cordeiro - DBV Capital</t>
  </si>
  <si>
    <t>156 - Cumprimento de Sentença</t>
  </si>
  <si>
    <t>-</t>
  </si>
  <si>
    <t>Valor baixo e estado do RN está bem atrasado em sua fila de pagamentos (pagando fila de 2006)</t>
  </si>
  <si>
    <t>Precatórios do Estado do MT</t>
  </si>
  <si>
    <t>39 - Não alimentar - Desapropriações</t>
  </si>
  <si>
    <t>Tese conhecida do Instituto do Açúcar e do Álcool - IAA; em nossa análise, a tese está frequentemente exposta a viradas jurisprudenciais, trazendo riscos adicionais para os créditos</t>
  </si>
  <si>
    <t>Precatórios do Estado do PR</t>
  </si>
  <si>
    <t>Emanuel Cavalcanti - Convexa Investimentos</t>
  </si>
  <si>
    <t>PR está bem atrasado em sua fila de pagamentos, atualmente ainda quitando precatórios do orçamento 2005/2006, o que tende a alongar o prazo para recebimento da oportunidade enviada, visto que estão inscritos no orçamento 2016</t>
  </si>
  <si>
    <t>Precatórios da Camargo Correa</t>
  </si>
  <si>
    <t>Marco Andre Alencar</t>
  </si>
  <si>
    <r>
      <rPr>
        <sz val="11"/>
        <rFont val="Calibri"/>
        <family val="2"/>
        <scheme val="minor"/>
      </rPr>
      <t>26/01</t>
    </r>
    <r>
      <rPr>
        <sz val="11"/>
        <color theme="1"/>
        <rFont val="Calibri"/>
        <family val="2"/>
        <scheme val="minor"/>
      </rPr>
      <t xml:space="preserve"> - Sinalizamos que conseguiríamos ~25% do valor, com earn-out. 
Marco ficou de retornar, porém, com essas condições, há grandes chances de não seguirem com a negociação</t>
    </r>
  </si>
  <si>
    <t>23/02 - Com a possibilidade de acordo dos precatorios, nossa proposta não é atrativa para o vendedor do precatório</t>
  </si>
  <si>
    <t>Precatórios do Estado do PA</t>
  </si>
  <si>
    <t>Jorio Jadjiski</t>
  </si>
  <si>
    <t>Desapropriação Propriedade Rural no Pará</t>
  </si>
  <si>
    <t>02/02 - Jorio solicitou um call para passarmos pela oportunidade. 
02/02 - Luiza vai responder ao email do Jorio
05/02 - Aguardando ligação do Jorio</t>
  </si>
  <si>
    <t>23/02 - Prazo longo e risco elevado</t>
  </si>
  <si>
    <t>Crédito para Operação</t>
  </si>
  <si>
    <t>Grupo ASN</t>
  </si>
  <si>
    <t>Paulo Viola (assessor)
Celso Paes (CFO)</t>
  </si>
  <si>
    <t>Empresa de cultivo de café, laranja e banana e nutrição animal, dívida de 68mm</t>
  </si>
  <si>
    <t>01/01 - Realizamos reunião com Celso, para explicar que as dívidas baratas nao devem ser quitadas integralmente, entendemos que deve ser uma entrada para entao renegociá-las.
Para nosso empréstimo, precisamos de novos imoveis como garantia, Celso nos retornará se ha garantias disponíveis e se há intenção de monetizá-las
Falar com o Alberto sobre a operação recebida, entender com o Alberto se seria uma operação imobiliária
23/02 - Cobrar o Paulo sobre as fazendas herdadas e puxar para fazer um novo call com o Alberto e o Celso (26/02)
28/02 - Não enviaram novas infos de imoveis, somente o contrato de venda de laranja (em análise)
04/03 - Reunião com Celso e Paulo para entender a proposta indicativa que receberam às 10h30 05/03.
05/03 - Enviaram um range de valores para a taxa da operação proposta. Precisamos definir como seguir aqui.</t>
  </si>
  <si>
    <t>Não queremos tomar o risco de fazer um sale leaseback de um ativo que no momento pode ser não operacional mas que esta nos planos do Alberto. Vamos marcar um call.
Call agendado para segunda feira 14h. Confirmar</t>
  </si>
  <si>
    <t>DIP para RJ</t>
  </si>
  <si>
    <t>Grupo OHAEC</t>
  </si>
  <si>
    <t>Andreia Alonso</t>
  </si>
  <si>
    <t>Grupo OHAEC, são donos do colegio Helio Alonso (Meier) e Faculdade Facha, em RJ desde abril de 2022</t>
  </si>
  <si>
    <r>
      <t xml:space="preserve">02/02 - Realizamos o call com as socias do Grupo e novas solicitações de informações foram feitas
08/02 - Enviaram dados financeiros, projeções e avaliação dos imoveis de São Gonçalo e Meier (R$ 2,3mm e R$ 2mm)
23/02 - Pendente de devolutiva para o time de Facha, oportunidade em análise
</t>
    </r>
    <r>
      <rPr>
        <sz val="11"/>
        <rFont val="Calibri"/>
        <family val="2"/>
        <scheme val="minor"/>
      </rPr>
      <t>26/02 - Entender com a JGP FA se a família tem mais garantia do que o que foi enviado, só com essas garantias não vamos aprovar a operação</t>
    </r>
    <r>
      <rPr>
        <sz val="11"/>
        <color theme="1"/>
        <rFont val="Calibri"/>
        <family val="2"/>
        <scheme val="minor"/>
      </rPr>
      <t xml:space="preserve">
</t>
    </r>
    <r>
      <rPr>
        <sz val="11"/>
        <color rgb="FFFF0000"/>
        <rFont val="Calibri"/>
        <family val="2"/>
        <scheme val="minor"/>
      </rPr>
      <t>05/03 - Pendente de feedback para Cia indicando que caso nao haja mais imoveis disponíveis não é possivel fazer o empréstimo</t>
    </r>
  </si>
  <si>
    <t>14/03 - Oportunidade declinada no momento devido a falta de collateral para um potencial empréstimo</t>
  </si>
  <si>
    <t>Grupo JS</t>
  </si>
  <si>
    <t>Fernando Galvão (JGP)
Vinicius Senger (ARC)</t>
  </si>
  <si>
    <t>Financimanento para o Grupo JS (em RJ) dar de entrada no parcelamento dos impostos junto à PGFN</t>
  </si>
  <si>
    <t>TIR que acenamos aos nossos investidores em Roadshow recente supera com alguma margem a TIR no caso base (que nos pareceu mais provável também) da operação. (CDI+12%)</t>
  </si>
  <si>
    <t>Precatórios Federais</t>
  </si>
  <si>
    <t>Yolanda e Elide</t>
  </si>
  <si>
    <t>Willian May (JGP FA)</t>
  </si>
  <si>
    <t>Yolanda e Elide - Ambos são decorrentes de desapropriação e atualmente também consta autorização no inventário da Yolanda</t>
  </si>
  <si>
    <r>
      <t xml:space="preserve">26/01 - Enviamos para William que estaríamos dispostos a desembolsar até 65% do valor de face
31/01 - Solicitamos os autos dos inventários da </t>
    </r>
    <r>
      <rPr>
        <b/>
        <sz val="11"/>
        <color theme="1"/>
        <rFont val="Calibri"/>
        <family val="2"/>
        <scheme val="minor"/>
      </rPr>
      <t>Yolanda e Elide</t>
    </r>
    <r>
      <rPr>
        <sz val="11"/>
        <color theme="1"/>
        <rFont val="Calibri"/>
        <family val="2"/>
        <scheme val="minor"/>
      </rPr>
      <t xml:space="preserve">
06/02 - Enviado o Espólio da Yolanda e Precatórios expedidos pelo TRF 2
</t>
    </r>
    <r>
      <rPr>
        <sz val="11"/>
        <color rgb="FFFF0000"/>
        <rFont val="Calibri"/>
        <family val="2"/>
        <scheme val="minor"/>
      </rPr>
      <t>28/02 - Pendente de confirmação se há algum representante para negociação do precatório para Elide. 
Para sra. Yolanda precisamos do formal de partilha para endereçar a melhor maneira de conduzir a potencial aquisição dos direitos creditórios</t>
    </r>
  </si>
  <si>
    <t>Não aceitaram o preço proposto (pgto de 65% do PU - incluindo o broker)</t>
  </si>
  <si>
    <t>Crédito para CapEx</t>
  </si>
  <si>
    <t>Horizonte Minerals</t>
  </si>
  <si>
    <t>Erick e Diogo (Moelis)</t>
  </si>
  <si>
    <t>Financiamento para finalizar as obras da primeira planta de exploração de Niquel</t>
  </si>
  <si>
    <t>15/01 - Fizemos uma primeira reunião com o CEO e COO e time Moelis para apresentação da oportunidade 
30/01 - Recebemos acesso ao Data Room
22/02 - Participamos de uma apresentação do conselho sobre o novo BP. Moelis abriu oportunidade de marcar um call para tirarmos dúvida 
22/02 - Sinalizaram TIR de 15% em USD 
28/02 - Ainda não atualizaram o VDR com a estrutura de capital alvo da Companhia
08/03 - Definir a data para reuniao de apresentação de capital structure</t>
  </si>
  <si>
    <t>Baixa chance de montarmos essa operação por ser uma greenfield de niquel</t>
  </si>
  <si>
    <t>Grupo SMH</t>
  </si>
  <si>
    <t>Fernando Kunzel (JGP FA)</t>
  </si>
  <si>
    <t>Hospital em Petropolis com numeros operacionais negativos, solicitando captação para melhoria operacional</t>
  </si>
  <si>
    <r>
      <t xml:space="preserve">Íntegra ficou de analisar sobre uma potencial gestão interina na Companhia, pendente de resposta
23/02 - Chris vai conversar com o Lassance sobre a oportunidade
</t>
    </r>
    <r>
      <rPr>
        <sz val="11"/>
        <color rgb="FFFF0000"/>
        <rFont val="Calibri"/>
        <family val="2"/>
        <scheme val="minor"/>
      </rPr>
      <t>01/03 - Tivemos um call com o Vidal da IFA, para gestão interina na Cia. Time da JGP FA vai falar com o board da Cia para entender a situação atual da empresa</t>
    </r>
    <r>
      <rPr>
        <sz val="11"/>
        <color theme="1"/>
        <rFont val="Calibri"/>
        <family val="2"/>
        <scheme val="minor"/>
      </rPr>
      <t xml:space="preserve">
08/03 - Cobrar fernando de uma atualização sobre o ponto acima
22/03 - Pendente de resposta do Fernando (ainda sem resposta)
29/04 - Contrataram a Deloitte para gestão interina</t>
    </r>
  </si>
  <si>
    <t>Christopher</t>
  </si>
  <si>
    <t>29/04 - Contrataram a Deloitte para gestão interina</t>
  </si>
  <si>
    <t>Inplac</t>
  </si>
  <si>
    <t>JGP FA</t>
  </si>
  <si>
    <t>Indústria de produtos plásticos que saiu da RJ em 2021 mas ainda está com necessidade de caixa</t>
  </si>
  <si>
    <r>
      <t xml:space="preserve">Dez/23 - Solicitamos informações sobre a Cia que ainda não foram enviadas 
30/01 - Fizemos um FUP sobre o envio das infos, nos enviará no inicio da semana (05/02)
</t>
    </r>
    <r>
      <rPr>
        <sz val="11"/>
        <rFont val="Calibri"/>
        <family val="2"/>
        <scheme val="minor"/>
      </rPr>
      <t xml:space="preserve">23/02 - Entender se a empresa já pagou os credores da RJ e entender pq as dívidas tributárias ficaram em aberto. A empresa está operacional? Pode entrar em RJ novamente? 
</t>
    </r>
    <r>
      <rPr>
        <sz val="11"/>
        <color rgb="FFFF0000"/>
        <rFont val="Calibri"/>
        <family val="2"/>
        <scheme val="minor"/>
      </rPr>
      <t xml:space="preserve">
04/03 - Aguardar a transação tributária</t>
    </r>
    <r>
      <rPr>
        <sz val="11"/>
        <color theme="1"/>
        <rFont val="Calibri"/>
        <family val="2"/>
        <scheme val="minor"/>
      </rPr>
      <t xml:space="preserve"> </t>
    </r>
    <r>
      <rPr>
        <sz val="11"/>
        <color rgb="FFFF0000"/>
        <rFont val="Calibri"/>
        <family val="2"/>
        <scheme val="minor"/>
      </rPr>
      <t>e entender se a cia pode entrar em RJ novamente</t>
    </r>
    <r>
      <rPr>
        <sz val="11"/>
        <color theme="1"/>
        <rFont val="Calibri"/>
        <family val="2"/>
        <scheme val="minor"/>
      </rPr>
      <t xml:space="preserve">
15/03 - Vamos ligar para a Cia diretamente
01/04 - Principal acionista mostrou interesse em dar como garantia as ações do Costao e tb vender o ativo - Pendente de feedback o William (FA) após a reunião com a Empresa. 
08/04 - Esperar o mandato da FA, as informações da dívida tributária, budget 2024 e entender se as garantias do Costão entrarão na potencial transação</t>
    </r>
  </si>
  <si>
    <t>Mollica</t>
  </si>
  <si>
    <t>DIP/Equity para RJ</t>
  </si>
  <si>
    <t>OSX</t>
  </si>
  <si>
    <t>Henrique (JGP)</t>
  </si>
  <si>
    <t>Montante requerido sera para usado para recomprar dívidas das companhias e converter dívida em equity</t>
  </si>
  <si>
    <t>30/01 - Recebemos o material, porem a transação envolve equity e um valuation que não traduz a realidade da empresas. Pendente de feedback
23/02 - Mollica vai passar o feedback para o responsável da OSX</t>
  </si>
  <si>
    <t>Entendemos não ser o perfil do fundo de Special sits devido alguns pontos: (i) Operação envolvendo equity; (ii) Valuation descolado do que entendemos ser o valor justo para a empresa (Mkt cap atual R$ 17mm x valor apresentado no InfoMemo R$ 700mm)</t>
  </si>
  <si>
    <t>Precatório Federal</t>
  </si>
  <si>
    <t>José Cardoso</t>
  </si>
  <si>
    <t>Gregory Pagot</t>
  </si>
  <si>
    <t>31/01 - Entender se esse precatório federal seria para o orçamento de 2024
15/03 - Vamos responder ao email do Gregory</t>
  </si>
  <si>
    <t>Hugo</t>
  </si>
  <si>
    <t>Crédito para Pgto do Bond</t>
  </si>
  <si>
    <t>Andrade Gutierrez</t>
  </si>
  <si>
    <t>QMS Capital</t>
  </si>
  <si>
    <t>Companhia esta buscando um new money para poder quitar o bond com vct em 2029 e cupom de 9%</t>
  </si>
  <si>
    <r>
      <t xml:space="preserve">02/01 - Oportunidade em análise
Vamos agendar uma reunião com Palmier para entendermos a estrutura da Transação
08/02 - Enviaram as infos solicitadas, estamos modelando para analisar o crédito da Cia
09/02 - Reunião com Palmier e Galapagos para definir os termos da potencial transação
19/02 - Reuniao com todos os times para apresentarmos os termos e condições do TS, pendente de retorno da AG
22/02 - A Companhia está pendente de enviar as projeções e o 2023FY - devem enviar ainda essa semana </t>
    </r>
    <r>
      <rPr>
        <sz val="11"/>
        <color rgb="FFFF0000"/>
        <rFont val="Calibri"/>
        <family val="2"/>
        <scheme val="minor"/>
      </rPr>
      <t>(04/03)</t>
    </r>
    <r>
      <rPr>
        <sz val="11"/>
        <color theme="1"/>
        <rFont val="Calibri"/>
        <family val="2"/>
        <scheme val="minor"/>
      </rPr>
      <t xml:space="preserve">
18/03 - Andrade ganhou licitação para obras da refinaria Abreu de 3.9bi</t>
    </r>
  </si>
  <si>
    <t>Crédito</t>
  </si>
  <si>
    <t>Dock Brasil</t>
  </si>
  <si>
    <t>15/03 - Time da FA até dia 22/03 deve nos enviar o modelo e InfoMemo para analisarmos a oportunidade, até 27/03.
01/04 - Time da FA esta com modelagem pronta mas ainda pendente dos acionistas darem OK nos materiais
08/04- fizemos um call para repassar os materiais, vao ajustar o modelo e nos enviarão
17/04 - Enviaram o modelo
29/04 - Vamos fazer um call com o francis para discutir o modelo e nos enviarão as notas explicativas de 2023 até sexta
06/05 - Notas explicativas serão enviadas até 07/05
31/05 - time FA pediu ajuste na proposta
10/06 - Cobrar time FA sobre a reunião com TRG</t>
  </si>
  <si>
    <t>Mollica / Christopher</t>
  </si>
  <si>
    <t>Ouricuri</t>
  </si>
  <si>
    <t>10604 - Desapropriação por Interesse Social para Reforma Agrária/Art 184</t>
  </si>
  <si>
    <r>
      <t xml:space="preserve">02/02 - Em análise (Obs: Valores elevados).
</t>
    </r>
    <r>
      <rPr>
        <sz val="11"/>
        <rFont val="Calibri"/>
        <family val="2"/>
        <scheme val="minor"/>
      </rPr>
      <t>02/02 - Enviamos o questionamento sobre o motivo pelo qual a Jive esta vendendo</t>
    </r>
    <r>
      <rPr>
        <sz val="11"/>
        <color theme="1"/>
        <rFont val="Calibri"/>
        <family val="2"/>
        <scheme val="minor"/>
      </rPr>
      <t xml:space="preserve">
16/02 - Respondeu que enviou a oportunidade para a Jive também, porém afirmou que não era da Jive</t>
    </r>
  </si>
  <si>
    <t>Muitos cessionários e não entendemos quem é o cedente</t>
  </si>
  <si>
    <t>Precatórios do Estado do RJ - Solstad Offshore</t>
  </si>
  <si>
    <t>Procedimento Comum - Icms- Outros / Imposto Sobre
Circulação de Mercadorias / Impostos; Antecipação de Tutela E/ou Obrigação de Fazer Ou
Não Fazer Ou Dar</t>
  </si>
  <si>
    <r>
      <t xml:space="preserve">01/02 - Em Análise. Os cedentes vão vender tudo e avaliam proposta acima de 45%
</t>
    </r>
    <r>
      <rPr>
        <sz val="11"/>
        <rFont val="Calibri"/>
        <family val="2"/>
        <scheme val="minor"/>
      </rPr>
      <t>02/02 - Solicitamos uma nova proposta dado a possibilidade de acordo com os estados</t>
    </r>
    <r>
      <rPr>
        <sz val="11"/>
        <color rgb="FFFF0000"/>
        <rFont val="Calibri"/>
        <family val="2"/>
        <scheme val="minor"/>
      </rPr>
      <t xml:space="preserve">
</t>
    </r>
    <r>
      <rPr>
        <sz val="11"/>
        <rFont val="Calibri"/>
        <family val="2"/>
        <scheme val="minor"/>
      </rPr>
      <t>22/02 - Respondeu que propostas em torno de 40% serão analisadas</t>
    </r>
    <r>
      <rPr>
        <sz val="11"/>
        <color theme="1"/>
        <rFont val="Calibri"/>
        <family val="2"/>
        <scheme val="minor"/>
      </rPr>
      <t xml:space="preserve">
</t>
    </r>
    <r>
      <rPr>
        <sz val="11"/>
        <color rgb="FFFF0000"/>
        <rFont val="Calibri"/>
        <family val="2"/>
        <scheme val="minor"/>
      </rPr>
      <t>28/02 - Declinaram propostas de 42%, vamos seguir?</t>
    </r>
    <r>
      <rPr>
        <sz val="11"/>
        <color theme="1"/>
        <rFont val="Calibri"/>
        <family val="2"/>
        <scheme val="minor"/>
      </rPr>
      <t xml:space="preserve">
</t>
    </r>
    <r>
      <rPr>
        <sz val="11"/>
        <color rgb="FFFF0000"/>
        <rFont val="Calibri"/>
        <family val="2"/>
        <scheme val="minor"/>
      </rPr>
      <t>04/03 - Pendente de responder o Thiago, declinando a oportunidade</t>
    </r>
  </si>
  <si>
    <t>Turbi</t>
  </si>
  <si>
    <t>ARC Capital</t>
  </si>
  <si>
    <t>Novo dinheiro para compra das preferenciais da ARC</t>
  </si>
  <si>
    <t>08/02 - Recebemos acesso ao Data room. Oportunidade declinada</t>
  </si>
  <si>
    <t>No caso dos fundos Special Sits avaliamos que a operação não nos atende no quesito de IRR (CDI +12%), e quanto aos fundos de dívida convencional já estamos bastante alocados em papéis de rental não cabendo mais exposição ao setor</t>
  </si>
  <si>
    <t>CRA ou CRI</t>
  </si>
  <si>
    <t>St.Marche</t>
  </si>
  <si>
    <t>Orama IB</t>
  </si>
  <si>
    <t>R$ 100 milhões com 24 meses de carência de principal, prazo de 5 anos e CDI + 5%. Passaram o caso com a Gabriela e Muller, mas pela estrutura de capital da cia (PL virado e ainda bem alavancada) preferiram não avançar</t>
  </si>
  <si>
    <t>09/02 - Em análise
20/02 - Fizemos um call para entender a operação, porém a Companhia não possui ativos reais para garantias. Vamos negar?</t>
  </si>
  <si>
    <t>Entendemos não ser o perfil de Special Sits, seria um caso de capital solution (necessidade de captação de equity). Entendemos que a operação envolve equity e não conseguimos viabilizar agora, caso mude a estrutura do deal, pedimos que nos avisem por favor</t>
  </si>
  <si>
    <t>Losinox</t>
  </si>
  <si>
    <t>Heartman House</t>
  </si>
  <si>
    <t>Companhia precisa de empréstimo de R$ 30mm para Kgiro para compra de matéria prima. Além disso, precisa de R$ 5mm no CP para suprir necessidade de caixa</t>
  </si>
  <si>
    <t>09/02 - Pendente envio de informação
22/02 - Realizamos um call para entendermos melhor a operação e enviamos um info request com solicitações adicionais
29/02 - Responderam parcialmente o info request, pendente do detalhamento da dívida
04/03 - Falar com o William sobre a renovação do aluguel de Ribeirao Pires
05/03 - Pendente de renegociação do contrato com a Aperam e entender o apetite deles para um pre pagamento da dívida (R$ 6.2mm) e liberação da hipoteca
15/03 - Enviamos uma mensagem com bullets dos principais pontos de uma potencial proposta de financiamento
28/03 - Estamos aguardando atualização do William sobre a renovação do contrato de aluguel com a Aperam e a possivel quitação do emprestimo da Losinox com a Aperam.</t>
  </si>
  <si>
    <t>Luiza</t>
  </si>
  <si>
    <t>Armco</t>
  </si>
  <si>
    <t>Principais players no mercado brasileiro de
produtos de metais planos, atuando especificamente nos
segmentos de laminados a frio e sistemas de embalagem</t>
  </si>
  <si>
    <t>23/02 - Cobrar do Gabriel Nobrega da FA 
01/03 - Matheus (FA) irá nos enviar as infos
04/03- Ligar par ao Gabrie para entednder melhor a operação
11/03 - Solicitamos infos adicionais
14/03 - Informaram que estão com exclusividade com outra casa, no momento está em stand-by
24/06 - Focal, advisor, enviou o material de Roadshow para o Mollica, ficou de analisar para entender se seguiremos
01/07 - Vamos negar devido a estrategia de aumentar o PL com a doação de imoveis, a uma valor que nao entendemos se traduz a realidade</t>
  </si>
  <si>
    <t>02/07 - Negamos novamente por nao fzer sentido para o SS</t>
  </si>
  <si>
    <t>Compra de Carteira de Crédito</t>
  </si>
  <si>
    <t>Comexport</t>
  </si>
  <si>
    <t>Leonardo Campos Melo</t>
  </si>
  <si>
    <t>Advogado</t>
  </si>
  <si>
    <t>23/02 - Luiza esta analisando a Carteira de vencidos - 
04/03 - Há um crédito para ser melhor analisado, pendente de baixar o processo
08/03 - Luiza vai falar com o leonardo campos melo
15/03 - Luiza vai falar com o leonardo campos melo</t>
  </si>
  <si>
    <t>01/04 - Operação não faz sentido para o fundo de SS</t>
  </si>
  <si>
    <t>Oportunidade de Crédito estressado</t>
  </si>
  <si>
    <t>Hotel Trump</t>
  </si>
  <si>
    <t>Hotel em RJ</t>
  </si>
  <si>
    <t>23/02 - Pendente do envio de informações pelo time JGP FA
23/02 - Baixar o processo para entender o FIP por trás do hotel
Fernando Kunzel vai marcar um call com o Michel para entendermos melhor do case
Mollica vai falar com alguma construtora para entender a oportunidade
07/03 - Call com a Cyrela, irão verificar alguns pontos: (i) se a debenture foi comprada; (ii) possibilidade da conversão de hotel para residencial; (iii) capacidade do imovel para retrofit
19/03 - Cyrela afirmou que a area construida do hotel não pode ser convertida de hotel para residencial</t>
  </si>
  <si>
    <t>As debentures foram compradas e não entrariamos comprando cota de FIP</t>
  </si>
  <si>
    <t>Frigorífico Rainha</t>
  </si>
  <si>
    <t>Vela Capital</t>
  </si>
  <si>
    <t>Oportunidade de crédito estressado para o Frigorífico Rainha no Paraná que está em RJ</t>
  </si>
  <si>
    <t>Em análise. Enviaram informações financeiras, pendente do envio da apresentação da Companhia - solicitado 21/02
07/03- Solicitamos identificarem se os fornecedores são rastreaveis ou não
13/03 - Enviaram as informações sobre a rastreabilidade dos fornecedores, estamos preparando um q&amp;a para um call na semana que vem.
19/03- Iniciamos as analises e solicitamos mais informações (não temos clareza sobre as possíveis garantias dessa operação). Além disso, sugeriram uma redução no cheque para R$ 15mm
20/03 - Enviamos perguntas preliminares para o time da Vela Capital, pendente de resposta
26/06 - Enviaram as respostas de algumas perguntas que fizemos em Março/Abril
08/07 - Vamos negar a oportunidade</t>
  </si>
  <si>
    <t>i) empresa com histórico de EBITDA negativo; ii) não temos conforto com operações no setor de frigoríficos; e iii) garantias não chegam a 100% do empréstimo, além de grande parte ser operacional.</t>
  </si>
  <si>
    <t>Belém - Desapropriação</t>
  </si>
  <si>
    <t>Raphael Martins (Souto Correa)</t>
  </si>
  <si>
    <t>Desapropriações</t>
  </si>
  <si>
    <t>Através de uma análise inicial (ajustar por selic) entendemos que o % máximo do PU seria 60%.</t>
  </si>
  <si>
    <t>Declinado pelo cedente. Valor abaixo do esperado</t>
  </si>
  <si>
    <t>Marcia Cristina</t>
  </si>
  <si>
    <t>Não Alimentar</t>
  </si>
  <si>
    <t>15/02 - Recebemos a oportunidade do precatório federal em Brasilia de R$ 34mm,  precisa ser analisado.
Luiza pediu a ligação do Gregory
05/03 - Gregory enviou um email perguntando sobre o precatorio</t>
  </si>
  <si>
    <t>Ativo com muitos fundos e bem enrolado</t>
  </si>
  <si>
    <t>OBDI</t>
  </si>
  <si>
    <t>A Companhia está buscando R$30mm em um novo empréstimo para garantir um potencial contrato com a Petrobras e ter caixa para novos contratos</t>
  </si>
  <si>
    <t>15/02 - Em análise
26/02 - fizemos um call com o time FA para tirarmos duvidas preliminares
28/02 - Enviaram as condições do contrato com a Petrobras, porém pendente de enviar a relação dos imóveis que podem ser dados como garantia
05/03 - Conseguiram o contrato com a Petro e vao pegar um empréstimo com um banco. Pendente de devolutiva de respostas
14/03 - Locadoras tem perdas milionárias com queda de seminovo, isso impacta diretamente o business da OBDI
21/03- solução seria disponibilizar uma linha de credito que estaria disponível caso a empresa ganhe uma licitação, porem isso dificilmente seria aprovado em comite. Estariamos disponibilizando um credito sem contrapartida de receita em um primeiro momento, alem de prejudicar a rentabilidade</t>
  </si>
  <si>
    <t>01/04 - solução seria disponibilizar uma linha de credito que estaria disponível caso a empresa ganhe uma licitação, porem isso dificilmente seria aprovado em comite. Estariamos disponibilizando um credito sem contrapartida de receita em um primeiro momento, alem de prejudicar a rentabilidade</t>
  </si>
  <si>
    <t>Pré-precatório</t>
  </si>
  <si>
    <t>Data Traffic e DNIT</t>
  </si>
  <si>
    <t>Vicente Barros (Amavic)</t>
  </si>
  <si>
    <t>14/03 - Fechamos o racional de precificação, pendente de alinhar o % do vf a ser proposto. 
Há um outro player que ja colocou a proposta mas ainda não é algo que estão buscando.
15/03 - No dia 18/03 vamos nos atualizar para entender se avançou a negociação
22/03 - Agendar reunião com Vicente Barros para entender a evolução das negociações
22/04 - Reunião com potenciais investidores para a captação do fundo monotematico para esse investimento
26/04 - Primeira parte da transação (R$ 5mm) foi liquidada</t>
  </si>
  <si>
    <t>Christopher e Hugo</t>
  </si>
  <si>
    <t>Refinanciamento da Dívida</t>
  </si>
  <si>
    <t>HI Plataform</t>
  </si>
  <si>
    <t>ExFin Advisory</t>
  </si>
  <si>
    <t>Refinanciamento de dívida e investimentos em expansão: Investimento em produto e desenvolvimento e máquina de vendas</t>
  </si>
  <si>
    <t>26/03 - Liguei para a ExFin, unica garantia oferecida é de recebiveis da operação, a principio nao ha mais imoveis e a cia esta a mercado tentando captar dívida, estão vendo ~CDI+6%
01/04 - Caso nao voltem com as respostas das garantias e taxas vamos  passar a oportunidade com o time de FA e então declinar</t>
  </si>
  <si>
    <t>não</t>
  </si>
  <si>
    <t>29/04 - Declinamos pois não tinha collateral suficiente (sem imoveis) e esperavam uma taxa mto baixa, ainda não era case de SS.</t>
  </si>
  <si>
    <t>Credito para RJ</t>
  </si>
  <si>
    <t>Terra Forte</t>
  </si>
  <si>
    <t>João Pedro Santos (A&amp;M)</t>
  </si>
  <si>
    <t>Crédito de R$ 25-30mm para pagar credores em atraso e capital de giro para a companhia</t>
  </si>
  <si>
    <t>21/02 - Recebemos as informações e fizemos o primeiro call para tirarmos dúvidas com a A&amp;M. 
22/02 - Enviaram o modelo e estamos analisando
23/02 - Vamos ajustar o NDA enviado por eles</t>
  </si>
  <si>
    <t>01/03 - Entendemos que a companhia não possui capacidade de pagamento do empréstimo devido ao tamanho da safra e o custo de plantio para a próxima safra, além de poucas garantias disponíveis (ativos alienados ao BTG)</t>
  </si>
  <si>
    <t>Elisa Agro</t>
  </si>
  <si>
    <t>Eduardo Bastos (A&amp;M)</t>
  </si>
  <si>
    <t>Crédito de R$ 65 mm  para plantio de algodão</t>
  </si>
  <si>
    <t>21/02 - Recebemos as informações e fizemos o primeiro call para tirarmos dúvidas com a A&amp;M. 
22/02 -Pendente assinatura do NDA
23/02 - Vamos alinhar internamente
29/02 - Pendente do envio de novas solicitações
08/03 - Pendente de análise do Muller
18/03 - oportunidade negada</t>
  </si>
  <si>
    <t>Oportunidade declinada devido: (I) a falta de previsibilidade da negociação do CRA e M&amp;A; (II) O custo de financiamento para a operação de algodão nos pareceu caro quando comparado a margem media do algodão. (iii) Além do risco da safra</t>
  </si>
  <si>
    <t>Capital Solution</t>
  </si>
  <si>
    <t>Armazem do Grão</t>
  </si>
  <si>
    <t>Hoje, o grupo totaliza 12 unidades entre Petrópolis, Teresópolis e Rio de Janeiro, e faturam mais de R$ 350 milhões. O efeito da pandemia do Covid-19, em conjunto com os investimentos feitos em 2020, deixou a cia com uma grande necessidade de caixa. Com isso, tomaram empréstimos que desequilibraram muito sua estrutura de capital</t>
  </si>
  <si>
    <r>
      <t xml:space="preserve">21/02 - Recebemos as informações do time JGP FA (Em análise)
04/03 - Pendente as informações de 2023 e entender a relação dos imóveis disponíveis
</t>
    </r>
    <r>
      <rPr>
        <sz val="11"/>
        <color rgb="FFFF0000"/>
        <rFont val="Calibri"/>
        <family val="2"/>
        <scheme val="minor"/>
      </rPr>
      <t>08/03 - Confirmar com o Fernando sobre a relação com Catalunha (PE) 
15/03 - Alinhar o case com o Fernando na semana do dia 18/03</t>
    </r>
    <r>
      <rPr>
        <sz val="11"/>
        <color theme="1"/>
        <rFont val="Calibri"/>
        <family val="2"/>
        <scheme val="minor"/>
      </rPr>
      <t xml:space="preserve">
28/03 - FA recebeu os numeros de 2023 e irão nos enviar na semana que vem. Além disso, a Catalunha colocou uma proposta de deb. conversivel mas foi negado pelos acionistas
08/04 - Ainda não enviaram os números de 2023, vão enviar até 10/04</t>
    </r>
  </si>
  <si>
    <t>Mollica/Christopher</t>
  </si>
  <si>
    <t>Brasfio</t>
  </si>
  <si>
    <t>Guilherme Sertorio</t>
  </si>
  <si>
    <t>Necessidade de captação de R$ 10mm, garantia de um imovel (não é da recuperanda) de R$ 25mm</t>
  </si>
  <si>
    <t>04/03 - Sertorio enviará a informação. Estão descumprindo o plano, pendente de envio da matrícula do imóvel no MT.
08/03 - Luiza vai cobrar do Sertorio</t>
  </si>
  <si>
    <t>Odebrecht</t>
  </si>
  <si>
    <t>Originação Própria</t>
  </si>
  <si>
    <t xml:space="preserve">OBD quer vender creditos contra a prefeitura do RJ R$ 360mm </t>
  </si>
  <si>
    <r>
      <t xml:space="preserve">Luiza marcará um call para entender melhor do crédito
Em análise, porém dificilmente seguiremos para uma proposta
</t>
    </r>
    <r>
      <rPr>
        <sz val="11"/>
        <color rgb="FFFF0000"/>
        <rFont val="Calibri"/>
        <family val="2"/>
        <scheme val="minor"/>
      </rPr>
      <t>08/03 e 15/03  - Vamo conversar internamente sobre um possivel litigation finance</t>
    </r>
    <r>
      <rPr>
        <sz val="11"/>
        <color theme="1"/>
        <rFont val="Calibri"/>
        <family val="2"/>
        <scheme val="minor"/>
      </rPr>
      <t xml:space="preserve">
01/04 - estão revalidando nosso NDA e informações dos imóveis, vamos tentar fazer uma operação estruturada com 2 imóveis. 
08/04 - estamos cobrando o NDA
15/04- Pendente de recebimento de informações</t>
    </r>
  </si>
  <si>
    <t>Não houve devolutiva do Lucas (CFO da OBD)</t>
  </si>
  <si>
    <t>Credito para Empresa</t>
  </si>
  <si>
    <t>Laticinios Damare</t>
  </si>
  <si>
    <t>Paulo Viola</t>
  </si>
  <si>
    <t>26/02 - Oportunidade enviada pelo Paulo Viola (em análise)
15/03 - Preparar um q&amp;a inicial para entender se vamos seguir olhando ou não
19/03 - solicitamos ao viola que nos envie a relação de garantias que estão disponíveis para collateralizar o empréstimo</t>
  </si>
  <si>
    <t>25/03 - Oportunidade declinada devido: (i) somente 1 garantia com valor de laudo de R$ 50mm, sendo o emprestimo de 120mm; (ii) Do valor total de empréstimo, 70mm estavam negociados com a SICOOB, com a garantia operacional</t>
  </si>
  <si>
    <t>Precatório</t>
  </si>
  <si>
    <t xml:space="preserve">Usina Santa Lydia </t>
  </si>
  <si>
    <t>Souto Correa</t>
  </si>
  <si>
    <t>28/02 -  É um daqueles casos bilionários, embora aparentemente já tenham alguns depósitos nos autos. 
15/03- Rafael esta buscando mais detalhes</t>
  </si>
  <si>
    <t>Luiza / Hugo</t>
  </si>
  <si>
    <t>Não vamos seguir por SS</t>
  </si>
  <si>
    <t>NPL</t>
  </si>
  <si>
    <t>Leilão de Atacado</t>
  </si>
  <si>
    <t>Itau BBA</t>
  </si>
  <si>
    <t>28/02 - Leilão está marcado para o dia 08 de abril, e receberão as propostas até as 11hs
08/03 - Prioridade para semana (11/03)
15/03 - mto crédito pequeno para analisar e definir um go no go até final da semana que vem
01/04 - Itau marcou uma reunião amanha 02/04 para repassarmos os créditos
08/04 - Enviamos a proposta para VC Facilitador.
Pendente de fechar o contrato de cessão com a VC
15/04 - Em conversas com o Itau, Ricardo Quass esta tentando tirar desse leilao do itau e colocar no próximo (aguardar)</t>
  </si>
  <si>
    <t>Itau recebeu uma proposta maior e seguiu com a proposta</t>
  </si>
  <si>
    <t>Precatório Sergipe</t>
  </si>
  <si>
    <t>Herílio Gomes da Silva</t>
  </si>
  <si>
    <t>DJA Invest</t>
  </si>
  <si>
    <t>Não Alimentar - Administrativo</t>
  </si>
  <si>
    <t>07/03 - Crédito de R$ 1.3mm (valor histórico)
08/03 - sinalizamos 25% PU, podendo receber em 3 anos, pendente de resposta</t>
  </si>
  <si>
    <t>Demos preço e não tivemos resposta da DJA Invest. Valor pequeno</t>
  </si>
  <si>
    <t>Precatorio Estado de SP</t>
  </si>
  <si>
    <t>Sociedade Agricola Cabreúva</t>
  </si>
  <si>
    <t>JGP FA - Rafael Dale</t>
  </si>
  <si>
    <t>Precatório Inscrito</t>
  </si>
  <si>
    <t>15/03 - Hugo pegou as cópias e informações, pendente de checar a conformidade processual e envio dos parametros para modelagem</t>
  </si>
  <si>
    <t>15/03 - Não tem o precatório expedido, há discussão</t>
  </si>
  <si>
    <t>Precatorio TO</t>
  </si>
  <si>
    <t>Jerimias Demito</t>
  </si>
  <si>
    <t>14/03 - Colocamos proposta de R$6.5mm, pendente de respostas
01/04- Cobramos resposta do originador, acha que o precatorio esta em 10mm entao o desagio seria mto grande
26/04 - Jeremias não esta com necessidade de CP, vamos precificar 
20/05 - Vamos precificar outros 2 precatorios. Tocantins está aberto a acordo de 60%
18/06 - Precificamos e enviamos o valor indicativo para o broker
01/07 - Pendente de retorno da Luana, estamos segurando isso para dar uma resposta para data traffic
22/07 - Enviamos proposta para os precatorios da Data Traffic (STAND-BY)</t>
  </si>
  <si>
    <t>Tunepe</t>
  </si>
  <si>
    <t>Leopoldinense</t>
  </si>
  <si>
    <t>Broker</t>
  </si>
  <si>
    <r>
      <t xml:space="preserve">15/03 - Entender o risco de ser IVR
22/03 - Enviamos uma proposta de 33% do vf, aguardando resposta
01/04 - Precatorios expedidos com bloqueio
</t>
    </r>
    <r>
      <rPr>
        <sz val="11"/>
        <color rgb="FFFF0000"/>
        <rFont val="Calibri"/>
        <family val="2"/>
        <scheme val="minor"/>
      </rPr>
      <t>Reconsiderar o preço, pagando algo na frente e pagando mais quando houver o transito em julgado da impugnação</t>
    </r>
    <r>
      <rPr>
        <sz val="11"/>
        <color theme="1"/>
        <rFont val="Calibri"/>
        <family val="2"/>
        <scheme val="minor"/>
      </rPr>
      <t xml:space="preserve"> 
Perguntar para a Siguler como precificariam nesse caso, entraríamos juntos nessa oportunidade
15/04 - precificamos uma nova proposta, pendente de envio. Vamos enviar primeiro o Tunepe Santa Isabel, caso não saia, seguiremos com esse
30/04 - Cobrar o Alex para entender os próximos passos</t>
    </r>
  </si>
  <si>
    <t>Hugo / Christopher</t>
  </si>
  <si>
    <t>07/05 - Expediu precatorio, perdeu valor para SS.</t>
  </si>
  <si>
    <t>Crédito para RJ</t>
  </si>
  <si>
    <t>Vitalmar</t>
  </si>
  <si>
    <t>Empresa de pescados e frutos do mar em recuperação judicial</t>
  </si>
  <si>
    <t>15/03 - recebemos as informações, vamos fazer um primeiro filtro e voltar com o time FA 
Itau disposto a vender o crédito deles (dominam a classe II)
04/04 - Tivemos uma reunião com a Cia e com o Itau, vamos aguardar o envio de demais infos (projeções, BP, resultados 1t24) até dia 09/04. 
09/04 - Esperar resultado do leilão do Itau.
30/04 - Almoço da Luiza com o Itau para saber o resultado do leilao
03/06 - Reunião para update de status dia 04/06
07/06 - Irão enviar as informações ao decorrer dessa semana</t>
  </si>
  <si>
    <t>Aspometron</t>
  </si>
  <si>
    <t>WhatsApp</t>
  </si>
  <si>
    <t>Precatórios da Aspometron orçamento 2024</t>
  </si>
  <si>
    <r>
      <t xml:space="preserve">14/03 -Consideramos uma proposta de 65% do valor de face, pendente de envio da potencial proposta. Pendente de resposta.
</t>
    </r>
    <r>
      <rPr>
        <sz val="11"/>
        <color rgb="FFFF0000"/>
        <rFont val="Calibri"/>
        <family val="2"/>
        <scheme val="minor"/>
      </rPr>
      <t>01/04 - antes de seguir devemos fazer o levantamento do que aconteceu com os recursos e contas judiciais novas.
15/04 - Originador falou que há fundos oferecendo 75% em precatorios federais 2024.</t>
    </r>
  </si>
  <si>
    <t>Originador falou que há fundos oferecendo 75% em precatorios federais 2024.</t>
  </si>
  <si>
    <t>Precatório Tocantis</t>
  </si>
  <si>
    <t xml:space="preserve">Agropecuaria Sao Jeronimo </t>
  </si>
  <si>
    <t>14/03 -Consideramos uma proposta de 60% do valor de face, pendente de envio da potencial proposta</t>
  </si>
  <si>
    <t xml:space="preserve"> 09/04 - Expectativa de preço era maior que os 60% oferecidos</t>
  </si>
  <si>
    <t>Precatórios Tocantis</t>
  </si>
  <si>
    <t>Altamiro</t>
  </si>
  <si>
    <t>14/03 -Consideramos uma proposta de 60% do valor de face, pendente de envio da potencial proposta. 
01/04 - Pendente de devolutiva do originador sobre a proposta indicativa
02/04 - Vendedor recusou, achou muito abaixo do que esperava (queria 80%)</t>
  </si>
  <si>
    <t>02/04 - Vendedor recusou, achou muito abaixo do que esperava (queria 80%)</t>
  </si>
  <si>
    <t>Precatório DF</t>
  </si>
  <si>
    <t>APA Net Informática</t>
  </si>
  <si>
    <t>Apresentação de Special Sits</t>
  </si>
  <si>
    <t>15/03 -Mauricio pediu que atualizassemos a apresentação para enviarmos aos players que tivemos reunião essa semana
01/04 - atualizar a tir do estrut. III
07/06 - Dividimos a apresentação e vamos enviar uma primeira versão até 14/06.
04/07 - Dividimos apresentação com o Mauricio, ja realizou alguns comentários</t>
  </si>
  <si>
    <t>Concremat</t>
  </si>
  <si>
    <t>01/04 - Passamos a mesma proposta de Altamiro (60%), estamos aguardando resposta da Diretoria.
08/04 - Aguardando resposta da diretoria</t>
  </si>
  <si>
    <t>07/05 - Não tivemos resposta da diretoria</t>
  </si>
  <si>
    <t>Claim</t>
  </si>
  <si>
    <t>Petrobras</t>
  </si>
  <si>
    <t>Pedro Cavalcanti 
Rafael Solon</t>
  </si>
  <si>
    <t>Companhia</t>
  </si>
  <si>
    <t>Hugo e Christopher</t>
  </si>
  <si>
    <t>Jailton - Quero meus direitos</t>
  </si>
  <si>
    <t>Declinamos por não estar alinhado com o fundo de SS.</t>
  </si>
  <si>
    <t>Usina Ester</t>
  </si>
  <si>
    <t>17/04 - Analisamos algumas informações e enviamos email para o broker com algumas dúvidas, pendente de resposta
06/05 - Julia alertou sobre um possivel risco de fraude da operação - entender</t>
  </si>
  <si>
    <t>05/06 - Setor que nao ficamos mto confortavel, poucas garantias, alem da capacidade de pgto da Cia.</t>
  </si>
  <si>
    <t>Pelotas</t>
  </si>
  <si>
    <t>Thomas</t>
  </si>
  <si>
    <t>Ainda não desceu do STJ, precisamos alinhar com o Thomas.</t>
  </si>
  <si>
    <t>Ainda não tem transito em julgado</t>
  </si>
  <si>
    <t>Acordo de negociação das fazendas</t>
  </si>
  <si>
    <t>Dívida maiores que o esperado</t>
  </si>
  <si>
    <t>Legal Claim</t>
  </si>
  <si>
    <t>Roglio</t>
  </si>
  <si>
    <t>01/04 - Thomas sugeriu marcarmos uma reuniao com os clientes e Will (JGP FA)
30/04 - Laudo pouco conclusivo
20/05 - Empresa no RS</t>
  </si>
  <si>
    <t>Carteira</t>
  </si>
  <si>
    <t>Carteira da Quadra</t>
  </si>
  <si>
    <t>Quadra</t>
  </si>
  <si>
    <t>Carteira de Real Estate</t>
  </si>
  <si>
    <t>Madureira Shopping</t>
  </si>
  <si>
    <t>15/04- Vamos analisar se há algum crédito relevante</t>
  </si>
  <si>
    <t>15/04 - Carteira pulverizada, créditos antigos e credores complicados (pizzaria, lojas de colchão)</t>
  </si>
  <si>
    <t>Agrovaz</t>
  </si>
  <si>
    <t>Produtor rural precisando de financiamento de até 20MM, onde oferece como garantia um imovel rural (matricula anexo) avaliado em 20MM (17mil/hectare) na região do Tocantins</t>
  </si>
  <si>
    <t>26/04 - Voltamos com o viola informando que precisamos ter numeros organizados, minimamente com DFs confiáveis. Recebemos somente um excel com o compliado dos números até os custos.</t>
  </si>
  <si>
    <t>UTC</t>
  </si>
  <si>
    <t>BlueOak</t>
  </si>
  <si>
    <t>Pendente de retorno</t>
  </si>
  <si>
    <t>Prazo longo demais para o fundo e o valor sendo mto inferior ao que queriam garantir</t>
  </si>
  <si>
    <t>Westin</t>
  </si>
  <si>
    <t>Potencial acordo para o Erair</t>
  </si>
  <si>
    <t>Litigation</t>
  </si>
  <si>
    <t>Tonay Advogados</t>
  </si>
  <si>
    <t>Mediação para saída do sócio
01/04 - Vamos retornar para o sócio do Tonay</t>
  </si>
  <si>
    <t>Pontec</t>
  </si>
  <si>
    <t>01/04 - Precisamos fazer a proposta e refinar o 750mil, devemos incluir no preço esse valor.
09/04 - Diligência finalizada, esperando Bernardo enviar. Hugo vai conversar com a Mellon sobre próximos passos e vamos preparar a apresentação para o comitê
15/04 - Comitê aprovado, ja investimos 750k, vamos liquidar os 4.5mm até dia 29
29/04 - Liquidamos os R$ 750k, vamos liquidar o R$ 4.5mm do restante do investimento até o fim dessa semana (03/05)
04/06 - Contratar advogado para tocar a causa e alterar a confissão de dívida
17/06 - Assinar o instrumento de transação 
01/07 - Contratar advogado</t>
  </si>
  <si>
    <t>Usina Aysu</t>
  </si>
  <si>
    <t>20/03 - Solicitamos informações adicionais que ainda não tivemos resposta do time de Vela Capital
26/03 - Vela Capital nos retornou afirmando que a cia já conseguiu realizar a captação</t>
  </si>
  <si>
    <t>26/03 - Vela Capital nos retornou afirmando que a cia já conseguiu realizar a captação</t>
  </si>
  <si>
    <t>Legal Claims</t>
  </si>
  <si>
    <t>Eletrobras</t>
  </si>
  <si>
    <t>Desejam 71% do vf</t>
  </si>
  <si>
    <t>Desejam 71% do vf, já negado</t>
  </si>
  <si>
    <t>Agropecuaria Tapirapuan</t>
  </si>
  <si>
    <r>
      <t xml:space="preserve">27/03 - Indicamos no grupo uma potencial proposta variando o % do VF de 70% - 75%, pendente de envio da proposta
01/04 - Cobramos uma resposta do Raphael Martins
</t>
    </r>
    <r>
      <rPr>
        <sz val="11"/>
        <color rgb="FFFF0000"/>
        <rFont val="Calibri"/>
        <family val="2"/>
        <scheme val="minor"/>
      </rPr>
      <t>09/04 - Raphael voltou com 71% de vf + 2% upfront - vamos validar</t>
    </r>
  </si>
  <si>
    <t>Por estrategia interna não olharemos os precatorios federais</t>
  </si>
  <si>
    <t>Precatório Municipal</t>
  </si>
  <si>
    <t>Espólio Egon Koses</t>
  </si>
  <si>
    <t>Francisco Carneiro</t>
  </si>
  <si>
    <t>Precatório Municipal de Pinhais</t>
  </si>
  <si>
    <r>
      <t>19/03- Recebemos a oportunidade pelo AAI da GPX Investimentos -</t>
    </r>
    <r>
      <rPr>
        <sz val="11"/>
        <color rgb="FFFF0000"/>
        <rFont val="Calibri"/>
        <family val="2"/>
        <scheme val="minor"/>
      </rPr>
      <t xml:space="preserve"> Pendente de análise</t>
    </r>
  </si>
  <si>
    <t>08/04 - Esse precatório sozinho é mais que metade de tudo que foi pago nos ultimos 2 anos</t>
  </si>
  <si>
    <t>Serruya</t>
  </si>
  <si>
    <t>JGP FA/w1</t>
  </si>
  <si>
    <t>Precatório Federal de Belem do Pará</t>
  </si>
  <si>
    <t>22/03 - Serruya, ao que tudo indica, ainda não foi migrado (tipo Trimonte, saiu requisitório, mas não migrou). Inviável 12.5mio para 2025 (ou 2026).
01/04 - Vamos aguardar a data limite para definição do pagamento em 2025
04/04 -  Considerarmos 12.5mm (59% vf). TIR Líquida ~29%.</t>
  </si>
  <si>
    <t>09/04 - Preço inicial solicitado é maior que os R$ 12.5mm que oferecemos, o que torna a operação pouco atrativa para SS.</t>
  </si>
  <si>
    <t>Sindicato</t>
  </si>
  <si>
    <t>Thiago</t>
  </si>
  <si>
    <r>
      <t xml:space="preserve">Precatório Federal de Maceio, Alagoas </t>
    </r>
    <r>
      <rPr>
        <sz val="11"/>
        <color rgb="FFFF0000"/>
        <rFont val="Calibri"/>
        <family val="2"/>
        <scheme val="minor"/>
      </rPr>
      <t>(Sindicato dos Servidores)</t>
    </r>
  </si>
  <si>
    <r>
      <t xml:space="preserve">26/03 - Indicamos uma proposta para o Thiago de 76% do vf e 1% upfront para advogados. Ainda não mencionamos o possível exito para o broker.
</t>
    </r>
    <r>
      <rPr>
        <sz val="11"/>
        <color rgb="FFFF0000"/>
        <rFont val="Calibri"/>
        <family val="2"/>
        <scheme val="minor"/>
      </rPr>
      <t>09/04 - Aguardando retorno do Thiago sobre a proposta do BTG mas ja sinalizamos que não seguiremos se não houver evidencias da proposta de 75%.</t>
    </r>
  </si>
  <si>
    <t>TBD</t>
  </si>
  <si>
    <t>Precatório Estadual</t>
  </si>
  <si>
    <t>Família Popescu</t>
  </si>
  <si>
    <t>Precatório Estadual de São Paulo</t>
  </si>
  <si>
    <t>01/04 - Aguardando resposta da FA sobre a origem da oportunidade</t>
  </si>
  <si>
    <t>05/04 - papel foi vendido para outra casa.</t>
  </si>
  <si>
    <t>Hidronorte</t>
  </si>
  <si>
    <t>Precatório Federal de Londrina</t>
  </si>
  <si>
    <t>01 /04 - Saque a partir de 1/mar/24 - precatorio pago</t>
  </si>
  <si>
    <t>09/04 - precatorio pago</t>
  </si>
  <si>
    <t>DIP</t>
  </si>
  <si>
    <t>BS Tecnologia</t>
  </si>
  <si>
    <t>Dauricio Advogados</t>
  </si>
  <si>
    <t>Como mencionado, a BS Tecnologia e Serviços está atualmente em processo de recuperação judicial, devido às dificuldades enfrentadas durante a pandemia de Covid-19, que resultaram em uma crise econômico-financeira.</t>
  </si>
  <si>
    <t>08/04 - Em análise</t>
  </si>
  <si>
    <t>Nao tivemos atualização do case</t>
  </si>
  <si>
    <t>Precatório Federal Brasilia</t>
  </si>
  <si>
    <t>Cia Açucareira Vale do Ceará Mirim</t>
  </si>
  <si>
    <t>28/03 - Precatorio enviado pela FA, transito em julgado</t>
  </si>
  <si>
    <t>Sugestão de Parceria</t>
  </si>
  <si>
    <t>Wlademir Aguiar</t>
  </si>
  <si>
    <t>Enviou uma solicitação pelo RI para fecharmos potencial parceria</t>
  </si>
  <si>
    <t>Responder o email agradecendo e pedindo a oportunidade que ele tem para passar para nós.</t>
  </si>
  <si>
    <t>Capital de Giro</t>
  </si>
  <si>
    <t>Marimex</t>
  </si>
  <si>
    <t>Vega Asset</t>
  </si>
  <si>
    <t>Nota comercial de R$160M, para capital de giro e necessidades de curto prazo da companhia</t>
  </si>
  <si>
    <t>08/04 - Em análise
15/04 - vamos aguardar a Vega enviar mais informações
30/04 - Vamos cobrar as infos da Vega
13/05 - Até o momento Vega so possui o teaser também</t>
  </si>
  <si>
    <t>Christopher/Luiza</t>
  </si>
  <si>
    <t>Rio Turia (Bunge)</t>
  </si>
  <si>
    <t>09/04 - Ainda sem parametro para precificação, aguardando conclusão da fase de liquidação
15/04 - Vamos responder ao Bruno Vilar que não conseguiremos precificar nesse momento</t>
  </si>
  <si>
    <t>Cesp (Argila) - Cerâmica da Fonte</t>
  </si>
  <si>
    <t>09/04 - Expectativa do credor é elevada em relação ao preço, continuaremos monitorando a oportunidade.
15/04 - Sentença homologando o laudo, vamos esperar pra ver se as partes irão agravar</t>
  </si>
  <si>
    <t>Tunep</t>
  </si>
  <si>
    <t>Santa Izabel</t>
  </si>
  <si>
    <t>08/04 - Em análise
11/04 - Enviamos proposta, aguardando resposta
30/04- Proposta nao aprovada por 1 diretor, para seguir precisaria da aprovação total</t>
  </si>
  <si>
    <t>Christopher/Hugo</t>
  </si>
  <si>
    <t>30/04 - Proposta nao aprovada por 1 diretor, para seguir precisaria da aprovação total</t>
  </si>
  <si>
    <t xml:space="preserve">Compra de Créditos </t>
  </si>
  <si>
    <t>Yara</t>
  </si>
  <si>
    <t>José Afonso (VBSO)</t>
  </si>
  <si>
    <t xml:space="preserve">Créditos detidos pela Yara decorrente de inadimplementos no pagamento de insumos agrícolas </t>
  </si>
  <si>
    <t>02/02 - Baixar os processos indicados na apresentação
Luiza analisando os relatórios da Yara
04/03 - Luiza marcou um call (06/03) sobre o processo Emgual . Os demais casos não se mostraram interessantes 
08/03 - Luiza vai cobrar o Lapa (ARC)
15/03 - Retorno do Lapa até 10/abr</t>
  </si>
  <si>
    <t>07/05 - sem retorno</t>
  </si>
  <si>
    <t>DFG Agro</t>
  </si>
  <si>
    <t>Thales Neves (Zeal Soluçoes)</t>
  </si>
  <si>
    <t>Eles devem na casa de 250MM (total), e em aberto 40/50MM de 2023 e início 2024.
Tem patrimonio, querem resolver, precisam de folego, mas precisamos limpar os atrasados, carência e prazo com boas garantias para alongar o caixa dele.Eles devem na casa de 250MM (total), e em aberto 40/50MM de 2023 e início 2024.</t>
  </si>
  <si>
    <t>08/04 - Em análise
12/04 - Solicitamos uma reunião com a Cia, pendente de resposta
06/05 - Esse ativo estava no fundo da galapagos GCRA11 e também não houve o pagamento da parcela CPR-F e tb do CRA 112</t>
  </si>
  <si>
    <t>Bruno Ribeiro</t>
  </si>
  <si>
    <t>08/04 - Bruno mandou diversos precatórios, precisamos voltar
30/04 - Luiza vai marcar um call com o Bruno</t>
  </si>
  <si>
    <t>Precatorio</t>
  </si>
  <si>
    <t>Maxpel</t>
  </si>
  <si>
    <t>Precatorio Federal Amazonas</t>
  </si>
  <si>
    <t>04/04 - Precificamos a vf de 70%,  TIR de 17%</t>
  </si>
  <si>
    <t>09/04 - Valor baixo para SS</t>
  </si>
  <si>
    <t>Medlife</t>
  </si>
  <si>
    <t>Santander</t>
  </si>
  <si>
    <t>Hospitais em Volta Redonda, olhando as ações e a RJ</t>
  </si>
  <si>
    <t>09/04 - Estamos olhando as ações e a RJ. Vamos tentar conversar direto com o advogado da Medlife (Chamme)
30/04 - Santander quer um preço alto e o principal sócio nao tem um bom track record</t>
  </si>
  <si>
    <t>OI</t>
  </si>
  <si>
    <t>08/04 - Em análise
29/04 - Buscar cotações TRS mas estamos limitados para o Est.III.
17/06- aguardando resposta do BBM sobre o TRS</t>
  </si>
  <si>
    <t>Compra de Debentures</t>
  </si>
  <si>
    <t>Aeris</t>
  </si>
  <si>
    <t>17/04 - Vamos aguardar a divulgação de resultado no dia 15/05.
16/05 - Compramos AERIS R$ 2mm</t>
  </si>
  <si>
    <t>Luiza/Christopher</t>
  </si>
  <si>
    <t>0.67 AERI11 @DI+18.99%
1.33 AERI 12 @DI+18.99%</t>
  </si>
  <si>
    <t>NPL do Itau</t>
  </si>
  <si>
    <t>Grupo Isdra</t>
  </si>
  <si>
    <t>09/04 - Itau vai enviar as informações
29/04 - Leilao postergado para 16.05
30/04 - Thomas respondeu as duvidas que enviamos para ele, Luiza vai conversar 
07/05 - Marcar uma conversa com o Putinato e Eduardo Isdra.
20/05 - Empresa no RS</t>
  </si>
  <si>
    <t>Usina Capricho</t>
  </si>
  <si>
    <t>Não gostamos da tese IAA e evitamos precatórios em valores superiores a R$ 100mm</t>
  </si>
  <si>
    <t>Carteira de Crédito</t>
  </si>
  <si>
    <t>Santader</t>
  </si>
  <si>
    <t>30/04 - Vamos olhar o VDR</t>
  </si>
  <si>
    <t>Bernardo</t>
  </si>
  <si>
    <t>20/05 - Poucos nomes interessantes, porem devido o prazo da proposta Binding e o tempo da carteira, decidimos não seguir</t>
  </si>
  <si>
    <t>Compra de Créditos do CS</t>
  </si>
  <si>
    <t>Tuper</t>
  </si>
  <si>
    <t>Credit Suisse</t>
  </si>
  <si>
    <t>Empresa processadora de aço, que o CS esta vendendo, como plano de desinvestimento, 18 CCEs de USD 6.6MM</t>
  </si>
  <si>
    <t>19/04 - Tivemos um primeiro call na semana passada. Vamos ter uma conversa com a Cia dia 24/04.
30/04 - Nova conversa com a cia para entender alguns pontos
Proposta non binding até dia 08.05
06/05 - Pendente de recebimento de algumas infos (IR dos Socios, estrategia para divida de curto prazo, explicação dos mutuos)</t>
  </si>
  <si>
    <t>Christopher/Mollica</t>
  </si>
  <si>
    <t>15/05- BID mto abaixo dos outros recebidos</t>
  </si>
  <si>
    <t>Hospital Geral El Kadri</t>
  </si>
  <si>
    <t>Advisor</t>
  </si>
  <si>
    <t>80mm de divida sendo 48mm fazenda nacional 10mm banco 7mm de fornecedores 3mm de medicos, nao pagaram impostos
Renegociaram para 12.5mm, negociaçao direto com pgfn, 120x, negociou uma parcela um pouco menor e dps principal e juros</t>
  </si>
  <si>
    <r>
      <t xml:space="preserve">19/04 - Tivemos uma primeira conversa com o assessor, estão buscando 50mm
</t>
    </r>
    <r>
      <rPr>
        <sz val="11"/>
        <color rgb="FFFF0000"/>
        <rFont val="Calibri"/>
        <family val="2"/>
        <scheme val="minor"/>
      </rPr>
      <t>Recebemos acesso ao data room, começar a analisar</t>
    </r>
    <r>
      <rPr>
        <sz val="11"/>
        <color theme="1"/>
        <rFont val="Calibri"/>
        <family val="2"/>
        <scheme val="minor"/>
      </rPr>
      <t xml:space="preserve">
Fernando vai entender melhor do mercado de saude em campo grande</t>
    </r>
  </si>
  <si>
    <t>07/06 - Negamos a oportunidade pois alem do custo de retrofit da operação ser mto caro (Special Sits), entendemos que o HGEK não esta bem posicionado, devido a presença de Unimed e Rede Dor no MS.</t>
  </si>
  <si>
    <t>Brandili</t>
  </si>
  <si>
    <t>Manchester Investimentos</t>
  </si>
  <si>
    <t>Atividade principal é a fabricação e comercialização de produtos da indústria de fiação, tecelagem e malharia de confecção em geral, representação comercial, locação de imóveis próprios e participação em outras sociedades</t>
  </si>
  <si>
    <t>19/04 - Recebemos a oportunidade pela Carla. 
A cia possui 2 imóveis para composição de garantias reais. Planta com matrículas separadas (4057 e 11851) em Apiúna/SC e o outro imóvel que é da Associação da Brandili.
O Presidente da empresa mencionou que caso haja necessidade, poderá complementar garantias com um imóvel residencial localizado em Balneário Camboriú/SC. Este ainda não tenho os documentos.
29/05 - Solicitamos algumas infos adicionais, pendente de resposta
06/06 - Recebemos as respostas, vamos analisar
14/06 - Estamos agendando um call para inicio da semana
01/07 - Call agendado com a Companhia às 14h
04/07 - Enviaram novas infos, porém entendemos que não é um case de SS</t>
  </si>
  <si>
    <t>19/07 - Entendemos nao ser um case de SS, pois ja reperfilaram grande parte da divida de CP a taxas mais atrativas. 
Encaminhamos para a FA, porém a Manchester já bateu o mercado e não aceitaram M&amp;A que poderia levar a um kicker do nosso lado</t>
  </si>
  <si>
    <t>Precatorio Estadual da Bahia</t>
  </si>
  <si>
    <t>24/04 - Enviado pela FA - precatório de 300 MM do estado da Bahia.
Cliente quer 55%, mas aceita proposta</t>
  </si>
  <si>
    <t>Ja avisamos a FA que a fila de pagamento da Bahia é ruim.</t>
  </si>
  <si>
    <t>Ativos Judiciais</t>
  </si>
  <si>
    <t>Placido Castelo</t>
  </si>
  <si>
    <t>Oportunidades não são boas. Não há crédito, é uma declaratória.</t>
  </si>
  <si>
    <t>João Felipe Jucá</t>
  </si>
  <si>
    <t>Mandatado para duas oportunidades que podem se encaixar para o fundo : recebíveis de aproximadamente R$ 34 MM de uma empresa de saúde contra ente público, e um shopping no Nordeste. Aguardo o contato para apresentar essas oportunidades para avaliação.</t>
  </si>
  <si>
    <t>Ativos não faziam sentido para SS.</t>
  </si>
  <si>
    <t>TIGRE</t>
  </si>
  <si>
    <t>07/05 - Já passamos uma proposta indicativa de 40%, entender melhor sobre o pagamento do estado de SP.</t>
  </si>
  <si>
    <t>Não tivemos devolutiva há mais de 1 mês</t>
  </si>
  <si>
    <t>Casa Bahia</t>
  </si>
  <si>
    <t>Alvarez &amp; Marsal</t>
  </si>
  <si>
    <t>Dar uma saída para o passivo trabalhista e FIDC de crediário</t>
  </si>
  <si>
    <t>07/05 - Vamos falar na semana que vem (14/05)</t>
  </si>
  <si>
    <t>Dia Supermercados</t>
  </si>
  <si>
    <t>Operação com os fornecedores</t>
  </si>
  <si>
    <t>Pre precatorio Municipal - Feira de Santana</t>
  </si>
  <si>
    <t>Estre Ambiental</t>
  </si>
  <si>
    <t>Diego Ressureição</t>
  </si>
  <si>
    <t>13/05 - Ficamos de mandar a precificação até quarta-feira (15/05)
20/05 - Pre comite agendado para hoje
23/05 - Aprovado em Comitê
04/06 - Contratamos um escritorio para fazer a Legal - Autorização
07/06 - Não sera necessario solicitar autorização de compra para o Juiz
10/06 - vamos liquidar dia 18/06
24/06 - Acompanhar a DD
01/07 - Pendente assinatura de contrato de prestação de serviço</t>
  </si>
  <si>
    <t>Credito</t>
  </si>
  <si>
    <t>20/05 - Ainda sem resposta da A&amp;M</t>
  </si>
  <si>
    <t>Carteira de recebíveis</t>
  </si>
  <si>
    <t>Industria de implemento rodoviária</t>
  </si>
  <si>
    <t>130 clientes , 13 maiores 50% e 40 maiores 80%, duration de 9 a 10 meses, taxa de 1.5% a.m</t>
  </si>
  <si>
    <t>13/05 - Vamos falar com a Alvarez para entender melhor a operação</t>
  </si>
  <si>
    <t>Precatorio Estadual</t>
  </si>
  <si>
    <t>Prec.Estadual Bahia - Desapropriação</t>
  </si>
  <si>
    <t>Luiz Evangelista</t>
  </si>
  <si>
    <t>BTG está pagando mais nesse ativo</t>
  </si>
  <si>
    <t>Ação Judicial</t>
  </si>
  <si>
    <t>CESP - Cerâmica Guerra</t>
  </si>
  <si>
    <t>Rodrigo Klamt</t>
  </si>
  <si>
    <t>27/05- Ação judicial ainda em análise
10/06 - Estamos acompanhando se havera acordo ou não, aguardando julgamento. Não devemos precificar por agora.</t>
  </si>
  <si>
    <t xml:space="preserve"> Decisão do STJ prejudicou a analise da oportunidade</t>
  </si>
  <si>
    <t>Posto Castelo</t>
  </si>
  <si>
    <t>Ruptura de contrato de prestação de serviços, porem sem balizador de proposta de valor</t>
  </si>
  <si>
    <t>27/05 - Pendente de agendar uma reunião com Marco André
04/06 - Com base com o que temos na ação, nao podemos estimar valor
04/06 - Aguardando documentos da Cia
10/06 - amanha é o prazo para apresentarem documentos, vamos ver o caso a partir do dia 11/06
24/06 - Call com o Marco Andre, porém a principio parece um valor elevado. Ficou de conversar internamente sobre o valor 
01/07- Entender se a Petro ja se manifestou, ja apresentaram o documento?
08/07 - Vamos checar o contrato e entender se os valores estão certos
Vamos voltar com uma resposta até dia 19/07
10/07 - Aguardando evidências após conversa com Marco Alencar</t>
  </si>
  <si>
    <t>Conversamos com outros escritorios e entendemos que é um caso bem arriscado</t>
  </si>
  <si>
    <t>Claims</t>
  </si>
  <si>
    <t>Camargo Correa</t>
  </si>
  <si>
    <t>Composto por 3 claims: Municipio de Rosana, DER Minas Gerais, Municipio de Manaus</t>
  </si>
  <si>
    <t>27/05 - Em análise
10/06 - Stand-by</t>
  </si>
  <si>
    <t>30/07 - Os prazos para recebimento dos claims não estao adequados ao prazo do fundo</t>
  </si>
  <si>
    <t>Precatório Paraná</t>
  </si>
  <si>
    <t xml:space="preserve">Sequoia </t>
  </si>
  <si>
    <t>Galdino</t>
  </si>
  <si>
    <t>27/05 - Em análise
10/06 - Falamos com o Diego e vamos liquidar a operação de feira para olhar essa oportunidade
24/06 - stand-by</t>
  </si>
  <si>
    <t>30/07 - Alguns precatorios ja foram pagos, cedidos e não conseguimos visualizar o processo precatorio (falta de transparencia)</t>
  </si>
  <si>
    <t>Leilão</t>
  </si>
  <si>
    <t>Leilão do Itau</t>
  </si>
  <si>
    <t>10/06 - Vamos Olhar</t>
  </si>
  <si>
    <t>Somente 4 empresas, nenhuma que atendesse os padrões de SS</t>
  </si>
  <si>
    <t xml:space="preserve">Crédito </t>
  </si>
  <si>
    <t>Fazenda Paraná</t>
  </si>
  <si>
    <t>Carlos Libera</t>
  </si>
  <si>
    <t>06/06 - Fizemos um call com Ivan e Carlos sobre a oportunidade, porém no desenho feito para eles não faz sentido comprarmos somente o credito de Candida, que não aprovariamos o plano de RE sozinhos (20% do credito)</t>
  </si>
  <si>
    <t>14/06 - No desenho feito para eles não faz sentido comprarmos somente o credito de Candida, que não aprovariamos o plano de RE sozinhos (20% do credito)</t>
  </si>
  <si>
    <t>Compra de CRI</t>
  </si>
  <si>
    <t>Gramado Parks</t>
  </si>
  <si>
    <t>Nikos Investimento</t>
  </si>
  <si>
    <t>Por conta do nosso foco na Nikos, alguams estratégias estão sendo incorporadas e outras descontinuadas. Com isso, temos interesse em vender um CRI, no qual somos minoritários, que atualmente está adimplente, mas tem um histórico que vocês talvez já conheçam</t>
  </si>
  <si>
    <t>03/06 - Marcamos um call com o time da Nikos para conhecermos melhor a equipe e outras oportunidades</t>
  </si>
  <si>
    <t>Luiza / Christopher</t>
  </si>
  <si>
    <t>04/06 - Além da pouca informação, há algumas duvidas sobre a operação de Gramado Parks</t>
  </si>
  <si>
    <t>Imóveis em Leilão</t>
  </si>
  <si>
    <t>Epropi</t>
  </si>
  <si>
    <t>Imoveis em leilão enviados pela Epropi</t>
  </si>
  <si>
    <t>04/06 - Leilao de imoveis, não faz sentido para Special Sits</t>
  </si>
  <si>
    <t>Terra Fértil</t>
  </si>
  <si>
    <t>29/05 - Em análise</t>
  </si>
  <si>
    <t xml:space="preserve"> 1) setor, 2) nao ter balanços auditados. 3) garantias fracas, 4) Por nao ter balanço auditado fica dificil saber se o resultado é aquele mesmo ou se é necessario considerar os produtores rurais tb na conta</t>
  </si>
  <si>
    <t>Empresa Agro em RJ</t>
  </si>
  <si>
    <t>Leandro Vasconcellos</t>
  </si>
  <si>
    <t>Estamos buscando bolso para um DIP de 21MM, empresa do Agro entrou em RJ, atualmente opera no MT e RR com 8 fazendas produzindo soja que serão dadas em garantia juntamente com o estoque de grãos e sementes.
A empresa já tem o laudo de constatação prévia da RJ aprovado onde constam o inventário completo dos bens e o balanço mostrando a situação financeira do grupo.</t>
  </si>
  <si>
    <t>29/05 - Call agendado para 5a (06/06)</t>
  </si>
  <si>
    <t>06/06 - Mesmo racional de Elisa Agro, irao financiar a operação com nosso cheque, ou seja custo de dívida muito alto, quase igual a margem de contribuição da operação, não faz sentido</t>
  </si>
  <si>
    <t>Clinica da Gavea</t>
  </si>
  <si>
    <t>04/06 - Em análise do Jurídico
10/06 - vamos precificar para enviar uma proposta
14/06 - Precificamos o valor incontroverso em 37%, com uma tir líquida de ~30%, a tese do controverso nao nos pareceu forte o suficiente para fazermos um Bid
17/06 - vamos alinhar com a FA e definir se colocaremos um BID (abaixo do valor proposto inicialmente)
20/06 - Combinamos de propor 35% do vf, para chegarmos aos R$ 6mm
01/07 - Pendente da declaração do advogado que não possui exito
30/07 - Bernardo vai olhar casos semelhantes</t>
  </si>
  <si>
    <t>Luiza/Bernardo</t>
  </si>
  <si>
    <t>30/07 - Broker comprou o credito e queria revender para nos</t>
  </si>
  <si>
    <t>Carteira de Créditos Municipais</t>
  </si>
  <si>
    <t>Alques</t>
  </si>
  <si>
    <t>04/06 - Em análise do Jurídico
24/06 - Vamos precificar, condicionando a algum evento no processo de RJ
08/07 - Vamos falar com o Turiano
12/08 - Vamos esperar passar a PEC para entender o texto final e definir os próximos passos
19/08 - Mandamos a copia da PEC aprovada e não voltaram com uma resposta.  
02/09 - Standby, revisitaremos o caso quando a PEC passar pela camara</t>
  </si>
  <si>
    <t>26/08 - Vamos aguardar a aprovação pela câmara da PEC</t>
  </si>
  <si>
    <t>Precatório Estadual de Goiás</t>
  </si>
  <si>
    <t>Sergio Luiz</t>
  </si>
  <si>
    <t>10/06 - Em análise do Jurídico
24/06 - Passamos uma primeira ideia de preço para FA de 20%</t>
  </si>
  <si>
    <t>26/08 - Não possuem interesse em vender por 20% do vf</t>
  </si>
  <si>
    <t>Rafael Spinelli</t>
  </si>
  <si>
    <t>Créditos mto pequenos;</t>
  </si>
  <si>
    <t>Pelo trabalhistas nao vamos olhar por serem valores mto baixos</t>
  </si>
  <si>
    <t>Precatório de Camaçari</t>
  </si>
  <si>
    <t>Camaçari</t>
  </si>
  <si>
    <t>Grupo de SS</t>
  </si>
  <si>
    <t>10/06 - Em análise do Jurídico
01/07 - Em análise do juridico, entender se o valor foi reconhecido
08/07 - Vamos falar com o Turiano
30/07 - Bernardo analisando</t>
  </si>
  <si>
    <t>30/07- Municipio endividado e prazo de recebimento mto longo</t>
  </si>
  <si>
    <t>Techna x Petrobras</t>
  </si>
  <si>
    <t>Marta</t>
  </si>
  <si>
    <t>10/06 - Em análise do Jurídico
08/07 - Há alguns riscos na ação judicial, podemos pensar em estruturar uma RE, mesmo aprovada pelos cedores nao foi homologada pelo juiz
08/07 - Techna vai mandar enviar documentos
30/07 - vamos esperar ate final da semana para cobrar a Marta
12/08 - Apresentaram as contra-razoes e já está na segunda instancia. 
19/08 - Marta não mandou a documentação, vamos cobrar
26/08 - Marta enviou a documentação, em análise
13/01 - Vamos revisitar as açoes judiciais</t>
  </si>
  <si>
    <t>Pre Precatorio Federal</t>
  </si>
  <si>
    <t>10/06 - Em análise do Jurídico
17/06 - Pendente passar preço - aguardando o originador voltar com uma resposta do preço (passamos ~20% - 30%)</t>
  </si>
  <si>
    <t>30/07 - Ainda em estagio inicial e os valores podem mudar</t>
  </si>
  <si>
    <t>Precatório RS</t>
  </si>
  <si>
    <t>Jose Ribeiro (BLS)</t>
  </si>
  <si>
    <t>14/06 - Preca exercício 2009, valor pequeno, RS tá pagando 1999 e saindo de calamidade pública.</t>
  </si>
  <si>
    <t>Luiza/Hugo</t>
  </si>
  <si>
    <t>Tranche 2 do lote 2, 53 empresas para análise</t>
  </si>
  <si>
    <t xml:space="preserve">17/06 - Recebemos a tranche 2 do lote 2 do leilao do itau que ainda será analisado
18/06 - Das 53 oportunidades, estamos analisando 12 </t>
  </si>
  <si>
    <t>15/07 - Nenhum crédito interessante para nossa carteira. Data do leilao 17/07.</t>
  </si>
  <si>
    <t xml:space="preserve">Precatorios </t>
  </si>
  <si>
    <t>Precatorios Data Traffic</t>
  </si>
  <si>
    <t>10/06 - Em análise do Jurídico
17/06 - Precificar considerando o acordo a 40%, considerndo o pagamento do acordo em 3 anos
20/06 - Vamos esperar uma resposta sobre as propostas feitas nos outros precatorios do TO.
15/07 - Enviamos uma proposta indicativa
30/07- Vamos cobrar o Ricardo de uma posição do lado da DT
05/08 - Ainda estão analisando a proposta enviada
12/08 - Ainda nao possuem respostas mas devem voltar essa semana (Ricardo ainda não respondeu)</t>
  </si>
  <si>
    <t>26/08 - Entraram em acordo para recebimento do precatorio, não vao mais vender</t>
  </si>
  <si>
    <t>Zeus x CNI</t>
  </si>
  <si>
    <t>Padre Viol</t>
  </si>
  <si>
    <t>10/06 - Em análise do Jurídico
24/06 - Retornar para o contato negando a oportunidade, principalmente por conta da capacidade de pgto do devedor</t>
  </si>
  <si>
    <t>01/07 - Retornar para o contato negando a oportunidade, principalmente por conta da capacidade de pgto do devedor</t>
  </si>
  <si>
    <t xml:space="preserve">Ação Judicial </t>
  </si>
  <si>
    <t>UTC e Eletrobras</t>
  </si>
  <si>
    <t>Pereira Advogados</t>
  </si>
  <si>
    <t>17/06 - Minuta do contrato de cessao ja foi enviada, aguardando devolutiva
24/06 - Pendente de falarmos com o Pereira Advogados e vamos retornar a minuta final e assinar o contrato
01/07 - Contrato assinado, pendente de falar com o Pereira Advogados
26/07 - Conversamos com o pereira que acredita que o laudo será homologado, ficou de mandar os dados do responsaveis pela documentaçao societária</t>
  </si>
  <si>
    <t>Minter</t>
  </si>
  <si>
    <t>Captação de USD 3mm para capex de data center de mineração de bitcoin dentro de geradora de energia</t>
  </si>
  <si>
    <t>21/06 - Estamos analisando as infos enviadas
24/07 - Recebemos o IR do Emanuel, em análise
26/08 - Aguardando a resposta sobre a AF do fundo Furia FIM (cotista dos fundos que possuem a CF da venda de terrenos (ipiranga, maderline, guara)</t>
  </si>
  <si>
    <t>Fabricante de artigo médicos - Lemgruber</t>
  </si>
  <si>
    <t>Fabricante de artigos médicos, sofreu nos últimos anos com um dumping de players, porém conseguiram proteção antidumping. 
Buscam R$ 10-20mm para capex e KGIRO</t>
  </si>
  <si>
    <t>18/06 - Enviamos um info request, pendente de resposta
05/07 - Info request enviado
10/07 - Pendente de recebimento das infos
22/07 - Recebemos as infos, em análise
19/08 - Enviamos um info request para o Klamt, pendente de resposta</t>
  </si>
  <si>
    <t>Enviamos um inforequest em julho/agosto e não obtivemos resposta</t>
  </si>
  <si>
    <t>São Paulo</t>
  </si>
  <si>
    <t>Email do Spiller</t>
  </si>
  <si>
    <t>01/07 - Agendar uma reunião com a Outfield para entender melhor sobre o business
08/07 - call agendado para o dia 11/07
15/07 - Call com a A&amp;M, vamos tentar marcar com os advogados que trabalham com a Outfield</t>
  </si>
  <si>
    <t>Stand-by -&gt; Aguardando informarem sobre a captaçao de um novo fundo que investe nos "precatórios" do futebol</t>
  </si>
  <si>
    <t>Juízo Federal de Umuarama - José Teixeira</t>
  </si>
  <si>
    <t>Grupo SS</t>
  </si>
  <si>
    <t>Valor atualizado de R$159mm</t>
  </si>
  <si>
    <t>24/06 - Em análise</t>
  </si>
  <si>
    <t>24/06- precatorio pago, nao faz sentido para SS</t>
  </si>
  <si>
    <t>Apresentação de NPL para o Banco do Brasil</t>
  </si>
  <si>
    <t>Banco do Brasil</t>
  </si>
  <si>
    <t>01/07 - Aguardando agenda em brasilia para a reuniao com o Banco BB</t>
  </si>
  <si>
    <t>Olimpia Park</t>
  </si>
  <si>
    <t>24/06 - Pendente do recebimento de informações</t>
  </si>
  <si>
    <t>Petros</t>
  </si>
  <si>
    <t>Preparar um relatório</t>
  </si>
  <si>
    <t>24/06 - Estamos mapeando para entender os ativos que possuem valor
08/07 - Bernardo está analisando e mandar um update até sexta (12/07)
16/07 - Bernardo enviara uma planilha atualizada até 17/07
05/08 - Entender o que é penhora feita pela antiga gestora em cima de garantia real ou penhora feita a partir de localização de bens
19/08 - Mandamos o relatorio para a Petros, pendente de resposta
14/10  - Ficaram de enviar uma resposta até a 04/11</t>
  </si>
  <si>
    <t>ATMA (Contax)</t>
  </si>
  <si>
    <t>Empresa em RJ, prestação de serviços nas áreas de atendimento a clientes (contact center e trade mkting)</t>
  </si>
  <si>
    <t xml:space="preserve">01/07 - Em análise, reunião com a Companhia marcada para 04/07 </t>
  </si>
  <si>
    <t>05/07 - Oportunidade negada, empresa ainda recuperando operacionalmente (EBITDA 1T24 positivo pela primeira vez em 3 anos) e setor ruim (call center)</t>
  </si>
  <si>
    <t>Precatório do Pará</t>
  </si>
  <si>
    <t>01/07 - Em análise, vamos precificiar
08/07 - Vamos precifiar
30/07 - Vamos precificar</t>
  </si>
  <si>
    <t>Bernardo/Christopher</t>
  </si>
  <si>
    <t>Leve Saude</t>
  </si>
  <si>
    <t>W Capital</t>
  </si>
  <si>
    <t>Captação de R$ 30mm, @cdi+11% e kicker de R$65mm</t>
  </si>
  <si>
    <t>01/07 - Em análise</t>
  </si>
  <si>
    <t xml:space="preserve">11/09 - </t>
  </si>
  <si>
    <t>Light</t>
  </si>
  <si>
    <t>BeeCap</t>
  </si>
  <si>
    <t>Antecipação de despesas de 1.8mm @200% do CDI</t>
  </si>
  <si>
    <t>05/07 - Em análise</t>
  </si>
  <si>
    <t>Todos</t>
  </si>
  <si>
    <t xml:space="preserve"> Operaçao pequena e retorno abaixo do esperado por SS (200% CDI)</t>
  </si>
  <si>
    <t>Precatório Estadual do RJ</t>
  </si>
  <si>
    <t>Precatorio Desapropriação</t>
  </si>
  <si>
    <t>Luesley</t>
  </si>
  <si>
    <t>Enviado pelo Luesley, possui um precatório estadual a receber pela desapropriação de uma área que lhe pertencia</t>
  </si>
  <si>
    <t>09/08 - Falamos com ele, abrimos o contato e a ideia é receber mais oportunidades futuras
19/08 - Enviou uma oportuinidade de um precatório do RJ
26/08 - Cobrou um FUP
26/08 - Prazo de recebimento mto longo</t>
  </si>
  <si>
    <t>02/09 - Prazo de recebimento muito longo para nosso fundo</t>
  </si>
  <si>
    <t>Claudio Vinicius</t>
  </si>
  <si>
    <t>Açao ordinaria de servidores publicos, ainda sem precatorio expedido, SP pagando 2009</t>
  </si>
  <si>
    <t xml:space="preserve">30/07 - Analisamos o caso, mas entendemos que o tempo para recebimento vai ultrapassar o prazo do nosso fundo. </t>
  </si>
  <si>
    <t>Compra de dívida da sequioa por 30%do vf e conversão do valor cheio em ações</t>
  </si>
  <si>
    <t>Vamos conversar com o Mauro
30/08 - Enviamos bullets para o 1o TS.
12/11 - Vamos bater o fluxo de caixa com a Companhia
10/12 - Vamos falar com Joao (almagestum)
17/12 - Reunião com a Almagestum dia 18/12
13/01 - Vamos tentar novo contato com o João
20/01 - Pegar um update com o management</t>
  </si>
  <si>
    <t>Ricardo Jacomassi</t>
  </si>
  <si>
    <t>TCP Partners</t>
  </si>
  <si>
    <t>30/07 - Conversamos com o Ricardo e vamos marcar uma reunião presencial na semana do dia 12
19/08 - Mandamos NDA, pendente de assinatura
26/08 - Confirmar assinatura
30/08 - Assinatura concluida, pendente do envio da oportunidade</t>
  </si>
  <si>
    <t>Honorário Advocatício sobre Legal Claim</t>
  </si>
  <si>
    <t>Honorario Advocaticio</t>
  </si>
  <si>
    <t>Aquisição de 100% dos honorários advocatícios gerados pelo trabalho na ação sobre recomposição salarial do sindicato de professores da Universidade Federal da BA contra a UFBA (União)</t>
  </si>
  <si>
    <t>05/08 - Luiza vai tentar marcar uma reunião entre o irmao do turiano e o adv da causa para entender melhor se há riscos binários</t>
  </si>
  <si>
    <t>Nao vamos seguir devido ao risco elevado</t>
  </si>
  <si>
    <t>Legal Claims - Sind Amapa</t>
  </si>
  <si>
    <t>Julio Santos</t>
  </si>
  <si>
    <t>Credito contra o BB, Belmonte Adv (Precatorio Fed), Perman Adv (Honorarios TUNEP)</t>
  </si>
  <si>
    <t xml:space="preserve">08/08 - Identificaram que trata-se de uma PPE
</t>
  </si>
  <si>
    <t>Risco alto por ser um PPE</t>
  </si>
  <si>
    <t>North Agro</t>
  </si>
  <si>
    <t>05/08 - Em análise</t>
  </si>
  <si>
    <t>Direitos Creditorios Federais</t>
  </si>
  <si>
    <t>Marcelo Bortman (Konscio)</t>
  </si>
  <si>
    <t>Venda de direito creditorio R$100mm</t>
  </si>
  <si>
    <t>05/08 - Familia Ribas</t>
  </si>
  <si>
    <t>Renato Gorni - RMR Corporate</t>
  </si>
  <si>
    <t>3 precatorios enviados - 1 ja foi descartado pela Luiza</t>
  </si>
  <si>
    <t>05/08 - Call agendado para as 16h
08/08 - Respondeu que 60% teria negociação. Vamos negar!</t>
  </si>
  <si>
    <t>60% teria negociação mas mesmo assim o valor é alto para o ativo e um potencial BID nosso</t>
  </si>
  <si>
    <t>Direito Creditórios</t>
  </si>
  <si>
    <t>Paraná/ Urbasa</t>
  </si>
  <si>
    <t>05/08 - Empresa em RJ mas bem controversa</t>
  </si>
  <si>
    <t>Zaeli</t>
  </si>
  <si>
    <t>Empresa de alimento, beneficiamento de arroz. Case de High Yield</t>
  </si>
  <si>
    <t>Motivos: i)greenfield; e ii) premio por estar em CNPJ diferente da Alimentos Zaeli, como vai ser algo "intercompany", nao entendem pq nao alocar esse custo/imobilizado na propria Zaeli.</t>
  </si>
  <si>
    <t>MARFRES</t>
  </si>
  <si>
    <t>Cheque de 15mm para quitar divida  e terminar a obra de imovel para armazenagem de silos</t>
  </si>
  <si>
    <t xml:space="preserve">05/08 - Negamos pois nao ha concordancia no valor da divida, risco imobiliario de sinop e falta de auditoria </t>
  </si>
  <si>
    <t>Maria Luiza Alonso</t>
  </si>
  <si>
    <t>João Gabriel Rosa</t>
  </si>
  <si>
    <t>Precatório do Rio de Janeiro de  R$ 4mm</t>
  </si>
  <si>
    <t>Provavelmente quebrando os valores mensais vai ficar abaixo da faixa de incidência de IR, mas ainda assim eu assumiria 5% de RRA; RJ tá pagando 2021, então teoricamente ficaria para 2029, sendo que 2029 é o último ano do regime especial, então ou (i) o estado acelera os pagamentos e quita antes, ou (ii) vai rolar uma nova pedalada constituciona</t>
  </si>
  <si>
    <t>Dívida para recompra de Imovel</t>
  </si>
  <si>
    <t>Sorgatto</t>
  </si>
  <si>
    <t>Transportadora em Goias  em 2015, basicamente so trabalhista. Ele tinha um imovel na fisica e foi penhorado pela justiça, foi a leilão para quitar a dívida ele mesmo procurou quem comprar o imovel e conseguiu com um conhecido comprar o imovel e fez a quitação e saiu da RJ, nao existe mais a transportadora
Atualmente tem uma empresa de tomate, fatura 200mm, gera 30mm em EBITDA. Ele quer retomar o imovel, se ele pagar a divida da HL que tem o imovel ele consegue o imovel. Ele quer 15mm para pagar o bradesco e ai a empresa passar para ele, segundo ele o imovel vale 50mm</t>
  </si>
  <si>
    <t>05/08 - Aguardando mais informaçoes da companhia (Laudo do imóvel, IR dos sócios e kit banco)
31/08 - Enviaram as primeiras informaçoes, vamos analisar</t>
  </si>
  <si>
    <t>Precatorios Estadual</t>
  </si>
  <si>
    <t>Rio Investimentos</t>
  </si>
  <si>
    <t>08/08 - Vamos negar</t>
  </si>
  <si>
    <t>Os precatórios têm prazo muito longo para o nosso fundo e são pequenos.</t>
  </si>
  <si>
    <t>Pre precatorio</t>
  </si>
  <si>
    <t>Indra</t>
  </si>
  <si>
    <t>Mandato de Segurança - Pre precatorio por IR</t>
  </si>
  <si>
    <t>19/08 - Marco colocou o preço inicial de 40%.
- Bernardo vai fazer a pesquisa de jurisprudência em casos semelhantes
26/08 - Vamos precificar (2 a 3 anos) - 70k upfront (escritura e legal) até 2% de exito
29/08 - Mandamos a proposta, pendente de resposta, devem voltar essa semana (02/09) 
11/9 - Fizemos a contra proposta de 40%</t>
  </si>
  <si>
    <t>17/09 - Enviamos uma proposta de 40%, esta abaixo da expectativa do cedente</t>
  </si>
  <si>
    <t>Serguetti x DNIT</t>
  </si>
  <si>
    <r>
      <t xml:space="preserve">12/08 - Não tem sentença
19/08 - Estamos analisando, Bernardo já mandou o relatorio. Vamos esperar a sentença para seguir com as análises
</t>
    </r>
    <r>
      <rPr>
        <sz val="11"/>
        <color rgb="FFFF0000"/>
        <rFont val="Calibri"/>
        <family val="2"/>
        <scheme val="minor"/>
      </rPr>
      <t>26/08 - Apenas acompanhando o caso</t>
    </r>
  </si>
  <si>
    <t>Antecipação de Acordo Trabalhista</t>
  </si>
  <si>
    <t>Vasco SAF</t>
  </si>
  <si>
    <t>12/08 - Em análise
19/08 - Pendente de respostas do Otavio
30/08 - Mandaram as infos mas nao devemos seguir
02/09 - Vamos negar a oportunidade</t>
  </si>
  <si>
    <t>02/09 - Analisamos o caso e preferimos não seguir pela situação financeira do clube</t>
  </si>
  <si>
    <t>Compra de crédito na RJ</t>
  </si>
  <si>
    <t>Semeato</t>
  </si>
  <si>
    <t>FTI</t>
  </si>
  <si>
    <t>Compra de crédito da RJ da Semeato com daçao em pagamento de um imóvel de R$ 208mm, credito é de R$ 180mm de VF</t>
  </si>
  <si>
    <t>19/08 - Em análise
21/08 - Enviaram mais informações, PRJ, matrícula etc
17/09 - Vamos olhar pela RJ, entender o credito que envolve o pgto atraves do imovel
07/10 - Perguntar sobre a transação tributaria? O que que esta travando?
28/10 - Cesar Peres indicou que nao é um bom ativo</t>
  </si>
  <si>
    <t>Precatorio da Paraiba</t>
  </si>
  <si>
    <t>Octo Capital</t>
  </si>
  <si>
    <t>Antecipação de precatório estadual 
Objeto: Incorporação de gratificação dos militares da reserva.
2981 credores que somam R$ 422mm</t>
  </si>
  <si>
    <t>19/08 - Em análise
26/08 - Enviou uma pasta com as informaçoes das oportunidades
02/09 - Vamos negar</t>
  </si>
  <si>
    <t>Moix</t>
  </si>
  <si>
    <t>Aguardando mais informaçoes</t>
  </si>
  <si>
    <t>16/08 - Circulei um NDA com eles para assinatura
22/08 - Assinamos o NDA, pendente do envio de informaçoes sobre a oportunidade apresentada</t>
  </si>
  <si>
    <t>13/09 - Esse caso tem ação rescisória com Resp. pendente de julgamento no STJ. Por isso, entendemos que não faz sentido seguir.</t>
  </si>
  <si>
    <t>Venda de Carteira AGRO</t>
  </si>
  <si>
    <t>Carteira Agro Santander</t>
  </si>
  <si>
    <t>26/08 -  Estamos com acesso ao VDR
02/09 - Estamos analisando, enviou da PJ e das PFs, enviará até 13/09.
17/09 - Vamos bater a análise dia 18/09
25/09 - Fizemos um segundo filtro, analisando para entender se colocaremos algumas propostas (leilao amanha)</t>
  </si>
  <si>
    <t>Carteira de credito</t>
  </si>
  <si>
    <t>Banco PINE</t>
  </si>
  <si>
    <t>Banco Pine</t>
  </si>
  <si>
    <t>Prazo passado, não bidamos</t>
  </si>
  <si>
    <t>Créditos complicados, a melhor oportunidade seria paga em daçao de pagamento de ação judicial ruim</t>
  </si>
  <si>
    <t>Precatório Estadual Ceará</t>
  </si>
  <si>
    <t>23/08 - Requerente: Construtora Colmeia (ICMS)</t>
  </si>
  <si>
    <t>o estado do Ceará, de acordo com nosso levantamento recente, está pagando os precatórios da fila de 2016</t>
  </si>
  <si>
    <t>Venda de Cia de Antecipação de Preca</t>
  </si>
  <si>
    <t>Araujo Fontes</t>
  </si>
  <si>
    <t>23/08 - Sugerimos um call 26/08  as 11h, sem resposta
02/09 - Stand by
09/09 - Sugeriram um call para apresentar a operação
13/09 - Call com a AF para apresentar a oportunidade
17/09 - Vão enviar apresentação</t>
  </si>
  <si>
    <t>25/09 - Quando vier email cobrando resposta, vamos negar</t>
  </si>
  <si>
    <t>Venda de Carteira de Recebíveis Agro</t>
  </si>
  <si>
    <t>Recebíveis</t>
  </si>
  <si>
    <t>Olimpia Partners</t>
  </si>
  <si>
    <t>Olimpia assessorando na venda de carteira de 1.6 bi, 96% são agricultores PF</t>
  </si>
  <si>
    <t>23/08 - Temos um call 26/08 às 17h
02/09 - Vamos tentar marcar um novo call
09/09 - Tiveram algumas alterações na carteira que pretende vender, nos últimos dias, e, por isso, estamos precisando revisar a carteira e demais informações.  Quando tiverem a info fechada vao voltar com a gente</t>
  </si>
  <si>
    <t>FIDC Auto BV</t>
  </si>
  <si>
    <t>Alexandre Muller</t>
  </si>
  <si>
    <t>09/09 - Colocamos (FIDC) uma proposta acima do esperado, devem fechar com outra casa</t>
  </si>
  <si>
    <t>09/09 - Colocamos uma proposta acima do esperado, devem fechar com outra casa</t>
  </si>
  <si>
    <t>Precatorio estadual RJ</t>
  </si>
  <si>
    <t>Precatorio estadual RJ - VERT</t>
  </si>
  <si>
    <t>Data do trânsito em julgado 11/07/23
Data do trânsito em julgado dos embargos à execução ou impugnação: 28/09/23</t>
  </si>
  <si>
    <t>26/08 - Vamos estudar a fila de pgto até 2025 para entender o volume a ser pago
02/09 - Vamos olhar a data de expedição</t>
  </si>
  <si>
    <t>Leilao Single Names ITAÚ</t>
  </si>
  <si>
    <t>3 single names, BID Individuais</t>
  </si>
  <si>
    <t>26/08 - Leilão até 05 de setembro
02/09 - vamos esperar o Godoi da A&amp;M voltar com mais infos
11/09 - Pendente de resposta da A&amp;M</t>
  </si>
  <si>
    <t>Honorário Advocatício Data Traffic</t>
  </si>
  <si>
    <t>Papini</t>
  </si>
  <si>
    <t>26/08 - DT esta resolvendo a divisão de honorários, vamos aguardar para colocar proposta
29/08 - Estao com problema com o Sami, Castro esta em alinhamento com o Sami
09/09 - Mandamos a proposta, pendente resposta do Castro
25/09 - Pendente de resposta do Castro hoje
02/10 - reuniao com a Marina, adv da DT
07/10 - Pendente de resposta da Marina
14/10 - Reunião realizada com a Marina (11/10) vamos enviar a devolutiva na quinta 17/11 - Vender 2.5% e formalizar com a Cia honorários de 2.5%
21/10 - vamos voltar com a Marina
28/10 - Vamos fazer o contrato de compra dos honorarios da Marina
12/11 - Marina voltou com os comentários, vamos devolver o contrato de compra
18/11 - Em negociação com Marina
25/11 - Marina concordou com o contrato
12/12 - Aprovado em comite</t>
  </si>
  <si>
    <t>x</t>
  </si>
  <si>
    <t>Ação Judicial x Transnordestina</t>
  </si>
  <si>
    <t>BRCON</t>
  </si>
  <si>
    <t>Acacio</t>
  </si>
  <si>
    <t>Litigation Finance</t>
  </si>
  <si>
    <t>Arbitragem da Método</t>
  </si>
  <si>
    <t>Ivo</t>
  </si>
  <si>
    <r>
      <t xml:space="preserve">02/09 - Em análise
11/09 - Na mesa um NPL do BB (60mm) além do litigation, em análise
16/09 - Refizemos a proposta, pendente de mandar preço de contra-proposta
17/09 - Pendente de devolutiva do Ivo
25/09 - Vamos falar com o Correa Fleury para entender se conseguem dar uma olhada rapida 
25/09 - pendente precificar o NPL do BB
02/10 - Mandamos a proposta
07/10 - Ivo deve enviar a resposta ainda essa semana
21/10 - Mandamos material para o Correa Fleury. Vamos cobrar o Luis Antonio da proposta
23/10 - Proposta enviada pelo Correa Fleury
28/10  - Correa Fleury deve entregar a Legal Opinion (30/10) </t>
    </r>
    <r>
      <rPr>
        <sz val="11"/>
        <color rgb="FFFF0000"/>
        <rFont val="Calibri"/>
        <family val="2"/>
        <scheme val="minor"/>
      </rPr>
      <t>- Pendente</t>
    </r>
    <r>
      <rPr>
        <sz val="11"/>
        <color theme="1"/>
        <rFont val="Calibri"/>
        <family val="2"/>
        <scheme val="minor"/>
      </rPr>
      <t xml:space="preserve">
12/11- Estamos sugerindo o advogado que fez o LO, devemos considerar o prolabore para o advogado
18/11 - Vamos montar a apresentação
25/11 - Reunião com o Ivo e advogados
10/12 - Vamos passar em comite amanha (11/12)
12/12 - Aprovamos em comite</t>
    </r>
  </si>
  <si>
    <t>Crédito para empresa em distress</t>
  </si>
  <si>
    <t>Lupatech</t>
  </si>
  <si>
    <t>Marcus (CFO)</t>
  </si>
  <si>
    <t>Captação de dívidas com garantias
Compra de credito da classe III, creditos antigos e bem desageados.</t>
  </si>
  <si>
    <t>02/09 - Em análise
11/11 - Enviar mensagem para o Marcus
10/01 - Marcus iria ter uma conversa com o presidente do conselho para levar a ideia e entender de garantias
13/01 - Cobramos update do Marcus. Aguardando posicionamento dos credores</t>
  </si>
  <si>
    <t>5 a 10mm</t>
  </si>
  <si>
    <t>Christopher e Antonio</t>
  </si>
  <si>
    <t>Luciano</t>
  </si>
  <si>
    <t>Site de RI</t>
  </si>
  <si>
    <t>02/09 - Vamos marcar o call no final da semana/outra semana. Call dia 10/09 as 10h
10/09 - Fizemos um call de apresentação, ficaram de enviar algumas oportunidades, principalmente na parte de legal claims e precatórios</t>
  </si>
  <si>
    <t>Precatorio do Rio de Janeiro</t>
  </si>
  <si>
    <t>28/08 - Enviaram os oficios requisitorios, pendente de analise
02/09  - Vamos analisar para responder ao Renato</t>
  </si>
  <si>
    <t>Os valores sao pequenos, tem espolio (mtos herdeiros), tem um fundo cessionario que adquiriu alguns credito, esta fora da nossa estratégia</t>
  </si>
  <si>
    <t>Antonio Penido</t>
  </si>
  <si>
    <t>02/09  - Vamos analisar</t>
  </si>
  <si>
    <t>Advogado move açoes contra clientes e com problemas financeiros</t>
  </si>
  <si>
    <t>CRA</t>
  </si>
  <si>
    <t>NPL Brasil</t>
  </si>
  <si>
    <t>CRA de R$ 250mm</t>
  </si>
  <si>
    <t>09/09 - Comitê está pronto, pendente de conversa com Muller
16/09 - Vão agendar um call com a NPL para entender melhor do instrumento e alguns pontos da operação. Dia 20/09 (17h)</t>
  </si>
  <si>
    <t>Não vai ser mais CRA, não faz sentido para nossa estratégia</t>
  </si>
  <si>
    <t>Gazeta Mercantil</t>
  </si>
  <si>
    <r>
      <t xml:space="preserve">09/09 - Vamos apresentar juntos com a A&amp;M, a definir a data da reunião
11/09 - analisar as infos que passaram
16/09 - Call com a Cia agendado para o dia 17/09
25/09 - Aguardando a família discutir a proposta
02/10 - Call com A&amp;M
07/10 - Vamos olhar a fraude a execução
10/10 - Tivemos reuniao na semana passada e marcamos uma nova reunião na quarta (16/10) para definir próximos passos
21/10 - Dia 28, vamos seguir as analises
28/10 - Reunião na A&amp;M para tentar uma ultima proposta, pendente de atualização da A&amp;M
04/11- A&amp;M vai tentar contato com o Tanure e avaliar os imoveis </t>
    </r>
    <r>
      <rPr>
        <sz val="11"/>
        <color rgb="FFFF0000"/>
        <rFont val="Calibri"/>
        <family val="2"/>
        <scheme val="minor"/>
      </rPr>
      <t>(stand-by)</t>
    </r>
  </si>
  <si>
    <t xml:space="preserve">Honorários Advocatícios </t>
  </si>
  <si>
    <t>Trimonte</t>
  </si>
  <si>
    <t>Rafael Papini</t>
  </si>
  <si>
    <t>09/09 - Mandamos a proposta para que ele acompanhe o processo, pendente de resposta
25/09 - Vamos mandar o contrato assinado (02/10)
07/10 - Mandar as NFs</t>
  </si>
  <si>
    <t xml:space="preserve">Crédito para Empresa </t>
  </si>
  <si>
    <t>Instituição de Ensino</t>
  </si>
  <si>
    <t>Special Sits Hub/Fernando Piton</t>
  </si>
  <si>
    <t>Empresa de cobrança de crédito de instituiçao de ensino, precisando captar R$ 5mm</t>
  </si>
  <si>
    <t>09/09 - Assinamos o NDA, pendente de resposta do Fernando Piton
11/09 - Fernando mandou as informações, pendente de análise
25/09 - vamos marcar um call com o Fernando</t>
  </si>
  <si>
    <t>Credito tributario ICMS</t>
  </si>
  <si>
    <t>ICMS</t>
  </si>
  <si>
    <t>11/09 - pendente das infos do Ricardo</t>
  </si>
  <si>
    <t>25/09 - Timing mto curto</t>
  </si>
  <si>
    <t>Compra de créditos de RJ</t>
  </si>
  <si>
    <t>Juventude e Agenco Eng.</t>
  </si>
  <si>
    <t>Rio Capital</t>
  </si>
  <si>
    <t>Negociação de crédito existente da RJ em valores de R$ 750mil e R$ 260mil</t>
  </si>
  <si>
    <t>09/09 - Enviamos um email entendendo o valor de face dos créditos</t>
  </si>
  <si>
    <t>12/09 - Valores mto pequenos para a estratégia do fundo</t>
  </si>
  <si>
    <t>Financiamento imobiliário</t>
  </si>
  <si>
    <t>Novo Mundo</t>
  </si>
  <si>
    <t>Caique Melo / Aventos</t>
  </si>
  <si>
    <t>O empreendimento é o Primus Parque  (Novo Mundo Incorporadora), localizado na Vila Rosa, o projeto possuí apartamentos de 2Q (63m2) e 3Q (77m2).O Primus possui 50% das unidades vendidas.
Empreendimento lançado em 04/2023, apresentando considerável performance de vendas.  
Os empreendedores estão buscando um cheque de R$ 45 MM para finalização da obra.</t>
  </si>
  <si>
    <t>09/09 - Entendemos que a oportunidade não possui fit com a estratégia de special sits, nesse momento não estamos fazendo o financiamento de projetos imobiliários.</t>
  </si>
  <si>
    <t>Precatorio estadual Goias</t>
  </si>
  <si>
    <t>Precatorio estadual Goias - Sergio Luiz Moraes Diniz</t>
  </si>
  <si>
    <t>Precatório estadual de Goias de valor de R$ 70mm</t>
  </si>
  <si>
    <t>Posição 8871 de 8882 precatórios. Estimativa de receber em 5 anos se tudo correr bem, se escorregar estoura o prazo do nosso Fundo</t>
  </si>
  <si>
    <t>Leilao Itaú</t>
  </si>
  <si>
    <t>Leilão Lote 3 2024</t>
  </si>
  <si>
    <t>54 single names, bids individuais. Saldo aprox. R$ 255mm. Prazo de 14 de outubro</t>
  </si>
  <si>
    <t>11/09 - Em análise</t>
  </si>
  <si>
    <t>14/10 - Enviamos uma proposta para comprar credito contra BRCon</t>
  </si>
  <si>
    <t>Rede Maxxi</t>
  </si>
  <si>
    <t>19/08 - Enviamos um info request preliminar
11/09 - Will enviou algumas infos, ainda irá verifcar as enviadas e as infos pendentes
25/09 - Pendente envio do gerencial
07/10 - Entender passivo fiscal da Companhia
21/10 - Bernardo vai enviar as análises
28/10 - Vamos enviar para o WILL a analise enviada pelo Bernardo</t>
  </si>
  <si>
    <t>Precatorios Municipais RJ CNO</t>
  </si>
  <si>
    <t>Precatorios Municipais OEC</t>
  </si>
  <si>
    <t>Lucas Cive</t>
  </si>
  <si>
    <t>19/09 - Fizemos a precificação, pendente de envio da proposta
25/09 - Aguardando Lucas Cive
17/12 - Precatorio ainda não foi expedido</t>
  </si>
  <si>
    <t>Ativos para Monetização</t>
  </si>
  <si>
    <t>Venda de ativos contenciosos pela Camargo Correa</t>
  </si>
  <si>
    <t>16/09 - Em análise
02/10 - Analisar para entender os créditos em consórcio, entender se faz sentido para uma outra empresa</t>
  </si>
  <si>
    <t>Ação contra o estado do Pará</t>
  </si>
  <si>
    <t>Diagnosis x Iasep</t>
  </si>
  <si>
    <t>BB Asset</t>
  </si>
  <si>
    <t>25/09 - Respondemos ao BB dizendo que as açoes são pouco maduras, pendente resposta BB. Pendente de enviarmos feedback
02/10 - demos o feedback pro bb, vmaos monitorar as açoes</t>
  </si>
  <si>
    <t>Eólicas x Furnas</t>
  </si>
  <si>
    <t>17/09 - Enviamos a proposta, pendente de resposta
24/09 - Enviamos uma nova proposta, com valor upfront atualizado. Furnas recebeu
21/10 - Eletrobras vai analisar nossa proposta, vamos esperar a devolutiva</t>
  </si>
  <si>
    <t>Precatorio Municipal do RJ</t>
  </si>
  <si>
    <t>Arkhe Engenharia</t>
  </si>
  <si>
    <t>BX Capital</t>
  </si>
  <si>
    <t xml:space="preserve">Pagamento em 2026, municipio do Rio. </t>
  </si>
  <si>
    <t>25/09 - Em análise
28/10 - Hugo analisando os parametros 
11/11 - Vamos realizar estudos para entender a fila de pgto do municipio do Rio</t>
  </si>
  <si>
    <t>Legal Claims - PWC</t>
  </si>
  <si>
    <t>PWC</t>
  </si>
  <si>
    <t>25/09 - NDA assinado, vamos marcar um call para entender melhor a oportunidade.  
25/09 - Pendente de envio das infos
02/10  - Enviaram as infos, pendente de analise
07/10 - Vamos entender a fila de pagamento de Campos - pagando final de 2021, divida total de R$200mm. Paga por ano em média 28mm
07/10 - Vamos dar o feedback que não vamos seguir com as oportunidades</t>
  </si>
  <si>
    <t>DC CEF e BB</t>
  </si>
  <si>
    <t>Hive Capital</t>
  </si>
  <si>
    <t>Um Advogado que recebeu R$ 50MM de direitos creditórios contra o Banco do Brasil e Caixa Econômica Federal e gostaria de antecipá-los, número dos processos no arquivo em anexo.</t>
  </si>
  <si>
    <t>23/09 - Em análise
25/09 - Vamos dar um retorno negando</t>
  </si>
  <si>
    <t>Precatorios</t>
  </si>
  <si>
    <t>Federal, Estadual Goias e RJ</t>
  </si>
  <si>
    <t>Um Advogado possui vários clientes com as seguintes demandas para compra de precatórios:
Federal – R$ 150MM
Estadual Goiás – R$ 30MM
Estadual Rio de Janeiro – R$ 6BI mas se encontrar bem menores também funciona</t>
  </si>
  <si>
    <t>23/09 - Em análise</t>
  </si>
  <si>
    <t xml:space="preserve">03/10 - Embora não possamos, em regra, litigar contra instituições financeiras, conforme falamos, avaliamos os dois primeiros casos enviados e acreditamos que, de fato, não há ângulo para atuarmos sem violar essa premissa; fizemos uma detida análise dos processos, que são muito antigos, mas em todos os cenários estaríamos indo de encontro à regra acima, de forma que não temos como seguir.
Quanto à demanda de compra, revisitamos as oportunidades que avaliamos recentemente e não encontramos nenhum caso que atenda aos critérios de valor indicados; para essa demanda, seguiremos monitorando os novos casos que recebermos e, havendo oportunidade, voltamos a falar.
</t>
  </si>
  <si>
    <t>Massa Falida</t>
  </si>
  <si>
    <t>Keiper</t>
  </si>
  <si>
    <t>Tosto Adv</t>
  </si>
  <si>
    <t>Keiper, no valor estivado de 65 milhões de reais. 
Como já lhe antecipei, a empresa teve a falência decretada perante a 1ª Vara de Falências da Comarca de São Paulo. 
Assim, nosso objetivo seria estruturar um stalking horse para aquisição do crédito</t>
  </si>
  <si>
    <t>25/09 - Em análise
07/10 - Entender onde o Quadrante esta confortavel, vamos marcar um call
14/10 - Tosto adv vai depurar o valor e trazer evidencias q estao confortaveis com a tese de prescriçao
21/10 - Enviamos email solicitando novas infos
28/10 - Vamos responder que não seguiremos na análise</t>
  </si>
  <si>
    <t>04/11 - Pelo estagio do processo o valor não condiz com a etapa. Ainda sem embasamento para o valor pedido</t>
  </si>
  <si>
    <t>Crédito para compra de participação em empresa</t>
  </si>
  <si>
    <t>Frisa</t>
  </si>
  <si>
    <t>Credito para um dos acionistas comprar açoes do frisa para resolver o inventário</t>
  </si>
  <si>
    <t>25/09 - Em análise
25/09 - Alinhar com o Fernando que vamos propor montar um FIP em que ele vai ser o unico cotista, vamos ter uma taxa de gestão e fee de estruturação
02/10 - Fernando de Férias, alinhar quando ele voltar
04/11 - Os socios estao tentando resolver internamente - stand by</t>
  </si>
  <si>
    <t>Legal Claim Manaus</t>
  </si>
  <si>
    <t>Felipe Mauad apresentou uma ooportunidade de legal claim da transamazonia com o estado</t>
  </si>
  <si>
    <t>25/09 - Em análise</t>
  </si>
  <si>
    <t>02/10 - Em linhas gerais, a Transmanaus possui um expressivo endividamento fiscal (R$ 321,3 MM apenas na dívida ativa da União), com grande risco de comprometimento de quase a totalidade do crédito, além do fato que o município de Manaus está um pouco atrasado na fila de pagamentos, de que o processo ainda não teve sua fase de cumprimento iniciada e da potencial aprovação da PEC 66, que limita os gastos dos municípios com precatórios.</t>
  </si>
  <si>
    <t>Método</t>
  </si>
  <si>
    <t>Empresário / Executivo</t>
  </si>
  <si>
    <t>TECHNION</t>
  </si>
  <si>
    <t>Rafael Solon</t>
  </si>
  <si>
    <r>
      <t xml:space="preserve">Arbirtragem contra fundaçao renova de 3.6mm em fase de perícia e execuçaõ contra incorporados de 1.1mm. </t>
    </r>
    <r>
      <rPr>
        <sz val="11"/>
        <color rgb="FFFF0000"/>
        <rFont val="Calibri"/>
        <family val="2"/>
        <scheme val="minor"/>
      </rPr>
      <t>Há uma dívida contra PF</t>
    </r>
  </si>
  <si>
    <t>07/10 - Em análise
21/10 - Não vamos olhar a execução
28/10 - Vamos olhar a arbitragem mas é pequeno
12/11 - Vamos negar devido ao tamanho da oportunidade</t>
  </si>
  <si>
    <t>Pré Precatório Federal</t>
  </si>
  <si>
    <t>Pré Precatório Federal - Hospital Psiquiátricos</t>
  </si>
  <si>
    <t>M Invest</t>
  </si>
  <si>
    <t>07/10 - Não investimos na teses dos hospitais psiquiátricos</t>
  </si>
  <si>
    <t>Precatorio TUNEP</t>
  </si>
  <si>
    <t>07/10 - Em análise</t>
  </si>
  <si>
    <t>07/10 - Com agravo e recisória, não faz sentido pro fundo</t>
  </si>
  <si>
    <t>Alongamento de Dívida</t>
  </si>
  <si>
    <t>Holding Patrimonial Carlos Wizard</t>
  </si>
  <si>
    <t>Alongamento do CRI de 90mm, aluguel dos imoveis da holding patrimonial é menor que as pmts das dívidas</t>
  </si>
  <si>
    <t>07/10 - Em análise
21/10 - Apos NDA, vão enviar novas informaçoes
28/10 - Enviaram acesso ao VDR, vamos analisar</t>
  </si>
  <si>
    <t>Como o patria concedeu um standstill de 150 dias, não faz sentido a operaçao, dado que não teriamos desagio</t>
  </si>
  <si>
    <t>Precatorio federal</t>
  </si>
  <si>
    <t>Data Traffic</t>
  </si>
  <si>
    <t>2026 para receber março 2027</t>
  </si>
  <si>
    <t>21/10 - Vamos passar um preço mas pendente de analise
28/10 - Vamos negar</t>
  </si>
  <si>
    <t>Precatorio Estadual RJ</t>
  </si>
  <si>
    <t>Agro Pastoril</t>
  </si>
  <si>
    <t>Precatorio Estadual SP</t>
  </si>
  <si>
    <t>Tigre - Tubos e Conexoes</t>
  </si>
  <si>
    <t>14/10 - Prazo estimado para recebimento é incompatível com os Fundos e estratégias que estamos focando nesse momento</t>
  </si>
  <si>
    <t>Precatorio Estadual MT</t>
  </si>
  <si>
    <t>Precatorio de Belem</t>
  </si>
  <si>
    <r>
      <t xml:space="preserve">14/10 - Vamos precificar em 20%
21/10 - Pendente de analise do estudo enviado pelo Franscico
28/10 - Bernardo fará a análise
04/11 - Hugo vai checar com a equipe de desenvolvimento para obter mais infos no tribunal, </t>
    </r>
    <r>
      <rPr>
        <sz val="11"/>
        <color rgb="FFFF0000"/>
        <rFont val="Calibri"/>
        <family val="2"/>
        <scheme val="minor"/>
      </rPr>
      <t>pendente de resposta do Bruno Pereira</t>
    </r>
    <r>
      <rPr>
        <sz val="11"/>
        <color theme="1"/>
        <rFont val="Calibri"/>
        <family val="2"/>
        <scheme val="minor"/>
      </rPr>
      <t xml:space="preserve">
18/11 - Não conseguiram ainda extrair infos do site, somente o numero do precatorio e valor historico, nao sabe se valor é recente ou nao
25/11 - Vamos negar</t>
    </r>
  </si>
  <si>
    <t>IAA Pre precatorio</t>
  </si>
  <si>
    <t>Roberto Roland</t>
  </si>
  <si>
    <t>IRGOVEL</t>
  </si>
  <si>
    <t>20mm</t>
  </si>
  <si>
    <t>04/11 - Call com o Vinicius hoje as 16h30</t>
  </si>
  <si>
    <t>05/11 - Call desmarcado, a garantia foi endereçada para outro financiamento. Operação on hold, vão voltar com nova operação</t>
  </si>
  <si>
    <t>Carteira Precatorios A&amp;M</t>
  </si>
  <si>
    <t>Precatorios Estaduais e Municipais</t>
  </si>
  <si>
    <t>A&amp;M</t>
  </si>
  <si>
    <t>21/10 - Em análise
04/11 - Bernardo vai enviar a atualização hoje 
11/11 - Bernardo vai enviar os parametros para precificação
18/11 - Precificar ainda hoje
25/11 - Precificamos o caso 1 e 6. Aguardando A&amp;M
13/01 - Vamos cobrar Biscolla 
27/01 - Entendemos que a AM estava entendendo preço possivel</t>
  </si>
  <si>
    <t>Labortex</t>
  </si>
  <si>
    <t>21/10  - Avaliamos o caso da Labortex e acreditamos que, como ainda não houve o ajuizamento da repetição, as estimativas de prazo para esse caso ficam desalinhadas com os prazos de nossos fundos, de forma que não temos como seguir no momento</t>
  </si>
  <si>
    <t>Precatorio 3A Investimentos</t>
  </si>
  <si>
    <t>Precatorio Municipo de contagem</t>
  </si>
  <si>
    <t>3A Investimentos</t>
  </si>
  <si>
    <t>21/10 - Ultrapassa o limite do fundo</t>
  </si>
  <si>
    <t>Credito UST</t>
  </si>
  <si>
    <t>Ação indenizatoria</t>
  </si>
  <si>
    <t>Roberto Rusu</t>
  </si>
  <si>
    <t>Credito de R$7bi</t>
  </si>
  <si>
    <t>21/10 - Crédito muito grande(R$ 7bi), nao vamos olhar</t>
  </si>
  <si>
    <t>Ação contra Danone</t>
  </si>
  <si>
    <t>21/10 - Em análise
04/11 - Hugo vai ter uma reuniao com o Pitombo hoje
12/11 - Pitombo enviou documentos para justificar o valor que estão cobrando, Hugo vai conferir a planilha e enviar os parametros
03/11 - Vamos negar</t>
  </si>
  <si>
    <t>Celpa</t>
  </si>
  <si>
    <t>21/10 - Em análise
28/10 - A crednew esta perdendo, vamos negar</t>
  </si>
  <si>
    <t>Angatu</t>
  </si>
  <si>
    <t>FIDC,Legal Claims</t>
  </si>
  <si>
    <t>Casos enviados pela Angatu de FIDC e Legal Claims</t>
  </si>
  <si>
    <t>22/10 - Analisamos o processo contra a Equatorial e não vimos ângulo para compra nesse momento. A empresa autora da causa perdeu em 1ª instância e pende de julgamento a apelação dela. Achamos a petição incial meio ruim, sem comprovação documental de alguns pedidos, dentre outros problemas</t>
  </si>
  <si>
    <t>Manasa e Tranesco</t>
  </si>
  <si>
    <t>Antonio Lacombe</t>
  </si>
  <si>
    <t>6mm para pagar executivo + 6mm para fechar varejo no interior</t>
  </si>
  <si>
    <t>28/10 - Após a assinatura do NDA, enviaram as informações solicitadas. 
12/11 - Estamos analisando
18/11 - Pendente de envio de informaçoes pelo Lacombe (Matrículas, numero das execuções e CNPJ do Mercado)
25/11 - Enviamos a estrutura, pendente TS.
10/12 - Contrato de arrendamento
17/12 - Lacombe tem reuniao com a Eucatex, vamos aguardar.
13/01 - Na ultima conversa com AL ele afirmou que avançou com  Eucatex e diminuiu a urgencia dele de captaçao</t>
  </si>
  <si>
    <t>12 a 15</t>
  </si>
  <si>
    <t>Infracommerce</t>
  </si>
  <si>
    <t>JGP FA / Geriba</t>
  </si>
  <si>
    <t>11/11 - Dado a conversão obrigatória da dívida em equity, ficaremos exposto ao risco de equity e não queremos</t>
  </si>
  <si>
    <t>04/11 - Não vamos seguir com o prec. De maior valor. Em analise dos demais</t>
  </si>
  <si>
    <t>12/11 - Precatorio mt grande (~R$ 800mm)</t>
  </si>
  <si>
    <t>Evolve</t>
  </si>
  <si>
    <t>Meros Capital</t>
  </si>
  <si>
    <t>Asset</t>
  </si>
  <si>
    <t>Cheque de 30mm a 50mm, rede de academias no interior do centro oeste</t>
  </si>
  <si>
    <t>04/11- Pendente de assinatura do NDA
11/11 - Acho que faz sentido aprofundarmos a análise, porém devemos pensar em uma nova estrutura da dívda
10/12 - Mandar msg pro Rodolfo para marcar um call e alinhar taxa
12/12 - Enviamos a estrutura da operaçao, vamos bater com o AM
13/01 - Alinhar com AM em pre comite
27/01 - Tentar marcar call com a Meros para validar estrutura 
03/02 - Vamos enviar o TS 
17/02 - dEVOLVEMOS TS
27/02 - Em discussão de Minuta
10/03 - Reunião com Meros no dia 11/03
17/03 - Enviamos uma nova proposta, pendente de devolução até 20/03
24/03 - Entrou em contato conosco, pediu para diminuir período de exclusividade e deve voltar com resposta dia 25/03</t>
  </si>
  <si>
    <t>Superbac</t>
  </si>
  <si>
    <t>Taua Partners</t>
  </si>
  <si>
    <t>04/11- Enviaram Q&amp;A
12/12 - Penido teve reunião com a Taua para falar do case</t>
  </si>
  <si>
    <t>Operação sem fluxo de caixa e garantias</t>
  </si>
  <si>
    <t>Municipal</t>
  </si>
  <si>
    <t>João Brandão</t>
  </si>
  <si>
    <t>Precatorio de Magé, sptrans, santa casa de misericordia</t>
  </si>
  <si>
    <t>12/11 - Em análise do Bernardo
25/11 - Vamos precificiar
10/12 - Nao vamos precificar, vamos negar.</t>
  </si>
  <si>
    <t>Marcelo Leonel</t>
  </si>
  <si>
    <t>SITE RI</t>
  </si>
  <si>
    <t>Bom dia, special sitations, Ação tramitado e julgado (TJSP) maio 24. A empresa apelante recorreu ao STJ , caucionando carta fiança de cento e dez milhões de reais, garantia de 122%, a empresa, é subsidiária de uma grande indústria nacional com BDR listada nos Estados Unidos. Negociamos a totalidade ou parte. Atenciosamente, Marcelo Leonel.</t>
  </si>
  <si>
    <t>FIDCs</t>
  </si>
  <si>
    <t>FIDC de precatório e consignado público</t>
  </si>
  <si>
    <t>Octante Capital</t>
  </si>
  <si>
    <t>04/11 - Vamos entender o FIDC de consignados públicos
05/11 - FIDC de consignados, ainda estão fechando o material, e nossa ideia é marcar uma rodada de pilot fishing na semana que vem (11/11)
27/01 - Mandar a apresentaçao para o time de securitizaçao</t>
  </si>
  <si>
    <t>Sucumbência de Precatorio</t>
  </si>
  <si>
    <t>Precatorio Ribas</t>
  </si>
  <si>
    <t>04/11 - Em análise do parecer</t>
  </si>
  <si>
    <t>12/11 - Processo enrolado, acompanhamos ha mto tempo</t>
  </si>
  <si>
    <t>Pre precatório</t>
  </si>
  <si>
    <t>Rede ferroviaria nacional</t>
  </si>
  <si>
    <t>Comprar honorarios sucumbenciais da adv e dps possivelmente comprar o credito do sindicato dos trabalhadores ferroviarios de BH</t>
  </si>
  <si>
    <t>04/11 - Em análise
18/11 -  Há uma multa por litigancia de ma fe, 5% do valor. Vamos entender.
25/11 - Ha um julgamento de agravo no final de novembro, vamos aguardar
10/12 - Foi retirado de pauta, ainda n teve julgamento</t>
  </si>
  <si>
    <t>Bunge</t>
  </si>
  <si>
    <t>Caso contra bunge, ajuizada pela Moinho Recife em uma discussão societária. Caso de R$ 150mm</t>
  </si>
  <si>
    <t xml:space="preserve">12/11 - Em análise
25/11 - Vamos entender o parecer do Eli.
10/12 - Nao vamos seguir. Bunge pode ganhar caso haja rescisória </t>
  </si>
  <si>
    <t>Ação sem fundamento</t>
  </si>
  <si>
    <t>Margem participaçao</t>
  </si>
  <si>
    <t>Margem Participação contra a Euroamérica</t>
  </si>
  <si>
    <t>12/11 - Em análise
25/11- Aguardando julgamento do recurso de Euroamerica e avaliçao do imovel (pedimos para o Bruno adv)</t>
  </si>
  <si>
    <t>Crédito de dificil recuperação</t>
  </si>
  <si>
    <t>Polo Wear</t>
  </si>
  <si>
    <t>18/11 - Time da FA iria fazer uma analise mais detalhada dos imoveis disponíveis
25/11- Revisando TS da JGP FA
17/12 - Mandamos a estrutura da operaçao, pendente de validação do Muller
13/01 - Vamos fazer a relaçao com os imoveis para ja chegar no TS com os imoveis desejados
27/01 - Time FA mandou a estrutura para a Companhia, aguardando resposta
03/02 - Enviamos o TS 31/01. Aguardando resposta
17/02 - Acharam caro o kicker e a multa de pre pagamento
24/02 - Respondemos as preocupaçoes dele, aguardamos uma devolutiva
07/04 - Enviamos novas condiçoes, aguardando devolutiva</t>
  </si>
  <si>
    <t>Não estava satisfeito com as condições propostas</t>
  </si>
  <si>
    <t>CIB</t>
  </si>
  <si>
    <t>13/11 - Já analisamos anteriormente, valores muito altos e muitas cessões</t>
  </si>
  <si>
    <t>Operação Galpão Logistico</t>
  </si>
  <si>
    <t>-Volume: 17m
-36 meses de carência de juros e principal
-Kicker: 3% da venda do galpão (sujeito a um kicker mínimo de 4m)
-Garantia: Aval dos dois sócios, AF do galpão + 5m de cash collateral. 
-Estimativa de venda forçada do galpão: 40m</t>
  </si>
  <si>
    <t>18/11 - Em análise
18/11 - Entender o processo e imovel
25/11 - Fizeram uma proposta stalking horse e estao aguardando a decisao para homologar essa semana. Não tem edital pq foi proposta de stalking horse
Deveriamos dar o recurso, o imovel fica em garantia do juizo ate o pagamento da ultima parcela.</t>
  </si>
  <si>
    <t>- como o desembolso é feito em tranches, até a aquisiçao completa, ficariamos com hipoteca e não AF, risco que nao queremos correr
- A operaçao é um play de real estate, não temos mto know how
- Taxa de CDI+8%, mesmo com um kicker, seria um grande dificultador aqui</t>
  </si>
  <si>
    <t>Maluf</t>
  </si>
  <si>
    <t>13/11 - Crédito já analisado, porém dificil de seguirmos</t>
  </si>
  <si>
    <t>Odair</t>
  </si>
  <si>
    <t>Pedro Magalhaes</t>
  </si>
  <si>
    <t>18/11 - Não conseguimos chegar no preço de 82% do valor líquido</t>
  </si>
  <si>
    <t>Desapropriação federal Fazenda Primavera</t>
  </si>
  <si>
    <t>Estão entrando com  Execução definitiva em  Janeiro /fevereiro 2025 o crédito já  vencido será colocado no orçamento da União  para pagamento  2027</t>
  </si>
  <si>
    <t>25/11 - Em análise</t>
  </si>
  <si>
    <t>Cocelpa</t>
  </si>
  <si>
    <t>Produção de papel e embalagem
A Cocelpa hoje está em recuperação judicial e os sócios (estão brigados e não se falam) estão com patrimonial bloqueado. Eles possuem hoje um acordo para pagar a vista a divida fiscal e gostariam de fazer uma divida na empresa com garantias no imóvel que fica em Araucaria-PR</t>
  </si>
  <si>
    <t>25/11 - Em análise
06/12 - Will ficou de pegar um status da RJ, variação da posiçao da dívida e numeros realizados.
06/01 - Cobramos as infos, ainda sem resposta</t>
  </si>
  <si>
    <t>Não enviaram as informações</t>
  </si>
  <si>
    <t>Precatorio do Estado do PR</t>
  </si>
  <si>
    <t>AgroPastoril</t>
  </si>
  <si>
    <t>Deyvid Oliveira</t>
  </si>
  <si>
    <t>Esta empresa, antes da crise possuia um faturamento superior a 1 bilhão de reais e possui contratos com outras grandes empresas nacionais e entes federativos.
Esta empresa está em busca de um DIP finance.</t>
  </si>
  <si>
    <t>Casa de Saúde Dr. Aragão Villar</t>
  </si>
  <si>
    <t>25/11- na nossa estratégia não olhamos a tese de hospitais psquiátricos – FBH.</t>
  </si>
  <si>
    <t>RPC</t>
  </si>
  <si>
    <t>25/11- Vao enviar o NDA para apresentarem os créditos da OI
10/12 - Negado</t>
  </si>
  <si>
    <t>créditos são muito grandes e, dificilmente, conseguiríamos distribuir entre nossos investidores, dado o risco de concentração na tese</t>
  </si>
  <si>
    <t>Triunfo x Chubb</t>
  </si>
  <si>
    <t>25/11 - Marcar reuniao com assit.tecnico da Triunfo
Respondeu ao Bruno, que precisamos entender o valor das compensações que a camara deu no julgamento de apelação
03/12 - Hugo vai enviar os parametros
10/12 - Enviamos uma proposta
17/12 - Aguardando resposta da proposta enviada
10/12 - Não vão vender no momento</t>
  </si>
  <si>
    <t>Conseguiram funding e nao precisaram vender o claim</t>
  </si>
  <si>
    <t>Jatobá Agronegócios</t>
  </si>
  <si>
    <t>Empresa faz compra e venda de soja e milho. Compra os grãos do produtor e os vende no porto com o transporte por sua conta. Faturou R$ 1,5Bi em 2022 e 1Bi em 2023. Leva para os portos de Santos, Paranaguá, etc. Contrata transporte principalmente do Transben.
Em seu processo, busca os grãos nos armazéns que o cliente deixou (sendo alguns no próprio silo). Majora de 2,5% a 3% por saca. Obtém uma margem bruta média de 3%, e líquida de 0,5%</t>
  </si>
  <si>
    <t>25/11 - Empresa ja possui o PL virado, estariam pensando em uma taxa de DI+10%, os passivos de CP estão maiores que os ativos e as margens são mto baixas.</t>
  </si>
  <si>
    <t>Margem mto baixa, pl ja virado, e UoP seria para kgiro, com uma dívida cara</t>
  </si>
  <si>
    <t>Construtora x União</t>
  </si>
  <si>
    <t>Luciano Monetaire</t>
  </si>
  <si>
    <t>25/11 - Vão enviar mais informações, numero do processo e df da construtora</t>
  </si>
  <si>
    <t>Mottu x Allievo</t>
  </si>
  <si>
    <t>Credito para alavancar a allievo em um aumento da participaçao na mottu</t>
  </si>
  <si>
    <t>Vamos dar o feedback que não vamos seguir. Passamos em comite para ver se tinha apetite em outros fundos mas não passou. Risco e prazo</t>
  </si>
  <si>
    <t>Empresa Santo Antonio - Ceará</t>
  </si>
  <si>
    <t>02/12 - Enviamos a proposta de 37% (R$ 4.5mm), que já foi aceita. Vamos iniciar a diligencia
10/12 - Comite amanha
13/12 - Aprovado em comite</t>
  </si>
  <si>
    <t>Espírito Santo - DICAUTO</t>
  </si>
  <si>
    <t>Precatório de 10mm</t>
  </si>
  <si>
    <t>03/12 - Em análise
10/12 - Vamos negar</t>
  </si>
  <si>
    <t>entendemos que não há muita compatibilidade com os ativos que estamos buscando no momento</t>
  </si>
  <si>
    <t>Paraná - INCRA</t>
  </si>
  <si>
    <t>DC de R$ 349mm</t>
  </si>
  <si>
    <t>Não adquirimos crédito com cessões anteriores</t>
  </si>
  <si>
    <t>Mendesprev</t>
  </si>
  <si>
    <t>Ramos de Luca</t>
  </si>
  <si>
    <t>Valor de 2019 de R$ 311mm</t>
  </si>
  <si>
    <t>03/12 - Em análise
03/12 - Vamos negar</t>
  </si>
  <si>
    <t>Ativo com bastante penhora</t>
  </si>
  <si>
    <t>Precatorio FA</t>
  </si>
  <si>
    <t>Quartier Ipanema</t>
  </si>
  <si>
    <t>10/12 - Precificamos indicando em uma primeira proposta de R$ 17mm
17/12 - Vamos considerar earn-out
13/01 - Solicitamos as infos necessarias, ainda não mandaram nenhuma info
13/01 - Fazer com o Renato o texto de aprovaçao da nossa proposta para o condominio
20/01- Enviou a convençao e redigir o item da ata de aprovação
27/01 - Vamos avaliar o status com o Romeiro
03/02 - Março vai ter reuniao de reeleiçao de sindico, estao aguardando isso para venda do crédito
24/02 - Vamos cobrar uma resposta ao final de março/abril
24/03 - Eles nos voltaram que receberam uma proposta de 65%, mantemos nossa proposta (podendo subir um pouco). 
Vamos cobrar Romeiro voltar de férias para entender se houve evolução do lado do cedente
31/03 - Reunião hoje as 16h30
04/04 - Negamos</t>
  </si>
  <si>
    <t>Negamos, queriam valor de R$ 29m o que prejudicava nosso retorno, não conseguimos chegar</t>
  </si>
  <si>
    <t>Antecipaçao de Metodista</t>
  </si>
  <si>
    <t>Cromex</t>
  </si>
  <si>
    <t>Camilo (MMSO) / Taua Partners</t>
  </si>
  <si>
    <t>Solução completa, nao adianta apenas emprestar dinheiro. Estrutura de capital esta ruim e poderiamos comprar credito, se estivesse vendendo a mercado. 90MM na RE, 210mm com banco</t>
  </si>
  <si>
    <t>17/12 - Sussumo (Taua) vai nos enviar atualização
17/12 - Vamos enviar um feedback para o Camilo (MMSO)
06/01 - Enviamos feedback para o Camilo, o pedido não foi alinhado com o que entendemos ser a soluçao. Pediu credito quando o problema é a estrutura de capital
13/01 - Vamos esperar para entendermos o posicionamento deles a partir dos pontos indicados</t>
  </si>
  <si>
    <t>Sem sucessor, estrutura de capital desequilibrada</t>
  </si>
  <si>
    <t>Allonda</t>
  </si>
  <si>
    <t>Mauro Teixeira (Galdino)</t>
  </si>
  <si>
    <t>Empresa de dragagem. Operação mais curta</t>
  </si>
  <si>
    <t>10/12 - NDA enviado
17/12 - Pendente de assinatura do NDA
06/01 - Enviaram o VDR
13/01 - Entender se tem ativo e economics
20/01 - Pediram um call para tirarmos dúvidas</t>
  </si>
  <si>
    <t>Entedemos que o trabalho de turnaround está sendo executado, mas o caso depende de esforço comercial e melhoria operacional para parar de pé. Em casos assim, precisaríamos de uma estrutura de garantias mais robusta para prosseguirmos com a operação.</t>
  </si>
  <si>
    <t>Aquisição de carteira de NPL</t>
  </si>
  <si>
    <t>10/12 - Em análise, vamos precificar
17/12 - Pendente de envio do NDA
20/01- A cia ainda não enviou o NDA, FTI esta aguardando</t>
  </si>
  <si>
    <t>Empresa Chatbot</t>
  </si>
  <si>
    <t>10/12 - Em análise</t>
  </si>
  <si>
    <t>Credito ruim</t>
  </si>
  <si>
    <t>Contagem</t>
  </si>
  <si>
    <t>10/12 - Em análise, vamos precificar</t>
  </si>
  <si>
    <t>Venda de UPI</t>
  </si>
  <si>
    <t>José Bonifácio</t>
  </si>
  <si>
    <t>Makalu</t>
  </si>
  <si>
    <t>Nao faz sentido comprarmos usina</t>
  </si>
  <si>
    <t>Precatório Federal TRF1</t>
  </si>
  <si>
    <t>Prec.Federal do SUS</t>
  </si>
  <si>
    <t>Não compramos tese de precatorios do SUS</t>
  </si>
  <si>
    <t>Ativos Judiciais Tributarios</t>
  </si>
  <si>
    <t>Aquisiçao de ativos judiciais</t>
  </si>
  <si>
    <t>Connectas Capital</t>
  </si>
  <si>
    <t>11/12 - Vamos marcar uma conversa na segunda semana de janeiro para entender melhor a oportunidade
13/01 - Vamos esperar eles voltarem a nos procurar</t>
  </si>
  <si>
    <t>Precatório Aragão Vilar</t>
  </si>
  <si>
    <t>Expectativa de R$88mm e valor atualizado prox a R$ 160mm</t>
  </si>
  <si>
    <t>Centro de Tratamento Renal Zona Sul</t>
  </si>
  <si>
    <t>(i) A empresa está em RJ
(ii) Valor expedido com base em suposto incontroverso (apontado pela União apenas como pedido subsidiário) e sobre o qual pendem de análise agravo de instrumento com pedido liminar ainda não apreciado e rescisória julgada improcedente (mas que pende de análise agravo interno interposto pela União).
(iii) Há 18.141.631,72 de dívida ativa na PGFN (tributário, previdenciário, trabalhista) e pedido de penhora no rosto dos autos de R$ 1.327.210,79 (execução fiscal)..</t>
  </si>
  <si>
    <t>FIDC Agro</t>
  </si>
  <si>
    <t>FIDC AGRO Iron Capital</t>
  </si>
  <si>
    <t>Iron Capital</t>
  </si>
  <si>
    <t>um FIDC que compra dívida inadimplida do agro (ajuizada, já em fase de expropriação de bens) originada pelo Banco do Brasil com garantia real de pelo menos 200% de cobertura em relação ao valor de aquisição</t>
  </si>
  <si>
    <t>Não estamos investindo em cotas de FIDCs de outras casas pela parte de Special Sits.</t>
  </si>
  <si>
    <t>Precatório Federal Alimentar</t>
  </si>
  <si>
    <t>Precatório Alimentar TRF2</t>
  </si>
  <si>
    <t>Trata-se de um precatório federal, alimentar, expedido pelo TRF2 em 19 de novembro de 2024, com valor requisitado de R$ 1.231.725,00, com data base em 09/2022</t>
  </si>
  <si>
    <t>Valor muito pequeno para o fundo</t>
  </si>
  <si>
    <t>K3 Investimentos</t>
  </si>
  <si>
    <t>caso de cliente que possui representação jurídica de casos referentes à Ação Civil Pública revisional do Collor Rural, tratando da contestação do indexador das cédulas de crédito no Banco do Brasil em março/1990. 
O valor de honorários a receber estimados pelo cliente é de R$ 70 milhões e está buscando negociar a venda</t>
  </si>
  <si>
    <t>Compra de Crédito</t>
  </si>
  <si>
    <t>Mario Borghini</t>
  </si>
  <si>
    <t>Trata-se de um contrato de mútuo entre a empresa FMAGE do ex-jogador Fred Guedes e o clube de futebol Boavista (Barreiras). 
Aproveito para anexar um parecer para a potencial venda ou empréstimo vinculado a essa dívida que o Fred possui, já devidamente homologada</t>
  </si>
  <si>
    <t xml:space="preserve">Zamboni </t>
  </si>
  <si>
    <t>RJ com credito de pis e cofins transito em julgado com bid do Santander e BTG</t>
  </si>
  <si>
    <r>
      <t xml:space="preserve">06/01 - Credito com isso em garantia
06/01 - André Morais, pendente de resposta dos próximos passos
20/01 - Vamos analisar o crédito. Já baixamos o processo do crédito
14/02- falamos com ricardo levy, o valor do credito passou a ser de 60mm, ofereceriamos 10mm, o que não resolveria a necessidade da empresa. 
</t>
    </r>
    <r>
      <rPr>
        <b/>
        <sz val="11"/>
        <color theme="1"/>
        <rFont val="Calibri"/>
        <family val="2"/>
        <scheme val="minor"/>
      </rPr>
      <t>Ricardo sugeriu n avançar</t>
    </r>
  </si>
  <si>
    <t>Farmacia Independente</t>
  </si>
  <si>
    <t>Patria</t>
  </si>
  <si>
    <t>Pouca divida, mas precisam de capex. Possuem 30 lojas</t>
  </si>
  <si>
    <t>17/12 - Marcado para 18/12 uma conversa para entender melhor a oportunidade
13/01 - Patria pediu para segurar o processo e eles não eram os donos dos imoveis das farmacias</t>
  </si>
  <si>
    <t>Patria pediu para segurar o processo e eles não eram os donos dos imoveis das farmacias</t>
  </si>
  <si>
    <t xml:space="preserve">Execução </t>
  </si>
  <si>
    <t>MPE e Coimex</t>
  </si>
  <si>
    <t>MPE</t>
  </si>
  <si>
    <t>Execuçao em funçao de uma compra da UPI da usina sapucaia com a coimex em que a MPE passou a ser responsavel por essa divida</t>
  </si>
  <si>
    <t>17/12 - Maria Beatriz (advogada) vai nos enviar o contrato de arrendamento. Luiza vai entender se esse contrato esta no processo
13/01 - As informaçoes chegaram, em análise</t>
  </si>
  <si>
    <t>Risco de crédito alto, podem fazer um arranjo com a Coagro</t>
  </si>
  <si>
    <t>DETRAN - GO</t>
  </si>
  <si>
    <t>Açao judicial que pode virar precatorio</t>
  </si>
  <si>
    <t>13/01 - Em análise
27/01 - Hugo analisando
10/02 - Vamos falar com o advogado da Data Traffic
24/02 - Castro nos voltou falando que estão pegando cópia dos autos. Vamos aguardar
24/03 - Mandaram as cópias, em análise
04/04 - Vamos uma sinalização de como vamos seguir - Oferecemos ~10% vf
14/04 - Castro enviou a planilha de calculo, vamos analisar
22/04 - Vamos reunir com o Castro e montar a planilha de precificação.
28/04 - Estamos aguardando retorno do Castro sobre a metodologia de calculo, esta diferente da nossa</t>
  </si>
  <si>
    <t>Propusemos R$ 2m (20%) que não foi aceito pelo cedente</t>
  </si>
  <si>
    <t>A Companhia esta buscando USD 13mm- 17mm para financiar a compra de maquinas para mineraçao de bitcoin</t>
  </si>
  <si>
    <t>10/01 - Levantamos algumas preocupaçoes com o time da Minter:
I - vida util das maquinas 
ii - manutençao do cenario atual para pgto do moic da operaçao de 1.5x a 2x
iii - ajustar estrutura de capital 50% a 60% da aquisição
13/01 - vamos negar</t>
  </si>
  <si>
    <t>Christopher/Antonio</t>
  </si>
  <si>
    <t>Risco de equity, risco do valor residual dos equipamentos e setor pouco conhecido</t>
  </si>
  <si>
    <t>Crédito RJ</t>
  </si>
  <si>
    <t>Portal Agro</t>
  </si>
  <si>
    <t>X2W</t>
  </si>
  <si>
    <t>Companhia Agro em RJ, expectativa de captaçao de um DIP de 50mm para comprar insumos. Possuem ativos operacionais para venda e pagamento do empréstimo. Alem disso há ativos, na RJ, livres para garantia</t>
  </si>
  <si>
    <t>10/01 - Pendente análise do NDA
20/01 - Pedimos ao Legal para subir para assinatura
27/01 - Aguardando envio do VDR
10/02 - Reuniao FUP as 12/02
13/02 - Aguardando o QGC</t>
  </si>
  <si>
    <t>Hospital Lucio Rebelo</t>
  </si>
  <si>
    <t>Dyamonte</t>
  </si>
  <si>
    <t>Hospital em RJ, em Goias, faturamento de R$ 6mm, dívida de R$ 57mm. Hospital so atende PS e o socio parece ter bolso para aval. DIP R$28MM</t>
  </si>
  <si>
    <t>10/01 - Em análise
27/01 - Vamos falar com o Castro sobre o dono do Hospital</t>
  </si>
  <si>
    <t>Crédito Estruturado</t>
  </si>
  <si>
    <t>Projesan</t>
  </si>
  <si>
    <t>Produto quimico para tratamento de agua,tinha uma planta em SC, veio para SP e enfrentou mta concorrencia, prejudicando o resultado da Cia. R$ 300mm de dívida (a confirmar)</t>
  </si>
  <si>
    <t>13/01 - Esperando a HH pegar o mandato</t>
  </si>
  <si>
    <t>Precatório de Fortaleza</t>
  </si>
  <si>
    <t>Enio</t>
  </si>
  <si>
    <t>Pagamento do Ceará está atrasado e ainda possui dois precatorios grandes na fila e antes desse ativo, provavelmente a fila vai travar</t>
  </si>
  <si>
    <t>Blendpaper</t>
  </si>
  <si>
    <t>Entraram com uma cautelar contra o CRA, devido a credores mto pulverizados,a ideia é levantar 80mm para prepagar o CRA. Vale mais tentarmos comprar o CRA</t>
  </si>
  <si>
    <t>16/01 - Empresa entrou com cautelar 
20/01 - Em análise
27/01 - Vamos propor a OPA na securitizadora para continuarmos com as análises</t>
  </si>
  <si>
    <t>Nao tinha quorum de aprovaçao para negociaçao amigavel do alongamento do CRA</t>
  </si>
  <si>
    <t>Caixa Prev</t>
  </si>
  <si>
    <t>20/01 - Em análise
Pedir para FA o originador dos deals</t>
  </si>
  <si>
    <t>Crédito já foi pago</t>
  </si>
  <si>
    <t>Jari Celulose</t>
  </si>
  <si>
    <t>Aeté</t>
  </si>
  <si>
    <t>20/01 - Vamos analisar o processo
27/01 - Luiza vai analisar</t>
  </si>
  <si>
    <t>Não vamos seguir por feat com o fundo</t>
  </si>
  <si>
    <t>Bravante</t>
  </si>
  <si>
    <t>CDI+10% - topam segregar patrimonio, entender se uma RJ pode atrapalhar isso. Financiar a compra de 2 barcaças, com pat segregado, como garantia tem AF das barcaças, os contratos</t>
  </si>
  <si>
    <t>20/01 - Vamos testar internamente
27/01 - AM disse que talvez n fizesse sentido
27/01 - Vamos tentar buscar outro angulo
10/02 - Aguardando infos da AM
24/02- Recebemos as infos, em análise
10/03 - Entendemos que o fluxo de caixa esta apertado para servir a potencial dívida</t>
  </si>
  <si>
    <t>Entendemos que o fluxo de caixa esta apertado para servir a potencial dívida</t>
  </si>
  <si>
    <t>Superfrio</t>
  </si>
  <si>
    <t>Empresa do patria em processo de m&amp;a procurando um bridge</t>
  </si>
  <si>
    <t>20/01 - JP vai testar garantias
27/01 - Mandamos pro JP se tiver garantido boletim de subscriçao podemos analisar
17/02 - Voltou com o boletim de subscrição do Patria
24/02 - Aguardando resposta do Muller sobre a oportunidade</t>
  </si>
  <si>
    <t>Muller nao quis seguir</t>
  </si>
  <si>
    <t>Allievo</t>
  </si>
  <si>
    <t>Acionista</t>
  </si>
  <si>
    <t>Precisam de R$ 50mm para fechar os R$ 70mm do cheque inicial. O diferencial agora é que o Rubens, socio fundador da Mottu, estaria disposto a dar o aval</t>
  </si>
  <si>
    <t>20/01 - Vamos negar a oportunidade</t>
  </si>
  <si>
    <t>Sócio nao retornou com a possibilidade do aval, ainda ficariamos no risco do equity, com retorno de dívida</t>
  </si>
  <si>
    <t>Formosa</t>
  </si>
  <si>
    <t>O pagamento desse precatório, devido ao tamanho e capacidade de pgto do municipio, será parcelado, o que não faz sentido para nossa estratégia.</t>
  </si>
  <si>
    <t>Itagres</t>
  </si>
  <si>
    <t>Stark Investment Banking</t>
  </si>
  <si>
    <t xml:space="preserve">Porcelana em SC, 8 anos Rj, não operacional, 40mm em imoveis n operacionais, fazenda em jaguaruna 40mm, VGV de 500mm mas faseado em mtos anos.Tem duas UPIs operacionais, tubarao vale 53mm bali pagar 30mm, UoP da venda para pagar classe I e II que da 27mm. Tem fabrica em mossoró, Oriz Partners quer levar no artigo 166, 70mm pra construir. Passivo 40mm concursal 40mm extra e 90mm, ja sindicalizou os extra . 20mm de imovel para pagar a extra. Se conseguir +70% de aprovaçao, draga os extra. Tributario de 90mm, paga 9mm na cabeça e 200x </t>
  </si>
  <si>
    <t>10/03 - Em análise</t>
  </si>
  <si>
    <t>Serra Azul</t>
  </si>
  <si>
    <t>Supermkt interior do rio R$ 380mm em 2023, R$ 500mm em 2025, foi abordado por um advogado para revisional, cobrança abusiva (comissão, taxa etc), BTS de 30m – 40m para fazer mercado novo</t>
  </si>
  <si>
    <t>27/01 - Vamos negar</t>
  </si>
  <si>
    <t>Conduzvale</t>
  </si>
  <si>
    <t>material eletrico no RS, dps da enchente se alavancou mto, tem 20 fornecedores, 20mm de ebitda, 17mm em imvoel fora da empresa. Compra credores, renegociando vf de 20m, compra por 5m e mais 3m para giro</t>
  </si>
  <si>
    <t>Villa Lisboa</t>
  </si>
  <si>
    <t>Em floripa, terreno de 7m, 13m de obra, 500 cotas, cada pessoa tem 2 semanas. Cortaram o Cri, quer dinheiro pra terminar a obra. Vendeu 220 cotas. Unico hotel frente mar.</t>
  </si>
  <si>
    <t>Formulário de Referência/Leme Forense</t>
  </si>
  <si>
    <t>Achar ações judiciais. Raspar os formularios de referencia, tem tabela com infos, empresa contra parte, valor da causa. As contigencias tao na 4.3.</t>
  </si>
  <si>
    <t>Vai enviar um email com as infos necessarias para começar o período de teste
24/02- Hugo enviou nossas infos para iniciarmos o período de teste
10/03 - Iniciamos o período de teste
10/03 - Entendemos que o sistema deles nao tem nada diferente do QI Tech alem do sistema de reconhecimento.</t>
  </si>
  <si>
    <t>Decidimos não seguir com esse serviço. Entendemos que o QI Tech oferece melhores produtos</t>
  </si>
  <si>
    <t>Ultracheese</t>
  </si>
  <si>
    <t>Nippur</t>
  </si>
  <si>
    <t>27/01 - Acqua deveria ter obrigação para vender. 
Vamos tentar colocar uma proposta e levar pra Vega
17/02 - Negamos a oportunidade e repassamos as analises com a Nippur</t>
  </si>
  <si>
    <t>A necessidade de m&amp;a, refinanciamento e rampup da operaçao sao riscos para seguirmos no caso</t>
  </si>
  <si>
    <t>Tese dificil, pouco provavel de cnseguir compensação</t>
  </si>
  <si>
    <t>Frango Norte</t>
  </si>
  <si>
    <t>Precatorio Santa Cruz</t>
  </si>
  <si>
    <t>10/02 - Hugo analisando vamos responder (Cessão para FIDC)
Case ruim</t>
  </si>
  <si>
    <t>Prazo acima do limite do fundo</t>
  </si>
  <si>
    <t>PAGOOS</t>
  </si>
  <si>
    <t>Construtora OAB</t>
  </si>
  <si>
    <t>Obra tem 60% de venda e 60% de obra encaminhada, o problema é que ta precisando de financiamento e para emitir CRI, estoque ao valor historico de venda é preço de custo, desenquadra para CRI</t>
  </si>
  <si>
    <t>Crédito Trabalhista</t>
  </si>
  <si>
    <t>Galileu e Assespa</t>
  </si>
  <si>
    <t>03/02 - Vamos entender como fica o levantamento da falência, troca de AJ
10/02- Vamos cobrar dia 17/02 se n tiver resposta da AM
10/03 - Falamos com a AM, ainda estao levantando os advogados. Qnd tiverem isso definido vão voltar a nos procurar</t>
  </si>
  <si>
    <t>Pré-Precatório Federal</t>
  </si>
  <si>
    <t>Fundo ja realizou outra operaçao com a Aspometron e as negociações, recuperação do dinheiro não foram faceis, preferimos nao nos expor novamente</t>
  </si>
  <si>
    <t>Fribarreiras</t>
  </si>
  <si>
    <t>Oportunidade da compra de NPL do BB com pagamento casado do socio da Companhia</t>
  </si>
  <si>
    <t>03/02 - Estudar para colocar uma proposta para o NPL
10/02 - Credito para o fundador não vai mais acontecer</t>
  </si>
  <si>
    <t>Sem capacidade de pagamento tanto para NPL quanto para um futuro crédito</t>
  </si>
  <si>
    <t>Grupo Lagos de Itaipava</t>
  </si>
  <si>
    <t>IFINC</t>
  </si>
  <si>
    <t>A RJ foi deferida, porém seu plano ainda não está aprovado e hoje a estratégia do grupo é uma operação de crédito ponte para quitar com credores extra concursais que estão com a AF das matrículas do Castelo e aprovar o plano. 
A estrutura da operação de crédito pode ser no formato de DIP</t>
  </si>
  <si>
    <t>03/02 - Reuniao para entender o caso 03/02 as 14h
24/02- Analisamos melhor a oportunidade e entendemos que ainda esta em estágio inicial, não possuem todas as informações que comporiam o QGC
27/02 - Vamos falar com o Jeferson na quarta para entender melhor a RJ (12/03)
17/03 - Pendente do envio das infos consolidadas do FCX do grupo em RJ
24/03 - Call com os assessores legais no dia 26/03
24/03 - Enviaram o fluxo e o tamanho da potencial dívida dos mutuários
31/03 - Esperar resultado do leilão do Itau
04/04 - Vamos mandar msg para o Pedro Dantas</t>
  </si>
  <si>
    <t>Penaforte</t>
  </si>
  <si>
    <t>Trata-se de crédito decorrente de descumprimento contratual entre empresa agenciadora de atletas e o São Paulo Futebol Clube.
Em anexo está a Ficha de Compra que descreve o ativo.
O preço, já negociado com os cedentes, é de R$ 1.200.000,00.</t>
  </si>
  <si>
    <t>Setor de futebol ainda nao esta na estrategia de SS</t>
  </si>
  <si>
    <t>MRV</t>
  </si>
  <si>
    <t>Trata-se de crédito decorrente de descumprimento contratual entre pessoas físicas e construtora.
Em anexo está a Ficha de Compra que descreve o ativo, cujo valor atualizado está em aproximadamente R$ 23 milhões</t>
  </si>
  <si>
    <t>10/02 - Em análise
10/02 - Aguardando resposta do Advogado para fecharmos os parametros de precificaçao
17/02 - Hugo vai enviar os parametros para precificaçao
24/02 - Vamos precificar
10/03 - Enviamos a proposta, esperando resposta. Vamos tentar falar hoje.
24/03 - Fizemos um call na semana passada, eles ficaram de levar nossa proposta mas acham que o earn-out não funciona bem.
24/03 - Vamos perguntar como esta a negociação com o cedente para o Rui
31/03 - Enviamos uma nova proposta, pendente de devolutiva do Rui</t>
  </si>
  <si>
    <t>Sem resposta do RUI</t>
  </si>
  <si>
    <t>Precatórios do RN</t>
  </si>
  <si>
    <t>Envio em anexo precatório de 3 cnpj diferentes, porém, mesmo sócio, o qual informou que os valores atuais estão superiores a 20 milhões e que gostaria de obter cotação de valores para venda dos direitos creditórios.</t>
  </si>
  <si>
    <t>Os precatórios foram expedidos em 2023 no RN e o estado está pagando os ativos de 2015. Com isso, a expectativa de recebimento ultrapassa o limite do fundo (2029).</t>
  </si>
  <si>
    <t>Direitos Creditórios</t>
  </si>
  <si>
    <t>Coimex</t>
  </si>
  <si>
    <t>Não faz parte da estratégia do fundo</t>
  </si>
  <si>
    <t>Construtora Moraes Sampaio</t>
  </si>
  <si>
    <t xml:space="preserve">Construtora prometeu entregar o imovel em 2000, pagaram parte do preço e outra parte seria permuta
Imovel hoje que tem um valor mto grande, sofreram um embargo da prefeitura de sp e estao regularizando a construçao
Imovel dado em pgto nao foi entregue
Os autores entraram com a açao de indenizaçao referente ao atraso de 24 anos
41mm em fevereiro de 2022, vai virar 80mm </t>
  </si>
  <si>
    <t>Analisamos o processo e entendemos que não faz sentido seguirmos. O dono da unidade presumiu que a responsabilidde era dos condominos, entendemos q não devemos seguir</t>
  </si>
  <si>
    <t>Condominio x Gafisa</t>
  </si>
  <si>
    <t>Vamos negar junto com edifcio de SP - outra oportunidade enviada</t>
  </si>
  <si>
    <t>Risco de crédito da Gafisa e oportunidade pequena</t>
  </si>
  <si>
    <t>Clinica Reviver</t>
  </si>
  <si>
    <t>Nippur/FA</t>
  </si>
  <si>
    <t>Reajuste da Tabela SUS</t>
  </si>
  <si>
    <t>Não faz sentido com estratégia do fundo</t>
  </si>
  <si>
    <t>Instituto de Saúde e Educação Vida</t>
  </si>
  <si>
    <t>Aluguel de Freezer da Metalfrio</t>
  </si>
  <si>
    <t>Oriz</t>
  </si>
  <si>
    <t>03/02 - Vao enviar o NDA e dps enviar as informações.
10/02 - Aguardando as informações
20/02 - Enviaram VDR, vamos analisar</t>
  </si>
  <si>
    <t>Sócios, exclusividade na prestação de serviço</t>
  </si>
  <si>
    <t xml:space="preserve">Precatório Estadual </t>
  </si>
  <si>
    <t>Sealion</t>
  </si>
  <si>
    <t>29/01 - Enviamos preço
03/02 - Estamos aguardando devolutiva do Marco
10/02 - Vamos fazer a proposta final
14/02 - Enviamos proposta
24/02 - FUP dps do Carnaval
17/03 - Resposta para o final de março
24/03 - Vamos ter call 27/03
31/03 - Em análise dos demais ativos do Grupo
31/03 - Ação judicial contra a Petro é boa e vamos precisar aprofundar, contrato em dolar. Vamos entrar em contato com o liquidante lá fora.
07/04 - Reunião com o liquidante (04/04) - Arquivo com os credores salvo na pasta (em análise)
07/04 - Vamos cobrar o NDA, entender as açoes e o que seria fee para o liquidante, prejuizo fiscal 
14/04 - Enviaram o NDA. Ok pro draft, pendente de subir para assinatura
22/04 - Vamos precificar os demais créditos. Call com o Christopher na sexta (25/04).
22/04 - Entender se ha divida da operaçao brasil com a ltd.
28/04 - Precificar os ativos do Brasil, prioridade
07/05 - Enviamos a proposta para a Shipping
12/05 - Entender qnt pagar no brasil dps de comprar o crédito da shipping
19/05 - Marco está tentando negociar para comprarmos somente os precatórios</t>
  </si>
  <si>
    <t>Decidiram nao negociar os precatórios</t>
  </si>
  <si>
    <t>Precatório Ceará (Marleiba)</t>
  </si>
  <si>
    <t>29/01 - Enviamos preço
17/02 - Não aceitou o preço</t>
  </si>
  <si>
    <t>Não aceitou o preço proposto</t>
  </si>
  <si>
    <t>Precatório Bahia</t>
  </si>
  <si>
    <t>03/02 - Aguardando informações</t>
  </si>
  <si>
    <t>Estado não esta na nossa lista de preferência</t>
  </si>
  <si>
    <t>Voepass x Latam</t>
  </si>
  <si>
    <t>Ferro</t>
  </si>
  <si>
    <t>03/02 - Aguardando informações
10/02 - Aguardando Infos e resposta do TS
14/02 - Enviamos a proposta NBO Litigation
24/02 - vao enviar o custo de lessor e falaram que so vao fazer o litigation junto com o credito estruturado</t>
  </si>
  <si>
    <t>Carta</t>
  </si>
  <si>
    <t>31/03 - Entregar a carta para o comercial até final de abril
04/04 - Revisar os gráficos.
01/07 - Precisamos soltar antes do lançamento do fundo IV</t>
  </si>
  <si>
    <t>Apresentação</t>
  </si>
  <si>
    <t>24/02 - Marketing já fez os ajustes. Aguardando design</t>
  </si>
  <si>
    <t>Eletrogoes</t>
  </si>
  <si>
    <t>Franklin Templaton</t>
  </si>
  <si>
    <t>Credito contra a Aneel</t>
  </si>
  <si>
    <t>17/02 - Em análise
24/02 - Vamos fazer o call com a Franklin Templaton
26/02 - Fizemos o call e vamos analisar se enviaremos uma nova proposta
03/03 - Enviamos uma nova proposta de R$ 65m, aguardando resposta
24/03 - Seria mais para o fundo IV, vamos esperar eles voltarem</t>
  </si>
  <si>
    <t>Graal x Odebrecht</t>
  </si>
  <si>
    <t>Padis Mattar</t>
  </si>
  <si>
    <t>Graal quer comprar um acionista minoritario e quer como garantia esse crédito contra a ODB</t>
  </si>
  <si>
    <t>10/02 - Em análise
24/02 - Vamos cobrar após receber sencinet</t>
  </si>
  <si>
    <t>Construtora Porto</t>
  </si>
  <si>
    <t>Adiantasse recebivel de contrato publico</t>
  </si>
  <si>
    <t>10/02 - Em análise</t>
  </si>
  <si>
    <t>Dep.Estradas de Rodagem - SP</t>
  </si>
  <si>
    <t>Normalmente o estado de SP faz acordo pagando 60% do valor e os valores pagos na aquisição dos créditos variam de 35%-40% do valor de face. Nesse cenário, o retorno não seria atrativo para nosso fundo.</t>
  </si>
  <si>
    <t>Precatório Ceará - Quadra Imobiliária</t>
  </si>
  <si>
    <t>Cadastrado só em 02/08/2024, orçamento 2026
Prazo incompatível com o Estruturados III</t>
  </si>
  <si>
    <t>Compra de NPL</t>
  </si>
  <si>
    <t>Vianna Junior</t>
  </si>
  <si>
    <t>Joaquim Bastos</t>
  </si>
  <si>
    <t>Comprar crédito para aprovação do Plano ou comprar trabalhista e colocar imóvel em garantia</t>
  </si>
  <si>
    <t>10/02 - Em análise
17/02 - Enviaram infos do VDR na sexta(14/02)</t>
  </si>
  <si>
    <t xml:space="preserve">O plano apresentado está defasado e nao existe nada negociado para a aprovação, a agc está marcada para ser realizada em menos de 2 meses e deve ser instalada na primeira chamada
Dos R$ 23 milhões, R$ 18,4 milhões estão representados pelo sindicato. (classe I)
Há entendimento de que deve haver um deságio de 50% para funcionários, o que pode gerar risco (vide discussões no STJ).
Viabilidade financeira:
Mesmo que a aprovação ocorra, teríamos que adquirir parte dos créditos por menos de 50% do valor para obter algum retorno.
A capacidade de pagamento é limitada devido à escassez de ativos e falta de robustez na geração de caixa.
Ativos disponíveis:
-Terreno com VGV de R$ 100 milhões: 38% destinado à instituição, mas o valor presente seria inferior a R$ 10 milhões após descontados todos os passivos e comissões.
-Ativo judicial avaliado em cerca de R$ 6 milhões.
-Salas comerciais avaliadas em, no máximo, R$ 2 milhões.
</t>
  </si>
  <si>
    <t>Precatório do Rio</t>
  </si>
  <si>
    <t>17/02 - Vamos precificar
17/02 - Mandamos uma primeira proposta com 20%. Prazo estimado em 2029, não deve aceitar</t>
  </si>
  <si>
    <t>Prazo estimado em 2029, não deve aceitar a proposta de preço de 20%</t>
  </si>
  <si>
    <t xml:space="preserve">Francisco Honorio </t>
  </si>
  <si>
    <t>Enio (grupo wapp)</t>
  </si>
  <si>
    <t>17/02 - Vamos negar</t>
  </si>
  <si>
    <t xml:space="preserve">Vamos negar, mtos oficios requisitorio pequenos </t>
  </si>
  <si>
    <t>NPL Banco Luso</t>
  </si>
  <si>
    <t>Banco Luso</t>
  </si>
  <si>
    <t>Banco</t>
  </si>
  <si>
    <t>12/02 - NDA assinado
Enviaram infos da Base em prejuízo</t>
  </si>
  <si>
    <t>Créditos mto pequenos e não interessaram para estratégia</t>
  </si>
  <si>
    <t>Direto Creditório</t>
  </si>
  <si>
    <t>Empresa no Amapá x Empresa Canadense</t>
  </si>
  <si>
    <t>Crédito por contrato de prestação de serviço. Uma empresa do Amapá requereu o pagamento de dívida de outra empresa de capital canadense, em valor superior a 11 milhões de reais</t>
  </si>
  <si>
    <t xml:space="preserve">24/02 - Aguardando resposta do NDA
26/02 - Pediu que enviassemos a solicitação de infos que precisamos
27/02 - Solicitamos numero do contrato e honorários contratuais
10/03 - 10% de honorários contratuais sobre o valor da causa
24/03 - Terminando analise inciial
24/03 - Vamos responder negando </t>
  </si>
  <si>
    <r>
      <t xml:space="preserve">Não estamos confortável com o risco de crédito dessa operação
</t>
    </r>
    <r>
      <rPr>
        <b/>
        <u/>
        <sz val="11"/>
        <color theme="1"/>
        <rFont val="Calibri"/>
        <family val="2"/>
        <scheme val="minor"/>
      </rPr>
      <t>[Interno]: Vamos entender se o MoU com o novo comprador vai ser assinado.</t>
    </r>
  </si>
  <si>
    <t>Seara Agro</t>
  </si>
  <si>
    <t>Divida extraconcursal de 300mm, algum parceiro para comprar essa dívida.</t>
  </si>
  <si>
    <t>17/02 - Call com Haaland para pegar as impressões do negócio
20/02 - Sócio complicado
24/02 - Voltar com feedback dps do carnaval</t>
  </si>
  <si>
    <t>Sócio complicado</t>
  </si>
  <si>
    <t>Adiantamento a Fazenda (Grupo Auxiliar x Familia Paiva)</t>
  </si>
  <si>
    <t>Gestora</t>
  </si>
  <si>
    <t>Familia Paiva esta comprarndo fazenda do Grupo Auxiliar, querem adiantar as parcelas mas a taxa esta baixa (di+5%) 230 em 5 parcelas</t>
  </si>
  <si>
    <t>17/02 - Vamos propor uma taxa de 25% - 30%. Adiantando somente R$ 130mm</t>
  </si>
  <si>
    <t>Não conseguimos bater as taxas propostas pelos bancos</t>
  </si>
  <si>
    <t>Auma</t>
  </si>
  <si>
    <t>RFA</t>
  </si>
  <si>
    <t>Pré precatório</t>
  </si>
  <si>
    <t>Gabriel Turiano</t>
  </si>
  <si>
    <t>Turiano mandou alguns pré precatorios da Estre</t>
  </si>
  <si>
    <t>24/02 - Em análise</t>
  </si>
  <si>
    <t>Créditos Ruins</t>
  </si>
  <si>
    <t>Sencinet</t>
  </si>
  <si>
    <t>24/02 - Em análise
26/02 - NDA assinado, aguardando informaçoes
10/03 - Taxa baixa em dolar e talvez pouco caixa para honrar a dívida
10/03 - vamos marcar um call com eles para entender
17/03 - Fiz uma conversa com o Cesar, Padis Mattar, vão enviar uma nova projeçao
24/03 - Vamos devolver que não faz sentido olharmos agora, empresa nao tem garantia, nao tem fluxo, ta alavancado, tem que crescer
31/03 - Falei com o Cesar do Padis Mattar na semana passada, ele vai voltar com a Cia e os assessores</t>
  </si>
  <si>
    <t>Projeto Armando Conde</t>
  </si>
  <si>
    <t>Leite Tosto</t>
  </si>
  <si>
    <t>temos a ação que os herdeiros de Armando Conde movem contra Cyrella e Seltin; 
a ação que o Bradesco move contra o Espólio de Armando Conde e o inventário de Armando e Lilly</t>
  </si>
  <si>
    <t>24/02 - Em análise
10/03 - Mandamos perguntas sobre o processo contra a Cyrella
17/03 - Vamos fechar a análise
24/03 - Rodrigo Quadrante está analisando as informações solicitadas</t>
  </si>
  <si>
    <t>CRI - Casa Orange</t>
  </si>
  <si>
    <t>Multinvest</t>
  </si>
  <si>
    <t>Reforço que, apesar de constar a taxa de IPCA + 11%, a Casa Orange já concordou em subir a taxa para IPCA + 13%</t>
  </si>
  <si>
    <t>Taxa não é atrativa para o time de SS</t>
  </si>
  <si>
    <t>Tese  Tunep</t>
  </si>
  <si>
    <t>Não olhamos tese Tunep</t>
  </si>
  <si>
    <t>Precatório de SP</t>
  </si>
  <si>
    <t>Vihtor Carraro</t>
  </si>
  <si>
    <t>24/02 - Precatório do estado de SP, demorando a pagar</t>
  </si>
  <si>
    <t>Paga via acordo e como preço ta alto não estamos olhando</t>
  </si>
  <si>
    <t>Engevix</t>
  </si>
  <si>
    <t>Empresário</t>
  </si>
  <si>
    <t>Estão com USD 20M com Prisma (Lucas Canhoto), querem resolver os 20m ou pelo menos 10M.
Garantia : Cotas de FIDC que tem claim contra Petrobras 320 M (sentença deve sair em uma semana), R$ 80 contra eletrobrás
tem um novo contrato para 4 navios no estaleiro que podem tentar ceder um pouco para pagar tb
indicaram taxa de USD + 10% a.a. (já disse que a nossa seria mais alta).</t>
  </si>
  <si>
    <t>Benge x Petrobras</t>
  </si>
  <si>
    <t>Castro Barros</t>
  </si>
  <si>
    <t>a Benge precisa de financiamento de litígio para as 5 ações contra a Petrobras (1 já ajuizada e prestes a ter sentença), para fazer frente às custas judiciais, honorários do Castro Barros e perícia</t>
  </si>
  <si>
    <t xml:space="preserve">10/03 - vamos entender a RJ
24/03 - Call com o dono da Cia, pouco faturamento, açoes iniciais (podem ser boas), operação pequena. </t>
  </si>
  <si>
    <t>Ações judiciais em estágio preliminar</t>
  </si>
  <si>
    <t>Benge x Plenitude Bank</t>
  </si>
  <si>
    <t>Benge tem uma disputa com a Plenitude que a está impedindo de emitir faturas por serviços já medidos pela Petrobras e gostaríamos de saber se a JGP teria alguma forma de auxiliar no alcance de um acordo que possa liberar tal faturamento</t>
  </si>
  <si>
    <t>10/03 - vamos entender a RJ
24/03 - Call com o dono da Cia, pouco faturamento, açoes iniciais (podem ser boas), operação pequena. RJ resolve com 2m mas o problema é Plenitude Bank pedindo R$ 9m</t>
  </si>
  <si>
    <t>Benge</t>
  </si>
  <si>
    <t xml:space="preserve">A Cia atua com produtos para manutenção de tubulações e equipamentos industriais
Benge precisa também de auxílio financeiro para fazer frente às obrigações de seu Plano de Recuperação judicial (já homologado em decisão transitada em julgado) e também pagar dívidas com seus advogados </t>
  </si>
  <si>
    <t>10/03 - vamos entender a RJ
24/03 - Call com o dono da Cia, pouco faturamento, açoes iniciais (podem ser boas), operação pequena. 
24/03 - Vamos responder que não faz sentido avançarmos</t>
  </si>
  <si>
    <t>Concremix</t>
  </si>
  <si>
    <t>Thiago Amar</t>
  </si>
  <si>
    <t>compra de crédito de herdeiro do espólio do sócio da Concremix</t>
  </si>
  <si>
    <t xml:space="preserve">Direito de um dos filhos, teria que passar por discussão judicial </t>
  </si>
  <si>
    <t>Projeto Brodeaux (St. Marche)</t>
  </si>
  <si>
    <t>Boutique</t>
  </si>
  <si>
    <t>BRL 100M para kgiro de empresa do setor de varejo em RE. Segmentos Adega, Padaria e Mercearia</t>
  </si>
  <si>
    <t>10/03 - Vamos responder</t>
  </si>
  <si>
    <t>Sem ativos</t>
  </si>
  <si>
    <t>Querem até R$ 50m. R$ 20mm no direito de preferencia e R$ 30mm de reciclagem de capital</t>
  </si>
  <si>
    <t>24/02 - Enviaram as informações sobre a estrutura societária. Entender a possibilidade de adicionar garantias, açoes de outras investidas
10/03 - Vamos negar - por principio nao conseguimos olhar para os fundos de SS</t>
  </si>
  <si>
    <t xml:space="preserve"> por principio nao conseguimos olhar para os fundos de SS</t>
  </si>
  <si>
    <t>Compra de UPI</t>
  </si>
  <si>
    <t>Projeto Bandeirantes - Venda de UPIs Grupo Virgulino de Oliveira</t>
  </si>
  <si>
    <t>Consultoria</t>
  </si>
  <si>
    <t>UPI Imóveis Urbanos. Grupo sucroenergético</t>
  </si>
  <si>
    <t>GE e VOITH x Furnas</t>
  </si>
  <si>
    <t>10/03 - Precificamos.
10/03 - Vamos agendar uma reunião com GE e Voith
24/03 - Temos call com GE e Voith dia 25/03
31/03 - Enviamos uma nova proposta (28/03) - pendente de devolução
31/03 - Vamos mandar o racional por email de como fizermos o calculo
31/03 - Vamos entender o pq do indice de correção ser SELIC. Estamos usando só a Selic, critério mais conversado.
07/04 - Vamos enviar o racional de como fizemos o calculo e cobraremos a resposta
22/04 - Enviamos o racional de calculo
29/04 - Cibele (Voith) vai fazer um fup no CFO</t>
  </si>
  <si>
    <t>Sylvamo x Multiformas</t>
  </si>
  <si>
    <t xml:space="preserve">a prioridade da Sylvamo é a negociação do crédito objeto da execução destacada em amarelo, ajuizada contra Multiformas e outros, com valor atualizado de R$ 230 milhões </t>
  </si>
  <si>
    <t>10/03 - Vamos responder ao Ricardo Quass
10/03 - Vamos analisar a planilha da Cia com alguns ativos judiciais</t>
  </si>
  <si>
    <t xml:space="preserve">Réu é um foragido, não acharam bens dele. </t>
  </si>
  <si>
    <t>Valença</t>
  </si>
  <si>
    <t>24/02 - Em análise
10/03 - Estamos entendendo a fila de pgto para valença e então precificarmos
24/03 - Enviamos a precificação, cedente mostrou interesse em vender 50%
24/03 - Voltamos com o Broker, aguardando resposta (acha que não passa)</t>
  </si>
  <si>
    <t>cedente mostrou interesse em vender 50%, não funcionava para nós. Cedente desistiu de negociar</t>
  </si>
  <si>
    <t>Área em cubatao</t>
  </si>
  <si>
    <t>Evaldo Buischi</t>
  </si>
  <si>
    <t>Dinheiro para limpar as dividas do terreno</t>
  </si>
  <si>
    <t>Area grande em cubatao com uso capião, não faz sentido</t>
  </si>
  <si>
    <t>Construtora Itau x SANEPAR</t>
  </si>
  <si>
    <t>O autor desta ação Construtora Itaú Ltda contra a SANEPAR (Companhia de saneamento do Paraná) sinaliza interesse em negociar os direitos desta sentença jurídica.
Esta ação encontra-se na fase de liquidação e abaixo seguem os cálculos do perito.</t>
  </si>
  <si>
    <t>10/03 - Em análise
10/03 - Vamos responder ao Will</t>
  </si>
  <si>
    <t>Além de estimarmos que a fase de liquidação deve levar 2/3 anos para se encerrar, identificamos que as condenações judiciais da Sanepar são pagas por meio de precatório, o que cria uma dificuldade adicional para o recebimento dos valores.
O Estado do Paraná está com sua fila de pagamentos bastante atrasada, então não vemos ângulo para seguir nesse caso</t>
  </si>
  <si>
    <t>FIDC Axios e Iron Capital</t>
  </si>
  <si>
    <t>Compra de cotas de FIDCs</t>
  </si>
  <si>
    <t>não estamos investindo em cotas de FIDCs de outras casas pela parte de Special Sits</t>
  </si>
  <si>
    <t>Honorários Sucumbenciais Estre (Turiano)</t>
  </si>
  <si>
    <t>10/03 - Proposta de 1.7m e ele pagaria 
17/03 - Vamos montar a apresentação
24/03 - Enviamos a apresentação para aprovaçao e já chamamos capital, liquida amanhã
31/03 - Liquidado</t>
  </si>
  <si>
    <t>Debenture</t>
  </si>
  <si>
    <t>Casas Bahia</t>
  </si>
  <si>
    <t xml:space="preserve">Debentures estão a 20% do Par, ideia seria comprarmos e ficarmos com um saldo devedor de ~40% do PAR. Garantia da loja </t>
  </si>
  <si>
    <t>10/03 - Vamos marcar com a A&amp;M para entender a reestruturação
24/03 - Conversamos com a A&amp;M e entendemos nao ter mtos ativos
31/03 - Falar com AM na vertical de reestruturação</t>
  </si>
  <si>
    <t>Ativos ruins como garantia, alem da cia estar possivelmente perto de uma RJ</t>
  </si>
  <si>
    <t>Agro</t>
  </si>
  <si>
    <t>Horizonte Investimentos</t>
  </si>
  <si>
    <t>17/03 - Aguardando envio do material</t>
  </si>
  <si>
    <t>Grupo Fasolo</t>
  </si>
  <si>
    <t>Portofino</t>
  </si>
  <si>
    <t>Cliente</t>
  </si>
  <si>
    <t>17/03 - Pendente de envio do FCX
24/03 - Estamos finalizando a modelagem
24/03 - Vamos cobrar sobre o andamento da transação fiscal e vamos entender dívida de IPTU
31/03 - Entendemos que a capacidade de pagamento e ativos disponíveis são limitados para honrar com a dívida
31/03  - Vamos puxar uma reuniao com Portofino para passar nossa primeira visão do caso
07/04 - Falar com a Portofino para tentar negociar a compra do crédito direto no BB</t>
  </si>
  <si>
    <t>Poucos ativos interessantes, transação tributária ainda esta no inicio e geraçao de caixa negativa</t>
  </si>
  <si>
    <t>Canabrava</t>
  </si>
  <si>
    <t>Vieira Rezende</t>
  </si>
  <si>
    <t>10/03 - Vamos devolver que não faz sentido para nós</t>
  </si>
  <si>
    <t>Desalinhado com a estratégia do fundo</t>
  </si>
  <si>
    <t>Poucos ativos interessantes, em um proximo leilao, Pedro Dantas ficou de enviar oportunidades maiores</t>
  </si>
  <si>
    <t>Grupo Fayad</t>
  </si>
  <si>
    <t>10/03 - Em análise
17/03 - Vamos puxar o processo e ligar para Cia para entender
24/03 - Aguardando informações, capacidade de pagamento e condições iniciais propostas pelos bancos
31/03 - Prazo do leilão dia 10/04 - Mauad fazer FUP
07/04 - Vamos colocar proposta 1,5m
10/04 - Colocamos uma proposta de R$ 1,1m, estamos aguardando devolutiva</t>
  </si>
  <si>
    <t>Não levamos o leilão</t>
  </si>
  <si>
    <t>Associação de Educação do Norte Paulista</t>
  </si>
  <si>
    <t>Precatórios Estaduais</t>
  </si>
  <si>
    <t>Precatórios Estaduais do RJ</t>
  </si>
  <si>
    <r>
      <t xml:space="preserve">815 ( preço ), estadual RJ , ano orçamentário 2025. Autora 
</t>
    </r>
    <r>
      <rPr>
        <b/>
        <sz val="11"/>
        <color theme="1"/>
        <rFont val="Calibri"/>
        <family val="2"/>
        <scheme val="minor"/>
      </rPr>
      <t xml:space="preserve">2.2M (preço) , estadual RJ, ano orçamentário 2023. </t>
    </r>
    <r>
      <rPr>
        <sz val="11"/>
        <color theme="1"/>
        <rFont val="Calibri"/>
        <family val="2"/>
        <scheme val="minor"/>
      </rPr>
      <t xml:space="preserve">
Autora 850 (preço) , estadual RJ, ano orçamentário 2026. Honorários</t>
    </r>
  </si>
  <si>
    <t>17/03 - Aguardando o oficio chegar
16/06 - Luiza vai analisar</t>
  </si>
  <si>
    <t>Não recebemos o ofício</t>
  </si>
  <si>
    <t>Tese Seguro Habitacional</t>
  </si>
  <si>
    <t>Lefosse</t>
  </si>
  <si>
    <t>31/03 - Esperando informações</t>
  </si>
  <si>
    <t>Walter dos Santos Affonso</t>
  </si>
  <si>
    <r>
      <t xml:space="preserve">Oportunidade de cessão de crédito judicial decorrente da ação nº 0163194-18.1900.4.02.5101, que trata de indenização por desapropriação de um imóvel localizado em Nova Iguaçu/RJ, promovida pela Rede Ferroviária Federal S.A., atual Companhia Brasileira de Trens Urbanos - CTBU.
O processo, originalmente iniciado em 1979, já teve pagamentos efetuados ao longo dos anos, além de um acordo firmado e posteriormente inadimplido. Como resultado do inadimplemento, ainda resta um saldo remanescente, cujo valor foi reconhecido em 2024 pelo Superior Tribunal de Justiça em </t>
    </r>
    <r>
      <rPr>
        <b/>
        <u/>
        <sz val="11"/>
        <color theme="1"/>
        <rFont val="Calibri"/>
        <family val="2"/>
        <scheme val="minor"/>
      </rPr>
      <t>R$ 1.156.274.441,48</t>
    </r>
  </si>
  <si>
    <t>Negado, valor mto alto, dificil recebimento</t>
  </si>
  <si>
    <t>Grupo Monte Alegre</t>
  </si>
  <si>
    <t>CVPM</t>
  </si>
  <si>
    <t>Possuem R$ 120m em divida já negociada na RJ, acreditam que com R$ 50m conseguem quitar essas dívidas chamando assembleia para um novo haircut</t>
  </si>
  <si>
    <t xml:space="preserve">31/03 - Em análise dos ativos disponívies para garantia
07/04 - Vamos ter um call para discutir o TS
14/04 - Visita agendada para o dia 23/04
28/04 - Visita realizada, aguardando atualizações do Ricardo
28/04 - Vamos cobrar uma resposta do Ricardo dia 08/05.
12/05 - Fizemos FUP no Ricardo, aguardando SWAP Daycoval deve voltar essa semana. Esta na cabeça DOL+12% </t>
  </si>
  <si>
    <t>Produtor NÃO vai buscar fonte de financiamento</t>
  </si>
  <si>
    <t>Derivado de Petro Santa Izabel x Vibra</t>
  </si>
  <si>
    <r>
      <t xml:space="preserve">Derivados de Petróleo Santa Izabel Ltda obteve decisão favorável, garantindo-lhe o direito a indenização por danos morais e materiais em razão da emissão de títulos ilegítimos pela Vibra.
Valor do crédito de </t>
    </r>
    <r>
      <rPr>
        <b/>
        <sz val="11"/>
        <color theme="1"/>
        <rFont val="Calibri"/>
        <family val="2"/>
        <scheme val="minor"/>
      </rPr>
      <t>R$ 53m</t>
    </r>
  </si>
  <si>
    <t>24/03 - Em análise</t>
  </si>
  <si>
    <t>Nesse sentido, verificamos que a fase de liquidação ainda está em estágio inicial, sem cálculos elaborados por perito judicial, sendo o andamento da ação – que está paralisada desde 03/2024 – impactado pelas sucessivas trocas de advogados da parte autora, por pleitos de antigos advogados sobre os honorários devidos na ação e pela postura extremamente combativa da Vibra. 
Condenação bem definida e sem possibilidade de recurso, porém sem parametro pra avançar</t>
  </si>
  <si>
    <t>FIDES (Cobre)</t>
  </si>
  <si>
    <t>Ore Investments</t>
  </si>
  <si>
    <t>24/03 - Vamos falar com o Mauro</t>
  </si>
  <si>
    <t>Negado, ainda pendente de algumas informaçoes cruciais pro projeto, diligencia ambiental</t>
  </si>
  <si>
    <t>lotus grains &amp; oilseeds s.a</t>
  </si>
  <si>
    <t>Sergio Carvalho</t>
  </si>
  <si>
    <t xml:space="preserve">USD 25M e 50M </t>
  </si>
  <si>
    <t>24/03 - Reunião marcada para o dia 03/04
07/04 - Reuniao desmarcada, vamos aguardar uma nova agenda</t>
  </si>
  <si>
    <t>Tivemos reunião presencial, empresa com pouca capacidade de pagamento e acionista controlado tb não parece ter numeros solidos. Esta mto apoiado em um valor alto de reserva de minerais (R$ 5bi)</t>
  </si>
  <si>
    <t>Petroeng</t>
  </si>
  <si>
    <t>28/03 - Vamos entender a comissão para enviar a proposta - Gui Araujo vai nos voltar com essa resposta
07/04 - Proposta enviada
14/04 - Fizemos uma nova proposta para adquirir 50%, oferecemos ~R$ 16m. Vamos cobrar uma resposta dia 25/04
28/04 - Guilherme esta tentando uma contraproposta
06/05 - Guilherme deve voltar essa semana
19/05 - Fizemos um FUP no Guilherme</t>
  </si>
  <si>
    <t>Cedente desistiu da operaçao</t>
  </si>
  <si>
    <t>Grupo Elfa</t>
  </si>
  <si>
    <t>-	65% - 70% do par – cdi +30%
-	Vao fazer amortizaao extraordinaria de R$ 22mm
-	O plano para debenture (ja estao falando com BTG) querem comprar essa dívda na elfa – 100mm consegue comprar 150m de divida, fecharia spread do papel
-	Parte para uma nova emissao, coloca esse bridge loan nesse papel</t>
  </si>
  <si>
    <t>31/03 - Vamos modelar o que seria nosso retorno 
- Entender o que faz sentido pro High yield
- Encaminhado para análise do Victor Pinheiro</t>
  </si>
  <si>
    <t>Desconto nas debentures ainda estava baixo para ser uma tese de SS</t>
  </si>
  <si>
    <t xml:space="preserve">Patense </t>
  </si>
  <si>
    <t>Houlihan Lokey</t>
  </si>
  <si>
    <t xml:space="preserve">100MM DE EBITDA, precisa de dinheiro </t>
  </si>
  <si>
    <t>31/03 - Vamos assinar o NDA
04/04 - Voltaram com o NDA com alguns comentarios (3.4 e 3.5)
22/04 - NDA pendente assinatura do lado deles
22/04 - Vamos falar com Houlihan 24/04 (16h)
28/04 - Reunião realizada com HL, vao nos mandar as infos
08/05 - Recebemos as infos. Em análise
28/05 - Vamos negar</t>
  </si>
  <si>
    <t>Pouca capacidade de pagamento e garantias</t>
  </si>
  <si>
    <t>GPX Invest</t>
  </si>
  <si>
    <t>Precatorio de R$ 7m</t>
  </si>
  <si>
    <t>31/03 - Olhar lista de pagamento do TO, falar com a Luana para entender se conhece o Grupo. Pedir pra ela olhar a açao e ver se tem outros precatorios
14/04 - Passamos uma indicativa de preço de 4,1m</t>
  </si>
  <si>
    <t>Recusaram devido ao preço oferecido</t>
  </si>
  <si>
    <t>TTK x Petrobras</t>
  </si>
  <si>
    <t>Potenza Capital</t>
  </si>
  <si>
    <t>31/03 - Vamos olhar</t>
  </si>
  <si>
    <t>A nossa negociação está sendo realizada diretamente com os advogados da Casa de Saúde Dr. Aragão Villar, que nos informaram que o cedente gostaria de receber valor equivalente a 65% do crédito para vender.</t>
  </si>
  <si>
    <t>04/04 - Vamos agendar um call com a Connectas</t>
  </si>
  <si>
    <t>Não estamos vendo precatorio federal ja expedido e essa clinica parece ter bastante irregularidade junto a receita federal</t>
  </si>
  <si>
    <t>Gradiente</t>
  </si>
  <si>
    <t>Fizemos um call com o Thiago e indicamos que não estamos olhando precatórios federais devido ao baixo desconto na compra e incerteza de pagamento no futuro</t>
  </si>
  <si>
    <t>Mercantil Café</t>
  </si>
  <si>
    <t>Prazo não fazia sentido para nosso fundo</t>
  </si>
  <si>
    <t>Agrogalaxy</t>
  </si>
  <si>
    <t>45M no DIP, recebe atraves da venda dos atvos da cartir, estamos junior somente ao Fee da Jive (5.75%). SS deve entrar com R$ 5m</t>
  </si>
  <si>
    <t>STEMAC</t>
  </si>
  <si>
    <t>Empresa de gerador de energia, DIP de R$ 100mm. Garantia operacional (fábrica) e crédito tributário (R$ 20m)</t>
  </si>
  <si>
    <t>04/04 - Precisamos entender melhor se a cia esta em RJ. Estamos tentando marcar um call 
14/04 - Reunião 16h30</t>
  </si>
  <si>
    <t>Negamos, pouca garantia e pouca capacidade de pagamento</t>
  </si>
  <si>
    <t>Surfland</t>
  </si>
  <si>
    <t>200 de recebiveis para operação, quer receber 50m</t>
  </si>
  <si>
    <t>04/04 - Recebemos algumas infos, em análise
07/04 - Vamos analisar a carteira e puxar um QITECH</t>
  </si>
  <si>
    <t>Oportunidade declidanada devido: i) fundo nao esta alinhando em financiar obras para conclusão; ii) incerteza quanto aos processos devido ao atraso das entregas das unidades</t>
  </si>
  <si>
    <t>Banco Santos</t>
  </si>
  <si>
    <t>Falencia, 550mm em caixa, 323 de pagamento para reserva e provisoes, considerando outras contas, temos R$ 213m para servir quiros mas a receita de possivel venda de ativos da carteira. 51% está coberto</t>
  </si>
  <si>
    <t>04/04 - Em análise
07/04 - Entender qual a velocidade que o liquidante quer fechar essa falencia. Thomas entende que isso esta sofrendo pressao
14/04 - Só vamos olhar os créditos maiores para fazer sentido de montarmos um fundo. Ex: 10m de desembolso limitando ao pagamento de  15% de valor de face.
22/04 - Vamos dar o feedback pro thomas, dificil comprar nos preços que façam sentido pro nosso retorno, principalmente por conta dos pgtos em 2023 e 2024</t>
  </si>
  <si>
    <t>Vamos dar o feedback pro thomas, dificil comprar nos preços que façam sentido pro nosso retorno, principalmente por conta dos pgtos em 2023 e 2024</t>
  </si>
  <si>
    <t>South Star</t>
  </si>
  <si>
    <t>Estamos com uma potencial operação de credito – bridge loan – envolvendo a South star. (Grafite)
Ela está no pipe para o fundo de minerais críticos (Fip Min). 
Notem que não é 100% certo que iremos investir nela no FIP Min , mas as chances são prováveis. Estão com um saldo em caixa que daria para chegar em agosto mais ou menos. 
Tem fitpart e ace capital como maiores acionistas. Estão em fase de construção, ramp up, regulagem da produção</t>
  </si>
  <si>
    <t>07/04 - Analisar
14/04 - Reunião dia 17/03 - 10h30
22/04 - Pendente assinatura do NDA, enviamos para o Legal
12/05- NDA assinado. Cobrar envio das infos
09/06 - Vamos agendar call na 4a (11/06)</t>
  </si>
  <si>
    <t>O principal ponto foi a estrutura ser principalmente equity, além tb da subordinação ao stream.</t>
  </si>
  <si>
    <t>Resolvvi</t>
  </si>
  <si>
    <t>07/04 - Vamos voltar com a FA</t>
  </si>
  <si>
    <t>Entendemos ser um case para FA assessorar num m&amp;a</t>
  </si>
  <si>
    <t>Carlos Sanchez (EMS) + BB</t>
  </si>
  <si>
    <t>Proposta para Grupo EMS comprar NPLs do BB e receber ativos, vamos cobrar em cima do que receberem</t>
  </si>
  <si>
    <t>07/04 - Não enviamos proposta, entendemos ter conflito, tem que constar que é algo que a gnt achar e não fizer de deal
14/04 - Enviamos a proposta, pendente devolutiva</t>
  </si>
  <si>
    <t>Sem retorno do BB</t>
  </si>
  <si>
    <t>Legal claim</t>
  </si>
  <si>
    <t>Technip</t>
  </si>
  <si>
    <t>14/04 - Vamos precificar até 06/05
26/05 - Não é priordade agora</t>
  </si>
  <si>
    <t>Fortaleza</t>
  </si>
  <si>
    <t>Bruno Advogado</t>
  </si>
  <si>
    <t>Teses SUS</t>
  </si>
  <si>
    <t>Clinica Cristo Rei x White Martins</t>
  </si>
  <si>
    <t>Alex</t>
  </si>
  <si>
    <t>14/04 - Em análise. Vamos precificar até 06/05
26/05 - Não é priordade agora</t>
  </si>
  <si>
    <t>Nao conseguimos precificar agor</t>
  </si>
  <si>
    <t>Morro Verde</t>
  </si>
  <si>
    <t>2 ativos bons, mto alavancados estao em dia com as dívidas</t>
  </si>
  <si>
    <t>07/04 - Reunião presencial (08/04)
08/04 - Caso preliminar, vamos dar feedback pro Mauro (17/03)</t>
  </si>
  <si>
    <t>Grupo Andrade</t>
  </si>
  <si>
    <t>Felipe Fay</t>
  </si>
  <si>
    <t>Usina em RJ com plano aprovado, com crédito extra com a caixa economica e a caixa ta aceitando 50m para resolver a vida dele</t>
  </si>
  <si>
    <t>Carteira de crédito</t>
  </si>
  <si>
    <t>Créditos ruins e carteira grande (R$ 12bi)</t>
  </si>
  <si>
    <t>Hidroservice</t>
  </si>
  <si>
    <t>Henry Maksoud</t>
  </si>
  <si>
    <t>Grandes chances de perda da ação apresentada</t>
  </si>
  <si>
    <t>Rica Alimentos</t>
  </si>
  <si>
    <t>Veirano</t>
  </si>
  <si>
    <t>Ação judicial de um dos sócios</t>
  </si>
  <si>
    <t>28/04 - Veirano enviou relatório da RJ
28/04 - Luiza vai entender melhor com o Veirano sobre a ação
05/05 - Vamos olhar a RJ se há oportunidades</t>
  </si>
  <si>
    <t>Rede Bandeirantes</t>
  </si>
  <si>
    <t>Não olhamos contra Midia</t>
  </si>
  <si>
    <t>Marabraz e LP Holding</t>
  </si>
  <si>
    <t>Divida na Marabraz de R$22m na conta garantida, que o itau falou que venceu e vai ser pago – necessidade do dinheiro novo aqui</t>
  </si>
  <si>
    <t>17/04 - Fizemos um call com Bernardo do Lefosse.
Próximos passos: vai ver garantia disponiveis para adicionar ao emprestimo
28/04 - Vamos fazer um FUP no Bernardo</t>
  </si>
  <si>
    <t>[Bernardo - Lefosse]: Recebi agora o relatório que pedi de auditoria fiscal, para entender a situação dos imóveis sob o ponto de vista tributário. Pessoal apontou algumas obrigações de um acordo vigente que impactam de forma relevante os imóveis e, na minha visão, inviabilizam a operação.</t>
  </si>
  <si>
    <t>Antecipação de Recebíveis</t>
  </si>
  <si>
    <t>Recebíveis de Café</t>
  </si>
  <si>
    <t xml:space="preserve">Trata-se de uma carteira de recebíveis ligados à indústria cafeeira disponível para venda. Ao todo, são 47 operações de crédito em aberto de valor total a receber de ~R$ 29,5MM, com vencimentos entre abril-outubro/25. Taxa média de 1,70% a.m. </t>
  </si>
  <si>
    <t>Seteloc</t>
  </si>
  <si>
    <t>Empresa de aluguel de frota, operação de reperfilamento de dívida de uma empresa do segmento de gestão de frotas.
valor de R$30MM a 100MM</t>
  </si>
  <si>
    <t>17/04 - Em análise
05/05 - Estão analisando TS recebido, ficaram de passar a agenda no inicio da semana
02/06 - Assinaram um TS</t>
  </si>
  <si>
    <t>Precatório Fortaleza</t>
  </si>
  <si>
    <t>Município com atraso de 4/5 anos; prazo muito longo para seguirmos.</t>
  </si>
  <si>
    <t>Precatório Alagoas</t>
  </si>
  <si>
    <t>22/04 - Em análise, vamos indicar um preço
28/05 - vamos negar</t>
  </si>
  <si>
    <t>Precatório Porto Velho</t>
  </si>
  <si>
    <t>22/04 - Vamos pegar mais infos com o departamento de precatório</t>
  </si>
  <si>
    <t>prazo de pagamento excede o limite do fundo</t>
  </si>
  <si>
    <t>Contax</t>
  </si>
  <si>
    <t>Gustavo Fleichman</t>
  </si>
  <si>
    <t>Não tinha crédito</t>
  </si>
  <si>
    <t>Precatório Monteplan</t>
  </si>
  <si>
    <t xml:space="preserve">28/04 - Vamos mandar proposta dia 05/05
12/05 - Mandamos preço
12/05- Proposta aceita
26/05 - Esperando a Legal Opinion e enviar a proposta </t>
  </si>
  <si>
    <t>Precatório Rio de Janeiro</t>
  </si>
  <si>
    <t xml:space="preserve">Orçamento 2026 para RJ não entra no JGP Estruturados III. </t>
  </si>
  <si>
    <t>06/05 - Não nos parece ser mto atrativo</t>
  </si>
  <si>
    <t>teriamos que comprar de um cessionário de um oficio, compra parcial</t>
  </si>
  <si>
    <t>Precatório Belém (SBC +Adv)</t>
  </si>
  <si>
    <t>06/05 - Vamos passar um preço - teve outra casa que ofereceu 20%</t>
  </si>
  <si>
    <t>Sem exclusividade não vamos seguir</t>
  </si>
  <si>
    <t>AGIS Construção</t>
  </si>
  <si>
    <t>R$ 140M TRF3</t>
  </si>
  <si>
    <t>28/04-  Em análise. Vamos baixar o processo
06/05 - Vamos agendar uma reunião
12/05- Ideia de preço fora da realidade (CDI + 0.3% a.m.)</t>
  </si>
  <si>
    <t>Desalinhamento de preço</t>
  </si>
  <si>
    <t>FIAGRO Bocom BBM</t>
  </si>
  <si>
    <t>30/04 - Fizemos uma primeira reunião. Retorno baixo</t>
  </si>
  <si>
    <t>Artec</t>
  </si>
  <si>
    <t>Empresa de ceramica, nao esta operacional mas teoricamente precisam de 3m pra ligar a fábrica e 18m para operar, considerando kgiro.
Ele possui alguns ativos: Crédito ICMS R$7 M e R$ 10,5M de face em uma carteira que está inadimplente e apto em Riviera</t>
  </si>
  <si>
    <t>28/04 - 1a reunião dia 28/04
05/05 - Recebemos as análises
19/05 - JGP FA vai enviar a doc do credito de ICMS</t>
  </si>
  <si>
    <t>Não enviaram as informações do crédito ICMS</t>
  </si>
  <si>
    <t>B100 x Vibra</t>
  </si>
  <si>
    <t>Polígono Venture Debt</t>
  </si>
  <si>
    <t>Polígono</t>
  </si>
  <si>
    <t>São 4/5 oportunidades de investimentos em VD  feito pela Captalys. Esses investimentos são em Edtechs, Fintechs. Clicksign
Algumas op.ja estao defaultadas. Tem DI+9% com kicker.
Estão desmontando o fundo</t>
  </si>
  <si>
    <t>05/05 - Encaminhamos o NDA
06/05 - Enviaram umas considerações no NDA</t>
  </si>
  <si>
    <t>Precatório Varca Scatena</t>
  </si>
  <si>
    <t>08/05 - Enviamos preço, aguardando resposta</t>
  </si>
  <si>
    <t>Não conseguimos abrir o processo e nao tivemos atualizaçao</t>
  </si>
  <si>
    <t>Precatório Paraná - Balduíno João Bellé</t>
  </si>
  <si>
    <t>Prazo de pgto excede o limite do fundo</t>
  </si>
  <si>
    <t>Precatório Rio Grande do Sul</t>
  </si>
  <si>
    <t>Rafael Guerra</t>
  </si>
  <si>
    <t>12/05 - Negado</t>
  </si>
  <si>
    <t>12/05 - Precatorio do RS, fila de pagamento muito atrasado</t>
  </si>
  <si>
    <t>Gebana + Cataratas</t>
  </si>
  <si>
    <t>-	R$ 5m de cp x contrato de exportaçao
-	R$ 10m com garantia de armazem do imóvel – alongar dividas
-	Perderam linha de crédito com a caixa de 250mil Dol
-	1m DOL com Safra e ABC – estao renegociando essa linha, nao sabem se vao renovar
-	Todos são ACCs e as taxas estão em torno de 10% - 12% em euro e dol
-	Sem chances dos socios la fora colocarem garantias – fundo de investimento, se faz garantia não pode aplicar esse din
-	Imovel (12m) + estoques + contratos de exportação – ha outra area rural (700mil) + industria em curitiba + armazenagem em capanema</t>
  </si>
  <si>
    <t>Capacidade de pagamento e Garantias</t>
  </si>
  <si>
    <t>Carteira de Ativos</t>
  </si>
  <si>
    <t>Relação Libelula (ServiSan)</t>
  </si>
  <si>
    <t>Invixx</t>
  </si>
  <si>
    <t>12/05 - Vamos marcar uma reunião com a Invixx para nos apresentar e entender do caso
19/05 - Vamo entender os ativos
26/05 - Pedro vai mandar um maior detalhamento/docs dos ativos</t>
  </si>
  <si>
    <t>09/06 - Short em ativos para cobrir os passivos (trabalhista 36m + outras classes 30m (sem haircut) + transação tributaria (R$ 200m - sem desagio)</t>
  </si>
  <si>
    <t>Claim Trabalhista - Oriz</t>
  </si>
  <si>
    <t>A companhia deveria pagar pelo tempo em trânsito da cidade à planta e da portaria até seus respectivos postos de trabalho, uma vez que não havia transporte público e este era feito por ônibus da empresa</t>
  </si>
  <si>
    <t>12/05 - Vamos entender a estrutura mas não devemos seguir com esse</t>
  </si>
  <si>
    <t>Fora do escopo de atuação do fundo</t>
  </si>
  <si>
    <t>Empresa Agro (Algodão) - Acrefort</t>
  </si>
  <si>
    <t>Jonatas Couri (EQI)</t>
  </si>
  <si>
    <t>Processa algodão, quer captar 50m, topa 2.1% a.m, vamos ficar na subordinada</t>
  </si>
  <si>
    <t>12/05 - Pendente de envio das informações
19/05 - Analisar as infos enviadas
09/06 - Liberaram VDR</t>
  </si>
  <si>
    <t>Poucas garantias e pagamento baseado no ramp-up de operacional da Acrefort</t>
  </si>
  <si>
    <t>Fazenda</t>
  </si>
  <si>
    <t>Cheque R$ 85M</t>
  </si>
  <si>
    <t>Fornecedor Equipamentos - Curitiba</t>
  </si>
  <si>
    <t>Cheque R$ 180M</t>
  </si>
  <si>
    <t>Hileia</t>
  </si>
  <si>
    <t>Troesser</t>
  </si>
  <si>
    <t>Cheque R$ 50M</t>
  </si>
  <si>
    <t>Requisição de Pgto ST Cruz</t>
  </si>
  <si>
    <t>15/05 - Precatorio pgto 2025, 75% de vf
26/05 - Analises finais para colocarmos a proposta</t>
  </si>
  <si>
    <t>Crédito Ruim</t>
  </si>
  <si>
    <t>Intecnial</t>
  </si>
  <si>
    <t>Construção de usina e maquinário - querem encerrar a RJ e o problema é a classe II
Badesul quer receber R$ 24m pra um vf de R$ 52m</t>
  </si>
  <si>
    <t>26/05 - Cobramos as infos solicitadas
02/06 - pausamos as negociações provisoriamente, os acionistas cometeram o erro em negociar diretamente com o banco, e protagonizaram cenas de sitcom. Até conseguirmos contabilizar o impacto disso decidimos parar as negociações.</t>
  </si>
  <si>
    <t>Auto Pátio Lageado</t>
  </si>
  <si>
    <t>Lameirao Cintra</t>
  </si>
  <si>
    <t>19/05 - Em análise
26/05 - Vamos responder - Vai ligar para Luiza</t>
  </si>
  <si>
    <t>Projeto Catarina</t>
  </si>
  <si>
    <t>Stark Investment Banking (Bruno Vieira)</t>
  </si>
  <si>
    <t>Encaminhado para High Yield</t>
  </si>
  <si>
    <t>Niraj Towers</t>
  </si>
  <si>
    <t>Captal - Bruno Bianchesi</t>
  </si>
  <si>
    <t>Banco de Investimento</t>
  </si>
  <si>
    <t>Querem 50m para um credito de 180m, mas com uma taxa de menos de 12%</t>
  </si>
  <si>
    <t>26/05 - Vamos negar</t>
  </si>
  <si>
    <t xml:space="preserve">Estrutura da operação </t>
  </si>
  <si>
    <t>Trinity</t>
  </si>
  <si>
    <t>Precatório do RJ - Royalties de Petróleo</t>
  </si>
  <si>
    <t>Advogados da causa que estão vendendo</t>
  </si>
  <si>
    <t>19/05 - Em análise</t>
  </si>
  <si>
    <t>Por valor é ruim -dificl de receber</t>
  </si>
  <si>
    <t>Precatórios CNO</t>
  </si>
  <si>
    <t>BGF Capital</t>
  </si>
  <si>
    <t>19/05 - Em análise
26/05 - Precificar ate 28/05
02/06 - Enviamos a Precificação dos 3 Precatorios - aguardando resposta do Bernardo Cunha para a CNO</t>
  </si>
  <si>
    <t>REAG enviou proposta de R$ 13m. Colocamos uma proposta de R$ 12m</t>
  </si>
  <si>
    <t>Precatorios Residencial Park</t>
  </si>
  <si>
    <t>Valor pequeno</t>
  </si>
  <si>
    <t>Daniela Casabona (Manchester)</t>
  </si>
  <si>
    <t>A princípio a ideia é ser um SLB, mas s vocês enxergarem outro angulo também podemos pensar.
Segue abaixo infos:
Valor - R$ 70 Mi
Prazo 6 anos (12 meses de carência de principal e 5 anos de amortização de principal + juros)
Garantia imovel operacional com avaliação de R$ 134 Milhões.
Balanços auditados por big 4 - EY
- Empresa tem geração de caixa, porem este caixa é 100% consumido pelas despesas financeiras, equacionando as dividas de curto prazo mais caras a empresa tem capacidade de pagamento reestabelecida com este alongamento.</t>
  </si>
  <si>
    <t>02/06 - Voltamos com alguns pontos cruciais para nossa operação:
i) Ativos operacionais; ii) Op. pouca garantia; iii)Nao podemos ser donos de um ativo no fundo, sem plano de liquidação</t>
  </si>
  <si>
    <t>i) Ativos operacionais; ii) Op. pouca garantia; iii)Nao podemos ser donos de um ativo no fundo, sem plano de liquidação</t>
  </si>
  <si>
    <t>Eldorado Indústrias</t>
  </si>
  <si>
    <t>26/05- Vamos fazer uma nova reunião com eles ainda hoje para entendermos alguns pontos (transação tributaria, Entender melhor o leilao, pq prepagar o DIP e NDA)
02/06 - Assinatura do NDA
09/06 - Pedimos novas informaçoes
23/06 - Em analise das novas informações enviadas</t>
  </si>
  <si>
    <t>SINDJUS/DF</t>
  </si>
  <si>
    <t>JD Comercio (Trading)</t>
  </si>
  <si>
    <t>02/06 - Vamos marcar um call com a CIA</t>
  </si>
  <si>
    <t>Pouco ativo, nao quer vender os ativos que possuem, alem da taxa ser um gargalo</t>
  </si>
  <si>
    <t>Packem</t>
  </si>
  <si>
    <t xml:space="preserve">Estamos iniciando o processo de venda bilateral do CRA Packem no mercado secundário
Saldo total de R$ 13,5 mm com taxa de emissão de CDI + 4,90%. Crédito adimplente. </t>
  </si>
  <si>
    <t>26/05 - Em análise
26/05 - vamos tentar comprar os outros credores (CRA e outras)
09/06 - Prazo era ate dia 06/06
09/06 - Vamos ligar para o Itau</t>
  </si>
  <si>
    <t>09/06 - Prazo era ate dia 06/06</t>
  </si>
  <si>
    <t>Ambev</t>
  </si>
  <si>
    <t>Thiago Peixoto (Ferro)</t>
  </si>
  <si>
    <t>26/05 - Entender preço - 20% de entrada + earnout</t>
  </si>
  <si>
    <t>Aloisio Magalhães</t>
  </si>
  <si>
    <t>Hospital Albert Sabin</t>
  </si>
  <si>
    <t>26/05 - Call as 16h
02/06 - So vao fazer a operação em 10 meses (por causa da transação tributária)</t>
  </si>
  <si>
    <t>Tronox - Compulsório Eletrobras</t>
  </si>
  <si>
    <t>Quanto a Tronox, tivemos uma reunião com o conselho deles na sexta feira e rechaçaram a proposta da JPG de R$ 15 MM.
Pelas projeções deles, só faria sentido vender o ativo por R$ 26 MM, considerando, evidentemente, 100% do ativo.</t>
  </si>
  <si>
    <t>Bravante (PSVs)</t>
  </si>
  <si>
    <t>02/06 - Reunião amanhã com a Vega
09/06 - Estamos aguardando abertura data room
30/06 - Enviamos Q&amp;A para Vega</t>
  </si>
  <si>
    <t>Precatório Macapá</t>
  </si>
  <si>
    <t>Market Capital</t>
  </si>
  <si>
    <t>Pagamento do macapá está atrasado, nao faz sentido pro prazo do fundo</t>
  </si>
  <si>
    <t>DC Bio</t>
  </si>
  <si>
    <t>Laplace</t>
  </si>
  <si>
    <t>Usina de Cana, renegociando com bancos, fazer alongamento e querem KGIRO - 50m - em Ribeirao</t>
  </si>
  <si>
    <t>02/06 - Enviaram NDA para nossa análise
09/06 - Pendente envio de info
23/06 - Em analise
30/06 - Ainda sem atualização da renegociaçao com os bancos</t>
  </si>
  <si>
    <t>Pré Precatório</t>
  </si>
  <si>
    <t>Associados FAACO x Correios</t>
  </si>
  <si>
    <t>Galdino (Ayoub)</t>
  </si>
  <si>
    <t>16/06 - Em análise</t>
  </si>
  <si>
    <t>Precatorio vendido</t>
  </si>
  <si>
    <t>Precatório Santa Catarina</t>
  </si>
  <si>
    <t>Pagamento De SC está atrasado, nao faz sentido pro prazo do fundo</t>
  </si>
  <si>
    <t>Precatório SP</t>
  </si>
  <si>
    <t>Pedro racioppi</t>
  </si>
  <si>
    <t>Estado de SP nao estamos conseguindo precificar</t>
  </si>
  <si>
    <t>Precatório AM</t>
  </si>
  <si>
    <t>so compraria 2% do precatorio</t>
  </si>
  <si>
    <t>Pré Precatório Municipal</t>
  </si>
  <si>
    <t>Mangaratiba</t>
  </si>
  <si>
    <t>Invest Connect</t>
  </si>
  <si>
    <t>Pelo valor do preca vai parcelar, porque é um preca sozinho que corresponde a mais de 15% da dívida do município</t>
  </si>
  <si>
    <t>02/06 - Preca sozinho corresponde a mais de 15% da dívida do municipio. Houve um reconhecimento/acordo administrativo e o IBRAPE tá querendo que seja sentenciado sem recurso por causa do acordo administrativo.</t>
  </si>
  <si>
    <t>Fundação Hospitalar de Ibirataia</t>
  </si>
  <si>
    <t>Precatorio expedido e teses SUS</t>
  </si>
  <si>
    <t>ARK</t>
  </si>
  <si>
    <t>Vamos endereçar para a area de Agro. Taxa baixa para o fundo SS (di+6%)</t>
  </si>
  <si>
    <t>Gaia Geração</t>
  </si>
  <si>
    <t>Spectra</t>
  </si>
  <si>
    <t>CIB Construtora</t>
  </si>
  <si>
    <t>Condenação em lucros cessantes de R$ 32,5 Bi (governo vendendo almoço para comprar a janta tentando abrir espaço fiscal) e não faria sentido comprar um pedaço do caso, sem governança sobre a ação</t>
  </si>
  <si>
    <t>Feijó Cavagnoli x BRDistribuidora</t>
  </si>
  <si>
    <t>Luis Eugenio Muller</t>
  </si>
  <si>
    <t>Precatório de Alagoas</t>
  </si>
  <si>
    <t>CM Capital (Broker)</t>
  </si>
  <si>
    <t>Bebidas Bandeirantes</t>
  </si>
  <si>
    <t>Tiago Peixoto (Ferro)</t>
  </si>
  <si>
    <t>Valor da liquidação superior ao valor do direito</t>
  </si>
  <si>
    <t>Projeto Themis - Hapvida</t>
  </si>
  <si>
    <t>JGP FA (Douglas)</t>
  </si>
  <si>
    <t>16/06 - FA esta alinhando NDA</t>
  </si>
  <si>
    <t>Carteira ruim</t>
  </si>
  <si>
    <t>Construtora Itau x Sanepar</t>
  </si>
  <si>
    <t xml:space="preserve">Legal Claim contra a Sanepar </t>
  </si>
  <si>
    <t>Fila do Paraná esta mto atrasado</t>
  </si>
  <si>
    <t>JVN Advogados</t>
  </si>
  <si>
    <t>Litigation finance para financiamento de alguns custos no total de 1,2m</t>
  </si>
  <si>
    <t>Ainda em estagio mto inicial</t>
  </si>
  <si>
    <t>Marabraz</t>
  </si>
  <si>
    <t>Grupo Global Papeis</t>
  </si>
  <si>
    <t>Triunfae</t>
  </si>
  <si>
    <t>Precatorio Federal</t>
  </si>
  <si>
    <t>Raul Ferreira e Joaquim Ferreira</t>
  </si>
  <si>
    <t>Expectativa de preço acima de 65%</t>
  </si>
  <si>
    <t>unit.</t>
  </si>
  <si>
    <t>Falência Cia Nacional de Tecidos</t>
  </si>
  <si>
    <t>Arena Cruzeiro</t>
  </si>
  <si>
    <t>Gustavo Gomes</t>
  </si>
  <si>
    <t>Vamos negar</t>
  </si>
  <si>
    <t>Casal x Fazenda Nacional</t>
  </si>
  <si>
    <t>Expectativa de preço acima do esperado pro fundo</t>
  </si>
  <si>
    <t>R$</t>
  </si>
  <si>
    <t>Esp. Yolanda x Ceara</t>
  </si>
  <si>
    <t>23/06 - Aguardando infos do Inventario</t>
  </si>
  <si>
    <t xml:space="preserve">Venderam </t>
  </si>
  <si>
    <t>Honorários (Casal x Fazenda Nacional)</t>
  </si>
  <si>
    <t>Maria de Fatima x Ceara</t>
  </si>
  <si>
    <t>APPA x Estado do Paraná</t>
  </si>
  <si>
    <t xml:space="preserve">Prazo de recebimento descasado com o do fundo </t>
  </si>
  <si>
    <t>EMAE</t>
  </si>
  <si>
    <t>XP</t>
  </si>
  <si>
    <t>Eletrodata</t>
  </si>
  <si>
    <t>Lavoro</t>
  </si>
  <si>
    <t>Credito estruturado para M&amp;A
Bridge R$ 300m, DI+8%a.a. Ou USD+12%a.a. 12 a 18 meses de prazo
Garantia: Op. Colombia com valor de R$ 600m</t>
  </si>
  <si>
    <t>Itabiriçu x Vale</t>
  </si>
  <si>
    <t>Caetano x Covabra</t>
  </si>
  <si>
    <t>Agridrones</t>
  </si>
  <si>
    <t>Zera.AG</t>
  </si>
  <si>
    <t>Precatorio Municipal</t>
  </si>
  <si>
    <t>Sanerio x Prefeitura de Duque de Caxias</t>
  </si>
  <si>
    <t>Leandro Gomes (MA7)</t>
  </si>
  <si>
    <t>Dois precatorios: R$8m e R$ 9m - empresa em RJ - pedir autorização pra venda direta</t>
  </si>
  <si>
    <t>General Contractor x Pref. Carapebus/RJ</t>
  </si>
  <si>
    <t>Dois precatorios: R$Xm e R$ 8m</t>
  </si>
  <si>
    <t>Carapebus não decola. Regime geral. Não tem nenhum precatório nesse valor na lista e a lista inteira do site não soma R$ 9 MM; quando forem expedidos, serão parcelados.</t>
  </si>
  <si>
    <t>Achiles Reis x Rio de Janeiro</t>
  </si>
  <si>
    <t>ANTONIO CARLOS AMORIM Advogados</t>
  </si>
  <si>
    <t>25/06 - Enviamos uma primeira sensibilidade de preço.
Aguardando respostas</t>
  </si>
  <si>
    <t>Agrobiológica</t>
  </si>
  <si>
    <t>Matheus Luiz</t>
  </si>
  <si>
    <t>Credito na RE da Lavoro - DI+10%a.a.</t>
  </si>
  <si>
    <t>Mlub</t>
  </si>
  <si>
    <t>Roberto Westing</t>
  </si>
  <si>
    <t>CITEL x Maceio</t>
  </si>
  <si>
    <t>João Cancelier (CM Capital)</t>
  </si>
  <si>
    <t>HEMOPAC x Maceio</t>
  </si>
  <si>
    <t>Hospital Ortopédico x Maceio</t>
  </si>
  <si>
    <t>Fundação Hospital Agro Industria x Maceio</t>
  </si>
  <si>
    <t>Leilão do Itau - Atacado</t>
  </si>
  <si>
    <t>Familia Horn</t>
  </si>
  <si>
    <t>Zenit Capital</t>
  </si>
  <si>
    <t>Itupiranga Prefeitura x União</t>
  </si>
  <si>
    <t>Validar se tem licitação</t>
  </si>
  <si>
    <t>Sagrados Corações x BB</t>
  </si>
  <si>
    <t>Juan (Moraes Savaget)</t>
  </si>
  <si>
    <t>VF: R$ 43m, Cessão: R$ 5.5m, Valor de saída : R$ 8m</t>
  </si>
  <si>
    <t>Vamos voltar com o Juan</t>
  </si>
  <si>
    <t>Preço alto  x retorno baixo</t>
  </si>
  <si>
    <t>Master Grão</t>
  </si>
  <si>
    <t>Gustavo Fumaki (Focus Partners)</t>
  </si>
  <si>
    <t>Eldorado</t>
  </si>
  <si>
    <t>Casos ativos desde a última</t>
  </si>
  <si>
    <t>Entraram</t>
  </si>
  <si>
    <t>Ativos Financeiros</t>
  </si>
  <si>
    <t>Operação</t>
  </si>
  <si>
    <t>Setor</t>
  </si>
  <si>
    <t>Status</t>
  </si>
  <si>
    <t>Prioridade</t>
  </si>
  <si>
    <t>To DO</t>
  </si>
  <si>
    <t>Saídas Reunião Anterior</t>
  </si>
  <si>
    <t>Negado pelo Produtor</t>
  </si>
  <si>
    <t>Patense</t>
  </si>
  <si>
    <t>Novas Saídas</t>
  </si>
  <si>
    <t>Compra UPI</t>
  </si>
  <si>
    <t>Aguardando Certame</t>
  </si>
  <si>
    <t>Chris</t>
  </si>
  <si>
    <t>Data Certame</t>
  </si>
  <si>
    <t>NPL + DIP</t>
  </si>
  <si>
    <t>Usina de Cana-de-açucar</t>
  </si>
  <si>
    <t>Aguardando Comitê</t>
  </si>
  <si>
    <t>&gt; nao conseguimos fazer as reunioes que queriamos, nao conseguimos fazer proposta e outra pessoa levou</t>
  </si>
  <si>
    <t>Finalizar DD</t>
  </si>
  <si>
    <t>Sealion Shipping Ltd.</t>
  </si>
  <si>
    <t>Navegação</t>
  </si>
  <si>
    <t>Aguardando devolutiva NBO</t>
  </si>
  <si>
    <t>Resíduo Animal</t>
  </si>
  <si>
    <t>Análises Iniciais</t>
  </si>
  <si>
    <t>Mineração</t>
  </si>
  <si>
    <t>Aguardando envio de informações</t>
  </si>
  <si>
    <t>Pegar o NDA e pedir as infos</t>
  </si>
  <si>
    <t>Galileo e Assespa</t>
  </si>
  <si>
    <t>Aguardando agendamento de reunião</t>
  </si>
  <si>
    <t>Aguardando detalhamento ICMS</t>
  </si>
  <si>
    <t>Servi-San</t>
  </si>
  <si>
    <t>Proteína Animal</t>
  </si>
  <si>
    <t>Penido/LO</t>
  </si>
  <si>
    <t>Acrefort</t>
  </si>
  <si>
    <t>Educação - Falência</t>
  </si>
  <si>
    <t>A&amp;M pediu prazo para devolutiva</t>
  </si>
  <si>
    <t>VC</t>
  </si>
  <si>
    <t>Aguardando NDA</t>
  </si>
  <si>
    <t>LO</t>
  </si>
  <si>
    <t>Responder NDA</t>
  </si>
  <si>
    <t>Carteira de Ativos + NPL</t>
  </si>
  <si>
    <t>Empresa de Serviços</t>
  </si>
  <si>
    <t>Montar estratégi/estrutura da OP. e cobra avaliação dos claims</t>
  </si>
  <si>
    <t xml:space="preserve">Caso Banco de Investimento </t>
  </si>
  <si>
    <t>Olhar 21 e/ou 22/05</t>
  </si>
  <si>
    <t>Alimentício</t>
  </si>
  <si>
    <t>Penido</t>
  </si>
  <si>
    <t>Marcar conversar com Troesser</t>
  </si>
  <si>
    <t>Metalúrgica</t>
  </si>
  <si>
    <t>Indicar possíveis condições</t>
  </si>
  <si>
    <t>Aguardando resposta do valor dos ativos</t>
  </si>
  <si>
    <t>Financeiro</t>
  </si>
  <si>
    <t>Energia</t>
  </si>
  <si>
    <t>Industria</t>
  </si>
  <si>
    <t>TS</t>
  </si>
  <si>
    <t>Saúde</t>
  </si>
  <si>
    <t>Financiar transação tributária</t>
  </si>
  <si>
    <t>Retorno abaixo do Hurdle</t>
  </si>
  <si>
    <t>Bebidas</t>
  </si>
  <si>
    <t>Construção</t>
  </si>
  <si>
    <t>Aluguel de Equipamentos</t>
  </si>
  <si>
    <t>Trading de Grãos</t>
  </si>
  <si>
    <t>Sem capacidade de pagamento</t>
  </si>
  <si>
    <t>Pecuária</t>
  </si>
  <si>
    <t>Sem Retorno BB</t>
  </si>
  <si>
    <t>Novo Fundo</t>
  </si>
  <si>
    <t>Grupo Marabraz</t>
  </si>
  <si>
    <t>Varejo</t>
  </si>
  <si>
    <t>Problema fiscal</t>
  </si>
  <si>
    <t>Sem Retorno do cliente</t>
  </si>
  <si>
    <t>NPL + Crédito Estruturado</t>
  </si>
  <si>
    <t>Estágio Incipiente</t>
  </si>
  <si>
    <t>Financeiro - Falência</t>
  </si>
  <si>
    <t>Dificuldade de aquisição dos créditos</t>
  </si>
  <si>
    <t>Lotus Grains &amp; oilseeds s.a</t>
  </si>
  <si>
    <t>Trading</t>
  </si>
  <si>
    <t>Café</t>
  </si>
  <si>
    <t>BRCon</t>
  </si>
  <si>
    <t>Envio de Minuta</t>
  </si>
  <si>
    <t>Sealion Brasil</t>
  </si>
  <si>
    <t>Legal Claim e Precatório</t>
  </si>
  <si>
    <t>Revisando precificação</t>
  </si>
  <si>
    <t>Petroenge x Petrobras</t>
  </si>
  <si>
    <t>Legal Claim + DIP</t>
  </si>
  <si>
    <t>Serviços O&amp;G</t>
  </si>
  <si>
    <t>Aguardando retorno do cedente</t>
  </si>
  <si>
    <t>Honorários Feira de Santana</t>
  </si>
  <si>
    <t>Pré precatório Municipal</t>
  </si>
  <si>
    <t>Investido</t>
  </si>
  <si>
    <t>Aguardando devolutiva da proposta</t>
  </si>
  <si>
    <t>Armando Conde x Cyrella</t>
  </si>
  <si>
    <t>Advogado analisando as infos solicitadas</t>
  </si>
  <si>
    <t xml:space="preserve">Precatório Ceara </t>
  </si>
  <si>
    <t>GE e Voith x Furnas</t>
  </si>
  <si>
    <t>Precatórios Rio</t>
  </si>
  <si>
    <t>Aguardando Ofício</t>
  </si>
  <si>
    <t>Em análise inicial</t>
  </si>
  <si>
    <t>Gás Natural</t>
  </si>
  <si>
    <t>Sem valor definido - em monitoramento</t>
  </si>
  <si>
    <t>Município com atraso de 4/5 anos</t>
  </si>
  <si>
    <t>Não tinha comprovação de crédito</t>
  </si>
  <si>
    <t>Prazo de pagamento excede o limite do fundo</t>
  </si>
  <si>
    <t>Fila de pagamento muito atrasado</t>
  </si>
  <si>
    <t>Fora do escopo de atuação</t>
  </si>
  <si>
    <t>Kerui Método</t>
  </si>
  <si>
    <t>Engenharia</t>
  </si>
  <si>
    <t>Desisitência dos Acionista</t>
  </si>
  <si>
    <t>Cessão Anterior</t>
  </si>
  <si>
    <t>Detran - GO</t>
  </si>
  <si>
    <t>Empresário/Executivo</t>
  </si>
  <si>
    <t>A</t>
  </si>
  <si>
    <t>Brokers</t>
  </si>
  <si>
    <t>a</t>
  </si>
  <si>
    <t>Broker V</t>
  </si>
  <si>
    <t>Escritórios Adv.</t>
  </si>
  <si>
    <t>Boutiques</t>
  </si>
  <si>
    <t>Escritório Adv.</t>
  </si>
  <si>
    <t>Empresários / Executivos</t>
  </si>
  <si>
    <t>Broker A</t>
  </si>
  <si>
    <t>Consultorias</t>
  </si>
  <si>
    <t>Broker B</t>
  </si>
  <si>
    <t>Consultoria A</t>
  </si>
  <si>
    <t>Assets</t>
  </si>
  <si>
    <t>Broker C</t>
  </si>
  <si>
    <t>Escritoria Adv A</t>
  </si>
  <si>
    <t>Bancos</t>
  </si>
  <si>
    <t>Broker D</t>
  </si>
  <si>
    <t>Asset A</t>
  </si>
  <si>
    <t>Banco A</t>
  </si>
  <si>
    <t>Outros Canais</t>
  </si>
  <si>
    <t>Boutique A</t>
  </si>
  <si>
    <t>Originação própria</t>
  </si>
  <si>
    <t>Broker E</t>
  </si>
  <si>
    <t>Asset B</t>
  </si>
  <si>
    <t>Broker F</t>
  </si>
  <si>
    <t>Escritório Adv A</t>
  </si>
  <si>
    <t>Escritório Adv</t>
  </si>
  <si>
    <t>Consultoria C</t>
  </si>
  <si>
    <t>Consultoria B</t>
  </si>
  <si>
    <t>Broker G</t>
  </si>
  <si>
    <t>Escritório Adv B</t>
  </si>
  <si>
    <t>Banco B</t>
  </si>
  <si>
    <t>Consultoria D</t>
  </si>
  <si>
    <t>Escritório Adv C</t>
  </si>
  <si>
    <t>Asset C</t>
  </si>
  <si>
    <t>Escritório Adv D</t>
  </si>
  <si>
    <t>Asset D</t>
  </si>
  <si>
    <t>Broker Y</t>
  </si>
  <si>
    <t>Broker H</t>
  </si>
  <si>
    <t>Escritório Adv E</t>
  </si>
  <si>
    <t>Asset E</t>
  </si>
  <si>
    <t>Broker K</t>
  </si>
  <si>
    <t>Banco C</t>
  </si>
  <si>
    <t>Banco D</t>
  </si>
  <si>
    <t>Broker I</t>
  </si>
  <si>
    <t>Broker J</t>
  </si>
  <si>
    <t>Escritório Adv F</t>
  </si>
  <si>
    <t>Broker L</t>
  </si>
  <si>
    <t>Banco E</t>
  </si>
  <si>
    <t>Broker M</t>
  </si>
  <si>
    <t>Broker U</t>
  </si>
  <si>
    <t>Broker N</t>
  </si>
  <si>
    <t>Banco F</t>
  </si>
  <si>
    <t>Broker P</t>
  </si>
  <si>
    <t>Boutique B</t>
  </si>
  <si>
    <t>Broker R</t>
  </si>
  <si>
    <t>Broker S</t>
  </si>
  <si>
    <t>Broker T</t>
  </si>
  <si>
    <t>Data</t>
  </si>
  <si>
    <t>Originador</t>
  </si>
  <si>
    <t>17/02 - Acreditamos em uma piora do risco de crédito e piora do processo
28/02 - Analisar o impacto da piora do processo no prazo de recebimento e reprecificar</t>
  </si>
  <si>
    <t>28/02 - Discussão da proposta com a Companhia</t>
  </si>
  <si>
    <t>26/02 - Recebemos a proposta deles pela 2x
28/02 - Reunião presencial no dia 10/03 para definir os termos ou não seguir com a transação</t>
  </si>
  <si>
    <t>17/02 - Acharam o kicker e a multa de pre pagamento altas
24/02 - Respondemos as preocupaçoes dele, aguardamos uma devolutiva</t>
  </si>
  <si>
    <t>06/01 - Pendente do recebimento de informações solicitadas em Dez/24</t>
  </si>
  <si>
    <t>03/02 - Março vai ter reuniao de reeleiçao de sindico, estao aguardando isso para venda do crédito
28/02 - Vamos cobrar uma resposta ao final de março</t>
  </si>
  <si>
    <t>24/02 - Castro nos voltou falando que estão pegando cópia dos autos. Vamos aguardar</t>
  </si>
  <si>
    <t xml:space="preserve">(X2W) Consultoria </t>
  </si>
  <si>
    <t>28/02 - Ainda não possuem um levantamento completo da dívida da RJ. Vamos aguardar</t>
  </si>
  <si>
    <t>Alvarez&amp; Marsal</t>
  </si>
  <si>
    <t>28/02 - Recebemos informações no dia 24/02. Em análise</t>
  </si>
  <si>
    <t>Stark Investimentos (Consultoria)</t>
  </si>
  <si>
    <t>28/02 - Em análise</t>
  </si>
  <si>
    <t>26/02 - Fizemos o FUP na A&amp;M. Aguardando resposta</t>
  </si>
  <si>
    <t>Antonio</t>
  </si>
  <si>
    <t>24/02- Analisamos melhor a oportunidade e entendemos que ainda esta em estágio inicial, não possuem todas as informações que comporiam o QGC
27/02 - Vamos falar com o CFO para entender melhor a RJ (10/02)</t>
  </si>
  <si>
    <t>27/02 - Enviamos uma proposta não vinculante. Aguardando resposta</t>
  </si>
  <si>
    <t>20/02 - Aguardando informações adicionais solicitadas</t>
  </si>
  <si>
    <t>20/02 - Enviaram VDR, vamos analisar mas com disclaimer que os socios são complicados</t>
  </si>
  <si>
    <t>14/02 - Enviamos proposta
28/02 - FUP dps do Carnaval</t>
  </si>
  <si>
    <t>24/02 - vao enviar o custo de lessor e falaram que so vao fazer o litigation junto com o credito estruturado</t>
  </si>
  <si>
    <t>Luiza/Antonio</t>
  </si>
  <si>
    <t>27/02 - Mandamos proposta não vinculante.</t>
  </si>
  <si>
    <t>Hugo/Luiza</t>
  </si>
  <si>
    <t>28/02 - Vamos cobrar após receber sencinet (outra op. enviado pelo Padis Mattar)</t>
  </si>
  <si>
    <t>27/02 - Solicitamos numero do contrato e honorários contratuais</t>
  </si>
  <si>
    <t>20/02 - Sócio complicado
28/02 - Voltar com feedback dps do carnaval</t>
  </si>
  <si>
    <t>28/02 - NDA assinado, pendente de recebimento das informações</t>
  </si>
  <si>
    <t>28/02 - vamos falar com o adv de floripa para entender melhor as ações</t>
  </si>
  <si>
    <t>28/02 - Faremos reunião com Castro Barros para entender das oportunidades</t>
  </si>
  <si>
    <t>28/02 - Vamos pedir mais informações</t>
  </si>
  <si>
    <t>25/02 - Enviaram as informações sobre a estrutura societária. Entender a possibilidade de adicionar garantias, açoes de outras investidas</t>
  </si>
  <si>
    <t>28/02 - Enviamos uma proposta não vinculante</t>
  </si>
  <si>
    <t>28/02 - Aguardando informações</t>
  </si>
  <si>
    <t>Detalhamento</t>
  </si>
  <si>
    <t>Crédito Estruturado e DIP</t>
  </si>
  <si>
    <t>.</t>
  </si>
  <si>
    <t>Academia quer levantar 50mm, estamos propondo dívida na holding e um fidc na empresa</t>
  </si>
  <si>
    <t>70mm para empresa liberar os imoveis que estao em garantia e tb kgiro</t>
  </si>
  <si>
    <t>Produção de papel e embalagem. A Cocelpa hoje está em recuperação judicial e os sócios (estão brigados e não se falam) estão com patrimonio bloqueado. Eles possuem hoje um acordo para pagar a vista a divida fiscal e gostariam de fazer uma divida na empresa com garantias no imóvel que fica em Araucaria-PR</t>
  </si>
  <si>
    <t>Porcelana em SC, 8 anos Rj, não operacional, 40mm em imoveis n operacionais, fazenda em jaguaruna 40mm, VGV de 500mm mas faseado em mtos anos.Tem duas UPIs operacionais, tubarao vale 53mm bali pagar 30mm, UoP da venda para pagar classe I e II que da 27mm. Tem fabrica em mossoró, Oriz Partners quer levar no artigo 166, 70mm pra construir. Passivo 40mm concursal 40mm extra e 90mm, ja sindicalizou os extra . 20mm de imovel para pagar a extra.</t>
  </si>
  <si>
    <t>30mm, em RJ, castelo de itaipava</t>
  </si>
  <si>
    <t>Empresa especializada em soluções de conectividade e segurança digital</t>
  </si>
  <si>
    <t>Estão com USD 20M com Prisma (Lucas Canhoto), querem resolver os 20m ou pelo menos 10M. Garantia : Cotas de FIDC que tem claim contra Petrobras 320 M (sentença deve sair em uma semana), R$ 80 contra eletrobrás. Tem um novo contrato para 4 navios no estaleiro que podem tentar ceder um pouco para pagar tb</t>
  </si>
  <si>
    <t>Casos ativos nos ultimos 60 dias</t>
  </si>
  <si>
    <t>Discussão de Proposta</t>
  </si>
  <si>
    <t>Alteração Regulamento do Fundo</t>
  </si>
  <si>
    <t>Aguardando Retorno da NBO</t>
  </si>
  <si>
    <t>Aguardando Retorno do BB</t>
  </si>
  <si>
    <t>Relação Libelula</t>
  </si>
  <si>
    <t>Aguardando assinatura de NDA e retorno advisor americanos</t>
  </si>
  <si>
    <t>Aguardando informações de Garantias Adicionais</t>
  </si>
  <si>
    <t>Aguardando Devolutiva</t>
  </si>
  <si>
    <t>Reunião Inicial 17/04</t>
  </si>
  <si>
    <t>Definindo potencial abordagem</t>
  </si>
  <si>
    <t>Aguardando Reunião Inicial 25/04</t>
  </si>
  <si>
    <t>Aguardando informações</t>
  </si>
  <si>
    <t>Aguardando devolutiva da A&amp;M</t>
  </si>
  <si>
    <t>Academia</t>
  </si>
  <si>
    <t xml:space="preserve">M&amp;A c/ estratégico </t>
  </si>
  <si>
    <t>Hotelaria</t>
  </si>
  <si>
    <t>Trativas Encerradas</t>
  </si>
  <si>
    <t>Tecnologia</t>
  </si>
  <si>
    <t>Gerador de Energia</t>
  </si>
  <si>
    <t>Carteira de Crédito da OI</t>
  </si>
  <si>
    <t>Telecom</t>
  </si>
  <si>
    <t>Reprovada em análise</t>
  </si>
  <si>
    <t>Mineração Cobre</t>
  </si>
  <si>
    <t>Trativas Encerradas - Ore classificou como ativo incipiente</t>
  </si>
  <si>
    <t>Turismo</t>
  </si>
  <si>
    <t>Estaleiro / Engenharia</t>
  </si>
  <si>
    <t>Allievo x Mottu</t>
  </si>
  <si>
    <t>Fundo / Serviços</t>
  </si>
  <si>
    <t>NPL + DIP + Claim</t>
  </si>
  <si>
    <t>Indústria</t>
  </si>
  <si>
    <t>Avaliando valor dos claims</t>
  </si>
  <si>
    <t>Aprovado, vamos liquidar até 30/04 (R$ 5,5m)</t>
  </si>
  <si>
    <t>Revisando informações enviadas</t>
  </si>
  <si>
    <t>Eletrônicos</t>
  </si>
  <si>
    <t>Mídia</t>
  </si>
  <si>
    <t>Aviação</t>
  </si>
  <si>
    <t>Precatório Valença</t>
  </si>
  <si>
    <t>Construtora x Sanepar</t>
  </si>
  <si>
    <t>Walter dos Santos Affonso x CTBU</t>
  </si>
  <si>
    <t>Logística</t>
  </si>
  <si>
    <t>O&amp;G</t>
  </si>
  <si>
    <t>Casa de Saúde Aragão - Precatório</t>
  </si>
  <si>
    <t>Tese SUS</t>
  </si>
  <si>
    <t xml:space="preserve">Estre Ambiental </t>
  </si>
  <si>
    <t>DIP/Exit Financing</t>
  </si>
  <si>
    <t>Outros</t>
  </si>
  <si>
    <t>Pré-Precatório</t>
  </si>
  <si>
    <t>07/04 - Mandar uma proposta
14/04 - Em negociação de contrato
22/04 - Enviamos a NBO, exclusividade até 09/05
05/05 - Pendente para falarmos com potenciais compradores
01/07 - Andrade quer apresentar o possivel pagamento dos creditos em aberto
04/07 - Enviaram a minuta de fatura do MMSO</t>
  </si>
  <si>
    <t>Sistema de assist. Social x união</t>
  </si>
  <si>
    <t>Caso SUS, foi justamente o caso que fundamentou o pedido de providências no CNJ que mandou cancelar os precatórios do TRF1 que haviam sido expedidos com bloqueio</t>
  </si>
  <si>
    <t>Antonio Martins x União</t>
  </si>
  <si>
    <t>Embora seja desapropriação (em regra, bom), está com bloqueio. Ou seja, risco de ser cancelado - se já não foi</t>
  </si>
  <si>
    <t>19/05 - aguardando Romeiro
02/06 - Em análise
02/06 - Mandamos pro Muller o nossa solicitação de alavancagem da operação
02/06 - Trinity esta passando no conselho as novas condiçoes (MOIC de 1.4x)
09/06 - Reunião com XP na 3a
01/07 - Liquidamos a operação de R$ 15m</t>
  </si>
  <si>
    <t>Dificuldade de eventual execução da garantia e crédito no exterior</t>
  </si>
  <si>
    <t>09/06 - Em análise
16/06 - Aguardando resposta da proposta
23/06 - Aguardando contraproposta
01/07 - Tinham achado baixo a proposta, aguardando resposta</t>
  </si>
  <si>
    <t>Entendemos que nao tem capacidade de pagamento, precisa melhorar mto a operação</t>
  </si>
  <si>
    <t>Operaçao curta para SS e não auditada para HY</t>
  </si>
  <si>
    <t>07/07 - Vamos finalizara aas analises  (18.07)</t>
  </si>
  <si>
    <t>Lucas Simionato (Hayden Capital)</t>
  </si>
  <si>
    <t>Novonor</t>
  </si>
  <si>
    <t>Vinicius</t>
  </si>
  <si>
    <t>Concessão - dinheiro para alavancar o acionista (Novonor) para uma concessao de ferrovia no MT, de R$ 120m</t>
  </si>
  <si>
    <t>Cristiano Aparecido Baptista x Antonio Francisquini</t>
  </si>
  <si>
    <t>Rafael Boiko</t>
  </si>
  <si>
    <t>Convexa Investimentos</t>
  </si>
  <si>
    <t>CDNTV</t>
  </si>
  <si>
    <t>Adama - Elisa Agro</t>
  </si>
  <si>
    <t>Andreza Maria x Pernambuco</t>
  </si>
  <si>
    <t>Imóvel com Locação Aperam</t>
  </si>
  <si>
    <t xml:space="preserve">Precatório </t>
  </si>
  <si>
    <t>Honorários Sucumbenciais x Siguler Guff</t>
  </si>
  <si>
    <t>01/07 - Vamos refinar o RRA e vamos oferecer algo menor que 45%
01/07 - Vamos oferecer 38% - estamos colocando pq tem um risco dos precas 2027 nao serem pago, mercado ta ruim, sem preço
10/07 - 40% +5% de fee</t>
  </si>
  <si>
    <t>01/07 - Vamos precificar.
07/07 - Proposta enviada. Aguardando resposta do Enio
15/07 - Cobramos o Enio de uma resposta à proposta</t>
  </si>
  <si>
    <t>07/07 - Em analise. 
15/07 - Garantia operacional e nao estao em nome da empresa</t>
  </si>
  <si>
    <t>Garantia operacional e nao estao em nome da empresa</t>
  </si>
  <si>
    <t>Ferro Advogados</t>
  </si>
  <si>
    <t>Aprovado em Comitê</t>
  </si>
  <si>
    <t>Varejo - Supermercado</t>
  </si>
  <si>
    <t xml:space="preserve">Subordinação ao Stream e Op. Equity </t>
  </si>
  <si>
    <t>Sem Retorno</t>
  </si>
  <si>
    <t>Garantias</t>
  </si>
  <si>
    <t>Sale leaseback e ativo operacional</t>
  </si>
  <si>
    <t>Prazo do Leilão</t>
  </si>
  <si>
    <t>Retorno abaixo do esperado</t>
  </si>
  <si>
    <t>Esporte</t>
  </si>
  <si>
    <t>Aluguel de Carros</t>
  </si>
  <si>
    <t>Diligência não Satisfatória</t>
  </si>
  <si>
    <t>Retorno e Garantias</t>
  </si>
  <si>
    <t>Infraestrutura</t>
  </si>
  <si>
    <t>Aguardando Informações de novos Imóveis</t>
  </si>
  <si>
    <t>Aguardando call com a XP</t>
  </si>
  <si>
    <t>Aguardando Informações</t>
  </si>
  <si>
    <t>Não enviamos proposta</t>
  </si>
  <si>
    <t>Leilão NPL</t>
  </si>
  <si>
    <t>Casos analisados desde Maio 2025</t>
  </si>
  <si>
    <t>Em negociação</t>
  </si>
  <si>
    <t>Enviamos um preço. Aguardando respostas</t>
  </si>
  <si>
    <t>Pedimos as infos, aguardando</t>
  </si>
  <si>
    <t>Tinham achado baixo a proposta, aguardando resposta</t>
  </si>
  <si>
    <t>Proposta abaixo do esperado</t>
  </si>
  <si>
    <t>Aguardando definiçao da PEC 66</t>
  </si>
  <si>
    <t>Proposta aceita para o Fundo IV</t>
  </si>
  <si>
    <t>Proposa Enviada. Aguardando respostas</t>
  </si>
  <si>
    <t>Recusado</t>
  </si>
  <si>
    <t>Investida</t>
  </si>
  <si>
    <t>Chamada de Capital Realizada</t>
  </si>
  <si>
    <t>Aguardando Informações da Estrutura</t>
  </si>
  <si>
    <t>Vamos propor di+20%.a.a</t>
  </si>
  <si>
    <t>Proposta Assinada</t>
  </si>
  <si>
    <t>Numero da Lista Anterior</t>
  </si>
  <si>
    <t>Casos Ativos</t>
  </si>
  <si>
    <t>Rede de Academias</t>
  </si>
  <si>
    <t>TS bridge to FON - Oakberry 50m (20+20+10)</t>
  </si>
  <si>
    <t>Não mandamos o Bid</t>
  </si>
  <si>
    <t>Associação Escola do Futuro</t>
  </si>
  <si>
    <t>OI x Acre</t>
  </si>
  <si>
    <t>Integra Associados</t>
  </si>
  <si>
    <t>OI x Maranhão</t>
  </si>
  <si>
    <t>LG x União</t>
  </si>
  <si>
    <t>Regime geral, porém de 950mil</t>
  </si>
  <si>
    <t>Maranhão, regime especial, pagando 2016</t>
  </si>
  <si>
    <t>MinasMais x Algar Telecom</t>
  </si>
  <si>
    <t>Cerradinho Açúcar x Estado SP</t>
  </si>
  <si>
    <t>Neomille  x Estado SP</t>
  </si>
  <si>
    <t>Jet Veículos</t>
  </si>
  <si>
    <t>Antecipação de fluxo de ressarcimento tributário.
A empresa possui direito à restituição em espécie de valores referentes a PIS e COFINS e, atualmente, encontra-se em um momento de expansão. Nesse contexto, ela está avaliando a possibilidade de antecipar esse fluxo de créditos para viabilizar futuras aquisições</t>
  </si>
  <si>
    <t>aquisição de precatórios federais não faz parte da estratégia de nossos fundos.</t>
  </si>
  <si>
    <t>Engetek x Wtorre Engenharia e Nissan</t>
  </si>
  <si>
    <t>Descumprimento contratual relacionado à execução de obras na unidade da Nissan em Resende/RJ. A Engetek alegou prejuízos decorrentes da rescisão unilateral do contrato e da falta de pagamento de medições executadas.</t>
  </si>
  <si>
    <t>09/06 - Em análise das infos enviadas
23/06 - Vamos enviar uma proposta indicativa
07/07 - Vamos ter call para acompanhamento da obra (A&amp;M)
17/07 - Aprovado em comite</t>
  </si>
  <si>
    <t>16/06 - Mandamos msg na Daniela para marcar um call com o CFO
16/07 - Precisamos de mais imóveis livres e com valor de liquidaçao entre 10m e 70m</t>
  </si>
  <si>
    <t>Julgamos não ter nenhuma boa oportunidade para o BID</t>
  </si>
  <si>
    <t>Sem licitação</t>
  </si>
  <si>
    <t>Risco de equity, sem skin in the game do acionista e pouco colateral (AF de açoes de uma concessao no Panama, e cf dos dividendos dessa empresa (USD 6M)</t>
  </si>
  <si>
    <t>Teríamos que antecipar recebíveis que ainda não estao contratados com a Locatário</t>
  </si>
  <si>
    <t>01/07- Entender se vai ser certame
15/07 - precatorio estadual e municipal so apos definiçao da PEC 66
21/07 - Aguardando autorização para venda direta</t>
  </si>
  <si>
    <t>Aguardando autorizaçao para venda direta, o que pode demorar</t>
  </si>
  <si>
    <t>21/07- Vamos analisar</t>
  </si>
  <si>
    <t>21/07 - Vamos falar com a Audas</t>
  </si>
  <si>
    <t>Vamos aguardar e oportunidade desalinhada com a estratégia Do fundo</t>
  </si>
  <si>
    <t>21/07 - Em análise</t>
  </si>
  <si>
    <t>Tese de IAA</t>
  </si>
  <si>
    <t>Não olhamos crédito administrativo</t>
  </si>
  <si>
    <t>Estado de sp atrasado na fila de pagamento</t>
  </si>
  <si>
    <t>Cara Preta</t>
  </si>
  <si>
    <t>Skyfit</t>
  </si>
  <si>
    <t>Executivo/empresário</t>
  </si>
  <si>
    <t>Lift Capital</t>
  </si>
  <si>
    <t>Aplub x Fundacred</t>
  </si>
  <si>
    <t>Leilão do Itau - Massificado</t>
  </si>
  <si>
    <t>data de bid 20/08</t>
  </si>
  <si>
    <t>NOOA</t>
  </si>
  <si>
    <t>Crédito ICMS</t>
  </si>
  <si>
    <t>19/05 - vao mandar as informações
26/05 - Vamos marcar call com a empresa
02/06 - Esperando resolver problemas com acionistas para entrada de terceiros
25/07 - Enviaram informações (Vão pedir RJ)
25/07 - Vamos marcar um update com Lucas Dourado</t>
  </si>
  <si>
    <t>Não tivemos contraproposta, acharam baixa a primeira proposta</t>
  </si>
  <si>
    <t>Não consideramos na precificação as possiveis alterações da PEC 66.</t>
  </si>
  <si>
    <t>Investir em cota de outro fundo</t>
  </si>
  <si>
    <t>DIP de 25m para dar em garantia as dragas
BB tem 35% da dívida
BB quer vender o crédito - na RE ja foi "prejudicado"
Allonda tem condiçoes de pagar o DIP em 5 anos com carencia de 1 ano, topa da CF de recebivel de contrato tem 400m de backlog +200m de backlog possivel mas n tem dinheiro
R$ 20m com CF de recebível com prazo de 5 anos (VISÃO G5)
Mauro (Galdino) de acordo com mauro tem as dragas para colocar em AF - parecem ter liquidez
+ Dinheiro para Cessão dos Créditos</t>
  </si>
  <si>
    <t>Honorarios nao devidos</t>
  </si>
  <si>
    <t>Risco de credito, tese arriscada, simulação. Sem comercializadora</t>
  </si>
  <si>
    <t>Crédito ruim</t>
  </si>
  <si>
    <t>Technion x Petrobras</t>
  </si>
  <si>
    <t>Arbitragem</t>
  </si>
  <si>
    <t xml:space="preserve">Posco </t>
  </si>
  <si>
    <t>Frederico Costa</t>
  </si>
  <si>
    <t>Grão de Gente</t>
  </si>
  <si>
    <t>Projeto Cooperativa</t>
  </si>
  <si>
    <t>Precatórios Municipais</t>
  </si>
  <si>
    <t>Precatorios Peruíbe, Gurupi e Campo Grande</t>
  </si>
  <si>
    <t>Mag7</t>
  </si>
  <si>
    <t>Precatórios SP</t>
  </si>
  <si>
    <t>Pequenos, estados de SP (atrasado), já cedidos</t>
  </si>
  <si>
    <t>Carteira de Creditos Judiciais - Odebretch</t>
  </si>
  <si>
    <t>Direito Creditorio Procuradores do Estado</t>
  </si>
  <si>
    <t>Crédito mto pequeno</t>
  </si>
  <si>
    <t>Tarifa de esgoto - CEDAE</t>
  </si>
  <si>
    <t>Felipe Cunha</t>
  </si>
  <si>
    <t>Sem definição do STF se a CEDAE paga por precatório ou nao</t>
  </si>
  <si>
    <t>Não olhamos a tese</t>
  </si>
  <si>
    <t>FBH x União</t>
  </si>
  <si>
    <t>Honorários - crédito a receber de 40m USD, ja recebeu USD 10m
Vendeu com a JIVE no ano passado - R$ 22m -di+17% 
Ideia é quitar Jive (R$ 37m) - Quer R$ 55m  
Propondo o kicker baixo 2.5% - dificuldade aqui
Pagar em 90 dias os USD98m
Quadra botou 2m no 1o ano dps 2,5m - kicker 
1o cenario Corrigir JIVE 22m (janeiro22) a di+17% e kicker de 10% quando ele receber - 98m de dolar flat (30 e pouco que ele nao ve + o delta de 55m) - quanto a JIVE RECEBE não é 37m
2o cenario recebe o delta do 55m a taxa di+15% e colocar kicker 1o ano 2m e no 2o 2,5m e ir aumentado - bom pra gnt e bom pra ele
3o cenario 17m na mao dele e vai pagar um x - opçao que a gnt compra a jive tem que ser mais vantajosa</t>
  </si>
  <si>
    <t>o caso possui pontos de atenção que tornam a expectativa da empresa bastante elevada, de forma que não prosseguiremos com a análise.</t>
  </si>
  <si>
    <t>Perform Informática x Município de São Paulo</t>
  </si>
  <si>
    <t>Não estamos olhando municipio de SP, fila atrasada</t>
  </si>
  <si>
    <t>Ecowa</t>
  </si>
  <si>
    <t>Agro DFG</t>
  </si>
  <si>
    <t>Imovel Campo Verde, 70% irrigado, classe II Caixa e BB resolvido.
Cheque de R$ 80m (30m em caixa + 50m galapagos)</t>
  </si>
  <si>
    <t>02/07 - Enviaram email perguntando se tínhamos interesse no processo. Temos o numero do processo, vamos analisar
04/08 - Vamos negar, esperando para responder, caso cobrem</t>
  </si>
  <si>
    <t>Carteira do Santander</t>
  </si>
  <si>
    <t>ERBE - Carteira de Ativos/Passivos</t>
  </si>
  <si>
    <t>Op. de criação de fundo para gestão da contigência e venda de NPL/Claims</t>
  </si>
  <si>
    <t>Fictor</t>
  </si>
  <si>
    <t>Leilão dia 22/08</t>
  </si>
  <si>
    <t>Sweet Fruits</t>
  </si>
  <si>
    <t>Dealmaker</t>
  </si>
  <si>
    <t>Ativo Fiscal</t>
  </si>
  <si>
    <t>Projeto Mate</t>
  </si>
  <si>
    <t>12/08 - Enviaram Teaser DFG Agrícola</t>
  </si>
  <si>
    <t>15/07 - vamos propos di+20%.a.a
21/07 - Sinalizamos DI+20%a.a e ele sinalizou para fazermos uma parte a essa taxa, aceitariamos algo prox.R$ 3m
04/08 - Pedimos mais info
12/08 - NDA assinado</t>
  </si>
  <si>
    <t>Turiano</t>
  </si>
  <si>
    <t>R$ 8.4m</t>
  </si>
  <si>
    <t>R$ 2.7m</t>
  </si>
  <si>
    <t>Nova Produtiva</t>
  </si>
  <si>
    <t>Eveo</t>
  </si>
  <si>
    <t>Farol D'Aldeia</t>
  </si>
  <si>
    <t>EABrasil</t>
  </si>
  <si>
    <t>Vasco</t>
  </si>
  <si>
    <t>13/08 - Deve entrar em RJ, vamos ver se conseguimos comprar o CRI com deságio</t>
  </si>
  <si>
    <t>01/04 - Aguardando resposta do Rafael Solon 
02/05 - Modelagem enviada no grupo
27/05 - Enviaremos uma proposta indicativa
17/06 - Vamos pegar um update com o Solon sobre o caso
31/07 - Reprecificar baseado no acordao 
04/08 - Enviamos nova proposta
13/08 - Vamos discutir uma RJ</t>
  </si>
  <si>
    <t>26/05 - Em análise
07/07 - Operaçao parecida com Aspometron. Podemos engajar com uma empresa para fazer as cessoes, compras dos créditos etc
07/07 - Vamos pedir as infos
15/07 - Pedimos as infos, aguardando
13/08 - Infos enviadas, em analise</t>
  </si>
  <si>
    <t>01/08 - Analisamos e não enviamos proposta</t>
  </si>
  <si>
    <t>21/07 - Em análise
13/08 - Sem recurso especial. Entendems que o prazo do processo pode ser mais longo que o prazo do fundo</t>
  </si>
  <si>
    <t>Empresa de proteina animal, fizeram IPO reverso, compram alimenticias, reestruturam e jogam pra essa casca que era listada em bolsa</t>
  </si>
  <si>
    <t>13/08 - Leilao 08 de setembro
13/08 - Vamos entender sobre os sócios e analisar a CIA</t>
  </si>
  <si>
    <t>13/08 - Em análise</t>
  </si>
  <si>
    <t>CTR Itaboraí x Itaboraí</t>
  </si>
  <si>
    <t>Temos que entender melhor, não abriram a taxa e as garantias são os contratos. Além da usina, com valor de laudo de R$ 35m, que parece ser operacional
13/08 - Pedimos mais informações</t>
  </si>
  <si>
    <t>Desagio de 20% nao faz sentido</t>
  </si>
  <si>
    <t>aquisição de distressed asset, lastreado em direitos creditório</t>
  </si>
  <si>
    <t>Rio Dourado Participações</t>
  </si>
  <si>
    <t>Ayoub</t>
  </si>
  <si>
    <t>BBD Seguros x Thyssen</t>
  </si>
  <si>
    <t>20/08 - Enviamos Proposta</t>
  </si>
  <si>
    <t>Ja estava sendo pago</t>
  </si>
  <si>
    <t>Não olhamos aquisiçao de empresas para utilizaçao de prejuizo fiscal</t>
  </si>
  <si>
    <t>20/08 - Alinhamos com o BTG e para seguir precisaria de ingerencia sobre o M&amp;A</t>
  </si>
  <si>
    <t>Railroad x Vale</t>
  </si>
  <si>
    <t>No momento não estamos adquirindo precatórios federais</t>
  </si>
  <si>
    <t xml:space="preserve">DIP </t>
  </si>
  <si>
    <t>Grupo Pakera</t>
  </si>
  <si>
    <t>Letro Consultoria</t>
  </si>
  <si>
    <t>Buscamos um DIP de 10 milhões, para valores maiores teremos que analisar mas é possível já que a garantia é bem superior a esse valor.
Pagamos uma comissão de 2,5% sobre o valor captado mais os juros definidos por vocês, aceitamos contrapropostas</t>
  </si>
  <si>
    <t>Empresa Agro</t>
  </si>
  <si>
    <t>EFS Advogados</t>
  </si>
  <si>
    <t>-	Ja distribuiram a cautelar e vai caminhar para a RJ
-	Inicialmente para financiamento 
-	Divida total de R$ 29m – concursal R$ 17m 
-	Revenda de insumos, os socios são produtores e possuem terra
-	Extraconcursal fornecedor – CPR fisica e esta garantida pelos propi</t>
  </si>
  <si>
    <t>01/07 - Passamos as condiçoes, so esperando pegarem o mandato e aprovaçao da familia
21/07 - Proposta assinada
21/07 - Aguardando a decisão da venda (stalking horse) - já peticionaram
31/07- MP favoravel a venda, devemos ficar de for a
20/08 - CF dos recebíveis da Caetano. Foi constituída em 25/06/2025. Risco enorme de fraude
20/08 - Enviaram infos adicionais</t>
  </si>
  <si>
    <t>20/08 - Daria para entrar comprando o CRI mas teria que brigar com condominio. Garantido por CF de recebivel de estacionamento e loja. Teria pouco desagio no CRI</t>
  </si>
  <si>
    <t>01/07 - Vamos falar com o Chebatt para entender melhor do caso. Não ta nas DFs da Vale
15/07 - NDA enviado para o Luis Eugenio
21/07 - Em analise mas parece não ter bom ângulo
28/07 - Enviamos proposta 24/07 - Aguardando resposta da Itabiriçu
04/08 - 06/08 terá reunião sobre o caso
13/08 - Vamos ajustar a proposta e tem até 20/08 pra seguir com a proposta
20/08 - Pode ser que volte novas infos</t>
  </si>
  <si>
    <t>Vamos negar, risco de fraude devido a cf de recebiveis pouco antes da RJ</t>
  </si>
  <si>
    <t xml:space="preserve">Empresa do mesmo grupo (parte relacionada). </t>
  </si>
  <si>
    <t>13/08 - Vamos marcar um call para tirar duvidas</t>
  </si>
  <si>
    <t>13/08 - Olhamos Central de alimentos Supermix, CELEPI, Polímero</t>
  </si>
  <si>
    <t>Unicard</t>
  </si>
  <si>
    <t>NPL Hayden</t>
  </si>
  <si>
    <t>Hayden Capital</t>
  </si>
  <si>
    <t>Casos analisados desde Julho 2025</t>
  </si>
  <si>
    <t>Segunda Tranche será investida 22.08</t>
  </si>
  <si>
    <t>Reunião Agendada para 22.08</t>
  </si>
  <si>
    <t>Aguardando Informações do Fluxo de Pagamento do DIP</t>
  </si>
  <si>
    <t>Reunião Agendada para 27.08</t>
  </si>
  <si>
    <t>Aguardando informações do VDR</t>
  </si>
  <si>
    <t>Reunião Agendada 26.08</t>
  </si>
  <si>
    <t>Antecipação de recebíveis que ainda não estao contratados com a Locatário</t>
  </si>
  <si>
    <t>Em negociação para envolver o imóvel na transação</t>
  </si>
  <si>
    <t>Solicitamos mais informações</t>
  </si>
  <si>
    <t>Estamos agendando reunião</t>
  </si>
  <si>
    <t>Assinatura do NDA</t>
  </si>
  <si>
    <t>Data Center</t>
  </si>
  <si>
    <t>Proposta Indicativa não aceita</t>
  </si>
  <si>
    <t>Esportes</t>
  </si>
  <si>
    <t>Imobiliário</t>
  </si>
  <si>
    <t>Alimentos</t>
  </si>
  <si>
    <t>NPLs Hayden</t>
  </si>
  <si>
    <t>Diversos</t>
  </si>
  <si>
    <t>On Hold - Fundo IV</t>
  </si>
  <si>
    <t>Investido R$ 4.5m - Aguardando Definição PF</t>
  </si>
  <si>
    <t>DIP/NPL</t>
  </si>
  <si>
    <t>Proposta recusada</t>
  </si>
  <si>
    <t>Nao colocamos proposta</t>
  </si>
  <si>
    <t>Pouca garantia e taxa baixa</t>
  </si>
  <si>
    <t>Nao mandamos proposta</t>
  </si>
  <si>
    <t>Emprestimo compulsorio com diversas cessoes</t>
  </si>
  <si>
    <t>Ainda em fase de prova/pericia (estagio do processo). Estagio pouco maduro</t>
  </si>
  <si>
    <t>26/08 - Em analise</t>
  </si>
  <si>
    <t>Não gostamos da açao</t>
  </si>
  <si>
    <t>26/08 - Cobramos nova dívida</t>
  </si>
  <si>
    <t>Familia Levihnson - ITCMD</t>
  </si>
  <si>
    <t>- Fazenda de 400mil ha, estao transferindo da empresa para os filhos. 100m em imposto que nao tem recurso para pagar
24mil ha em garantia (arrendado). Jogar dentro do fidc a fazenda e ficam como subordinado</t>
  </si>
  <si>
    <t>Contrato de compra e venda imovel urbano vendido para cyrella, venda da instituiçao do gov. de sp . R$ 150m</t>
  </si>
  <si>
    <t>Instituiçao SP x Cyrella</t>
  </si>
  <si>
    <t>Lavoro x Seguradora Pottencial</t>
  </si>
  <si>
    <t>- Seguros pros projetos de infra do patria. Tinha seguro para fornecedores da Lavora. Com o default na RE, acionaram o seguro e entao a pottencial subrrogou no plano
- Deal aqui seria comprar e seguir o fluxo do RE e teriamos direitto ao proceed da crop care, com aval do patria</t>
  </si>
  <si>
    <t>Leva - Motoeletrica</t>
  </si>
  <si>
    <t xml:space="preserve"> - Importa motoeletrica da china e vende internamente para concessionaria, quer R$ 5m. Aval do acionista da orizon</t>
  </si>
  <si>
    <t>BRAX</t>
  </si>
  <si>
    <t>GBS</t>
  </si>
  <si>
    <t>AGI</t>
  </si>
  <si>
    <t>Esperando resolver problemas com acionistas para entrada de terceiros
Socios abriram CNPJs para fazer novas marcas</t>
  </si>
  <si>
    <t>O cedente desistiu, queria so financiamento e não cessao do credito</t>
  </si>
  <si>
    <t>25/06 - Enviamos uma primeira sensibilidade de preço.
Aguardando respostas
15/07 - So faz sentido se comprarmos 100%
23/07- Enviou novas propostas de MOIC
20/08 - Estavam proximos de um acordo, vamos aguardar para voltarmos com o case</t>
  </si>
  <si>
    <t>31/07 - Solicitamos novas informações da RJ. Pendente de resposta 
20/08 - so para de pé se envolver o imovel (tentar obrigar a leiloar o imovel)
01/09 - Vamos avaliar os imóveis</t>
  </si>
  <si>
    <t>Crédito ruim, municipios ruins</t>
  </si>
  <si>
    <t>Credito pequeno</t>
  </si>
  <si>
    <t>Ainda não expedido</t>
  </si>
  <si>
    <t xml:space="preserve">20/08 - reunião hoje as 17h
01/09 - Vamos negar </t>
  </si>
  <si>
    <t>26/08 - Proposta enviada
01/09 - Aguardando a LO</t>
  </si>
  <si>
    <t>Tamanho de cheque e analise da Hayden otimista do caso</t>
  </si>
  <si>
    <t>Empresa Oriente x Precatório Municipal de Macae</t>
  </si>
  <si>
    <t>R$ 20m</t>
  </si>
  <si>
    <t>Com risco, nao consegue executar (risco maior com a Orizon)</t>
  </si>
  <si>
    <t>PL do fundo menor que o claim.</t>
  </si>
  <si>
    <t>01/09 - Olhar no quantum os cotista desse fundo</t>
  </si>
  <si>
    <t>Castro e Silva</t>
  </si>
  <si>
    <t>Op. BB</t>
  </si>
  <si>
    <t>01/09 - Vamos negar por ser em face do BB</t>
  </si>
  <si>
    <t>Vamos negar por ser em face do BB</t>
  </si>
  <si>
    <t>C&amp;C</t>
  </si>
  <si>
    <t xml:space="preserve">Pré precatorio </t>
  </si>
  <si>
    <t>Negamos, credito ruim</t>
  </si>
  <si>
    <t>Cooperativa Pindorma</t>
  </si>
  <si>
    <t>FGA</t>
  </si>
  <si>
    <t>Pouca garantia, capacidade de pagamento</t>
  </si>
  <si>
    <t xml:space="preserve"> Cintra Veículo - Estado da Bahia</t>
  </si>
  <si>
    <t>Precatório Bahia
Valor: R$ 7.917.033,78
Atualização: Selic (best case) / IPCA+2% a.a. (worst)
Prazo: 12 (best) - 30 (worst)
Qto podemos pagar?</t>
  </si>
  <si>
    <t>Felipe Souto Maior Correia</t>
  </si>
  <si>
    <t>Compulsório Eletrobras</t>
  </si>
  <si>
    <t>Projeto Cotia</t>
  </si>
  <si>
    <t>Rodrigo Junqueira</t>
  </si>
  <si>
    <t>Crédito Estruturado para MCMV</t>
  </si>
  <si>
    <t>Metodista (Trabalhista)</t>
  </si>
  <si>
    <t>Maurício Trindade e Aser</t>
  </si>
  <si>
    <t>Executivo</t>
  </si>
  <si>
    <t>Compra de créditos trabalhistas na RJ</t>
  </si>
  <si>
    <t>Flavio Amorim (Supera)</t>
  </si>
  <si>
    <t>Felipe Amorim</t>
  </si>
  <si>
    <t>Metodista (DIP)</t>
  </si>
  <si>
    <t>Novo DIP lastreado em imóveis</t>
  </si>
  <si>
    <t>JGP FA (Erick Guedes)</t>
  </si>
  <si>
    <t>Fintech que está alavancada sofrendo pressão de intervenção Bacen, precisa de capitalização</t>
  </si>
  <si>
    <t>02/09 - Proposta enviada</t>
  </si>
  <si>
    <t>LARGO</t>
  </si>
  <si>
    <t>Renato Maggio</t>
  </si>
  <si>
    <t>Empresa de mineração de Vanádio. Está com vencimento de USD 95 M no curto prazo e para rolar por mais 1 ano precisa capitalizar em USD 22 M</t>
  </si>
  <si>
    <t>15/09 - Falamos com a ORE para avaliar o ativo minerário</t>
  </si>
  <si>
    <t>Mineração Dagoberto</t>
  </si>
  <si>
    <t>João Carneiro (Oslo DTVM / Fram Capital)</t>
  </si>
  <si>
    <t>Empresa centenária no Rio Grande do Sul, se encontra com problema de alavancagem devido a passivo tributário, buscar alternativas de financiar transação tributária</t>
  </si>
  <si>
    <t>Projeto Nimbus (Data Center Privado)</t>
  </si>
  <si>
    <t>Empresa de data center privados, precisa de crédito estruturado</t>
  </si>
  <si>
    <t>Lucas Iamondi (Travessia)</t>
  </si>
  <si>
    <t>Grupo Montes Belos</t>
  </si>
  <si>
    <t>Companhia está pedindo muito dinheiro para quita pouca divida e poucas garantias.</t>
  </si>
  <si>
    <t>Via Norte vs Advogados (Sucumbencia)</t>
  </si>
  <si>
    <t>Weclix</t>
  </si>
  <si>
    <t>JGP FA (William May)</t>
  </si>
  <si>
    <t>Companhia ISP, EV negativo , solução passa por comprar NPLs e casar venda com Vinci</t>
  </si>
  <si>
    <t>Casos de belem (precatorio)</t>
  </si>
  <si>
    <t>04/04 - Definir próximos passos
07/04 - Vamos precisar alterar o regulamento do fundo, não temos classe de cota para comprar FIDC
07/04 - Entender o rateio
14/04 - Entender como ta o processo para comprar cota do FIDC
22/04 - Esperando resposta da Mellon
28/04 - Mellon OK, vao convocar assembleia para alterar o regulamento. Mas a mellon interpreta tb que já podemos comprar a cota de FIDC
12/05 - Aguardando atualizações
07/07 - Vamos ter que assinar o boletim até 27/07
04/08 - Fizemos a chamada de capital de 6.5m
11/08 - Alocamos 4.5m, aguardando rateio para PF (27.08)
01/09 - Data de desembolso de 12.09 - Alocamos mais +- 75mil</t>
  </si>
  <si>
    <t>01/07 - Vão voltar com a estrutura que funcionem para nos
13/08 - Vao mandar o material hoje e vamos ter uma reunião 15/08
20/08 - Reuniao agendada para 27.08
22/09 - Aguardando devolutiva do TS</t>
  </si>
  <si>
    <t>Preço proposto abaixo do esperado pelo cedente</t>
  </si>
  <si>
    <t>Garantias não suficientes</t>
  </si>
  <si>
    <t xml:space="preserve">04/08- Em análise. Hugo e Luiza vao conversar sobre o tema
20/08 - Bernardo cunha nao voltou, aguardando. Mas os creditos parecem n ter fit com o fundo
01/09 - Vai passar info de 2 créditos
22/09 - Enviaram as infos, credito contra Alagoas, tem sentença, sem apelaçao. </t>
  </si>
  <si>
    <t>04/08 - Enviar NDA
13/08 - NDA assinado, aguardando infos
20/08 - Assinar novo NDA - assinado
27/08 - Vamos ver o credito do terreno de brasilia entender se tem valor do imovel
01/09 - Vamos mandar msg no incorporador (Rafael) para entender o valor do imovel
22/09 - Antonio (Refix) nos voltara essa semana</t>
  </si>
  <si>
    <t>20/08 - Will iria organizar reuniao 
26/08 - Preparando estrutura - 1a liberaçao de 30m e dps outros com covenant
01/09 - Vao voltar com as propostas que receberam e tb sobre o % do kicker aceitavel
22/09 - Aguardando resposta</t>
  </si>
  <si>
    <t>01/09 - Aguardando assinatura do NDA
22/09 - Enviaram as infos
22/09 - Vamos negar</t>
  </si>
  <si>
    <t>Pouco ativo, sem garantia e cheque pequeno</t>
  </si>
  <si>
    <t>Negado, credito ruim</t>
  </si>
  <si>
    <t>Fundo ja esvaziado</t>
  </si>
  <si>
    <t>Crédito contra Profix Institucional FIM</t>
  </si>
  <si>
    <t>Proposta negada</t>
  </si>
  <si>
    <t xml:space="preserve">Compulsório Eletrobrás </t>
  </si>
  <si>
    <t>Crédito pequeno</t>
  </si>
  <si>
    <t>Ação de advogados contra a via norte R$1,65m</t>
  </si>
  <si>
    <t>Operação sem perfil do fundo</t>
  </si>
  <si>
    <t>22/09 - Aguardando envio do fluxo de caixa</t>
  </si>
  <si>
    <t>22/09 - Vamos ter reunião hoje</t>
  </si>
  <si>
    <t>22/09 - Precisa resolver a transaçao tributaria, vamos retornar no inicio do ano</t>
  </si>
  <si>
    <t>22/09 - Vamos analisar mas provavelmente não terá taxa para nossa op.</t>
  </si>
  <si>
    <t>22/09 - Aguardando envio de informações</t>
  </si>
  <si>
    <t>R$ 11.6m, prazo estimado ultrapassa o limite do fundo III, pode fazer sentido para o fundo IV</t>
  </si>
  <si>
    <t>Crédito IAA</t>
  </si>
  <si>
    <t>Desapropriação em Curitiba</t>
  </si>
  <si>
    <t>Thiago Maia</t>
  </si>
  <si>
    <t>Antonio Marques (Refix)</t>
  </si>
  <si>
    <t>Teve reuniao com o CEO no dia 19/09 e está buscando as infos</t>
  </si>
  <si>
    <t>Vamos negar, tese IAA</t>
  </si>
  <si>
    <t>IUGU</t>
  </si>
  <si>
    <t>Não mandamos proposta</t>
  </si>
  <si>
    <t>Valores pequenos</t>
  </si>
  <si>
    <t>Risco de fraude devido a cf de recebiveis pouco antes da RJ</t>
  </si>
  <si>
    <t>Grupo de Ensino</t>
  </si>
  <si>
    <t>Transportes</t>
  </si>
  <si>
    <t>Fibra Óptica</t>
  </si>
  <si>
    <t>Papel e Celulose</t>
  </si>
  <si>
    <t>Automotivo</t>
  </si>
  <si>
    <t>Fintech</t>
  </si>
  <si>
    <t>Real Estate</t>
  </si>
  <si>
    <t>Em análise das matrículas</t>
  </si>
  <si>
    <t>Proposta enviada</t>
  </si>
  <si>
    <t>NDA pendente de assinatura</t>
  </si>
  <si>
    <t>Kimberlite</t>
  </si>
  <si>
    <t>JFL Living</t>
  </si>
  <si>
    <t>BDG Incorporadora</t>
  </si>
  <si>
    <t>Incorporadora</t>
  </si>
  <si>
    <t>Casos analisados desde Agosto 2025</t>
  </si>
  <si>
    <t>Instituiçao SP x Cyrela</t>
  </si>
  <si>
    <t>Em análise das arbitragens</t>
  </si>
  <si>
    <t>Aguardando nova reuniao</t>
  </si>
  <si>
    <t xml:space="preserve">Aguardando devolutiva da cia com as propostas que receberam e tambem o % do kicker </t>
  </si>
  <si>
    <t>Aguardando Cia sobre renegociação de prazos do PRJ</t>
  </si>
  <si>
    <t>Familia Levinsohn - ITCMD</t>
  </si>
  <si>
    <t>Aguardando resolução da transação tributária</t>
  </si>
  <si>
    <t>Aguardando retorno da proposta</t>
  </si>
  <si>
    <t>Aguardando novo laudo contábil</t>
  </si>
  <si>
    <t>TS pendente de assinatura do Patria (sinalização positiva)</t>
  </si>
  <si>
    <t>Aquisição de Empresa</t>
  </si>
  <si>
    <t>Verdeau</t>
  </si>
  <si>
    <t>Usina Ory em operação estruturada para captação de R$ 100 milhões, combinada à alienação de participação acionária.</t>
  </si>
  <si>
    <t>Braskem</t>
  </si>
  <si>
    <t>Raizen e Blueway</t>
  </si>
  <si>
    <t>RPC Par</t>
  </si>
  <si>
    <t>A Raízen contratou a RPC Par Ltda. como assessor financeiro e o Loria Advogados como assessor jurídico para apoiar a Companhia na monetização de seu portfólio de ativos tributários</t>
  </si>
  <si>
    <t xml:space="preserve">Focus </t>
  </si>
  <si>
    <t>06/10 - Fizemos a proposta para o Enio, aguardando retorno</t>
  </si>
  <si>
    <t>Renamar x Fazenda do Estado de SP</t>
  </si>
  <si>
    <t>Muller e Chebatt</t>
  </si>
  <si>
    <t>Pré-precatório Estado</t>
  </si>
  <si>
    <t>Trata-se de ação de desapropriação promovida pela Fazenda do Estado de São Paulo em face da Imobiliária Renamar Ltda, visando a incorporação de área de 43.660 m² localizada na Ilha do Ameixal, município de Peruíbe/SP, declarada de utilidade pública por decreto estadual.</t>
  </si>
  <si>
    <t>Pré-precatório Federal</t>
  </si>
  <si>
    <t>Usina Santa Therezinha x União Federal</t>
  </si>
  <si>
    <t xml:space="preserve">A ação é movida pela Usina Santa Therezinha S.A. contra a União Federal. O processo discute a indenização por danos sofridos em razão da intervenção judicial que administrou a usina sob regime de usufruto entre 1984 e 1994. A ação principal foi julgada procedente e já transitou em julgado, determinando a liquidação de sentença por arbitramento. 
Em laudo pericial apresentado em 23/01/2024, os prejuízos foram apurados em aproximadamente R$ 486.000.000,00 (quatrocentos e oitenta e seis milhões de reais), contemplando danos emergentes, lucros cessantes, reavaliação de ativos, perdas decorrentes de alienações sem prestação de contas e avaliação de ativos biológicos e propriedades rurais. A União impugnou o laudo.  </t>
  </si>
  <si>
    <t>Indústria Pizzato</t>
  </si>
  <si>
    <t>Thiago T/ JGP FA</t>
  </si>
  <si>
    <t>Alagoas ainda sem acórdão, vai demorar para recebimento</t>
  </si>
  <si>
    <t>MCMV, não tem fit com o fundo</t>
  </si>
  <si>
    <t>20/08 - Aguardando infos adicionais
01/09 - Recebemos as infos, em analise
06/10 - Vamos negar, ainda há mta discussão pendente, sem prazo</t>
  </si>
  <si>
    <t>Vamos negar, ainda há mta discussão pendente, sem prazo</t>
  </si>
  <si>
    <t>RJ em status incial e pouco ativo</t>
  </si>
  <si>
    <t>Empresa com dificuldade de caixa, iam dar imoveis de igreja em garantia</t>
  </si>
  <si>
    <t>Riomar</t>
  </si>
  <si>
    <t>06/10 - Broker ficou de entender se tem ativos para colocar em garantia</t>
  </si>
  <si>
    <t>Precatório ZPN Produções x São Luis</t>
  </si>
  <si>
    <t>Nome</t>
  </si>
  <si>
    <t>Projeto Nimbus</t>
  </si>
  <si>
    <t>Tirar</t>
  </si>
  <si>
    <t>Tirar e Sem espaço para empresa não auditada no book de HY</t>
  </si>
  <si>
    <t>Usina Ory (Etanol de Milho)</t>
  </si>
  <si>
    <t>Aprofundar</t>
  </si>
  <si>
    <t>mandar a reportagem</t>
  </si>
  <si>
    <t>Valuation Partners</t>
  </si>
  <si>
    <t>Biofertilizantes, pedindo dinheiro novo, pode ficar bom se tiver possibilidade de comprar bancos</t>
  </si>
  <si>
    <t>Falar com Carlos Watanabe (Valuation)</t>
  </si>
  <si>
    <t>BRAM</t>
  </si>
  <si>
    <t>Empresa com dificuldade de caixa, mto alavancada</t>
  </si>
  <si>
    <t>Projeto Endurance</t>
  </si>
  <si>
    <t xml:space="preserve">Artica </t>
  </si>
  <si>
    <t>Empresa de logistica</t>
  </si>
  <si>
    <t>Custo da divida baixo e pouca garantia, ainda operacional</t>
  </si>
  <si>
    <t>Financiamento para compra de novos gados</t>
  </si>
  <si>
    <t>Compramos R$ 2.6m (2% do fundo III) @37%PAR</t>
  </si>
  <si>
    <t>Operaçao sem fit com o fundo</t>
  </si>
  <si>
    <t>09/10 - Baixo faturamento e financiamento de obra, garantia operacional</t>
  </si>
  <si>
    <t>Baixo faturamento e financiamento de obra, garantia operacional</t>
  </si>
  <si>
    <t>Valetão Pneus</t>
  </si>
  <si>
    <t>Patria optou por não seguir com a operaçao. Devem levantar fundos via venda de ativos</t>
  </si>
  <si>
    <t>Precatórios Nova Rio</t>
  </si>
  <si>
    <t>Precatórios Federal</t>
  </si>
  <si>
    <t>Precatórios federais com desagio prox de 35%, analisar</t>
  </si>
  <si>
    <t>Tomé Carlos x  Instituto Chico Mendes (ICMBio)</t>
  </si>
  <si>
    <t>O autor alegou perda total da posse e da utilização econômica das propriedades, requerendo indenização integral. A perícia judicial confirmou a impossibilidade de uso produtivo da área e fixou o valor da indenização em R$ 7.508.886,18, atualizado e acrescido de juros.
Em 1ª instância foi julgado procedente o pedido, condenando o ICMBio ao pagamento da indenização. O TRF1 manteve integralmente a sentença. O ICMBio interpôs Recurso Especial e Agravos ao STJ, todos negados, culminando com o trânsito em julgado em 20/12/2024.
Na fase de cumprimento de sentença, o autor apresentou planilha atualizada em R$ 13.030.902,11. O ICMBio impugnou os cálculos, alegando excesso de execução de R$ 721.216,44, reconhecendo como devido R$ 12.386.496,33.</t>
  </si>
  <si>
    <t>Operaçao com pouca garantia</t>
  </si>
  <si>
    <t>Sale leaseback de uma fábrica do setor de cordas. faturamento 80MM possuem dois imóveis com avaliação total de 100MM, os imóveis estão alienados em uma dívida fiscal (estimam que com 20MM quitam esta dívida) o fluxo de caixa é mais apertado, querem estruturar uma operação de SLB para livrar os imóveis</t>
  </si>
  <si>
    <t>nao tem outros imoveis que nao operacional pra  colocar na operaçao</t>
  </si>
  <si>
    <t>Tinguá</t>
  </si>
  <si>
    <t>Stefano Celano</t>
  </si>
  <si>
    <t>Crédito para renovação da frota de empresa de onibus</t>
  </si>
  <si>
    <t>Cremona Capital</t>
  </si>
  <si>
    <t>Financiamento para consórcio</t>
  </si>
  <si>
    <t>13/10 - Vamos conversar com a Jive etc para entender melhor risco da operação
Background check</t>
  </si>
  <si>
    <t>01/09 - Mandamos a sensibilidade de preço para o Guilherme (EMS). Aguardando a resposta
06/10 - Vamos falar com o Phil, possivelmente teremos reuniao essa semana
13/10 - Aguardando retorno do Phil</t>
  </si>
  <si>
    <t>Laudo anulado, prazo elevado e preço com pouco deságio</t>
  </si>
  <si>
    <t>13/10 - Vamos aguardar as informações</t>
  </si>
  <si>
    <t xml:space="preserve">13/10 - Fizemos um call, nao parece bom, pode ter uma saida via acordo </t>
  </si>
  <si>
    <t>Consórcio</t>
  </si>
  <si>
    <t>Proposta indicativa enviada</t>
  </si>
  <si>
    <t>Concluído. Investimos R$ 2.6m (2% do fundo) @37%PAR</t>
  </si>
  <si>
    <t>Pendente do envio de informações</t>
  </si>
  <si>
    <t>Operação enviada para High Yield</t>
  </si>
  <si>
    <t>Figueirense</t>
  </si>
  <si>
    <t>Logistica</t>
  </si>
  <si>
    <t>Entendendo o background dos originadores</t>
  </si>
  <si>
    <t>Em análise da RJ</t>
  </si>
  <si>
    <t>Estamos preparando proposta indicativa</t>
  </si>
  <si>
    <t xml:space="preserve">Sem devolutiva da cia com as propostas que receberam e tambem o % do kicker </t>
  </si>
  <si>
    <t>Nao tem imoveis que nao operacional pra  colocar na operaçao</t>
  </si>
  <si>
    <t>Garantias de Tenure, Tercio e Ambipar</t>
  </si>
  <si>
    <t>Vão buscar outras formas de financiamento</t>
  </si>
  <si>
    <t>Pendente de resposta da EQI sobre a distribuição do fundo</t>
  </si>
  <si>
    <t>Casos analisados desde Setembro 2025</t>
  </si>
  <si>
    <t>Proposta Enviada</t>
  </si>
  <si>
    <t>Precatório Federal Nova Rio</t>
  </si>
  <si>
    <t xml:space="preserve">Em negociação de outros ativos </t>
  </si>
  <si>
    <t>Precatório Difusao Cultural Trindade x Estado RS</t>
  </si>
  <si>
    <t>Papelex</t>
  </si>
  <si>
    <t>Enseada</t>
  </si>
  <si>
    <t>Sem espaço no book de High Yield</t>
  </si>
  <si>
    <t>Sanes</t>
  </si>
  <si>
    <t>Aguardando Informação</t>
  </si>
  <si>
    <t>Elba Equipamentos e Serviços</t>
  </si>
  <si>
    <t>Elba Equipamentos</t>
  </si>
  <si>
    <t>KCB</t>
  </si>
  <si>
    <t>O processo não estava sendo bem conduzido, risco de licitação da Prodesp</t>
  </si>
  <si>
    <t>Tese pis cofins e tese de 2bi</t>
  </si>
  <si>
    <t>Enviamos para análise de HY</t>
  </si>
  <si>
    <t>Representante de pneu buscando DIP de R$ 2m e compra de NPL de R$1,5m.
Acionistas tem imoveis pessoais disponivel para garantia</t>
  </si>
  <si>
    <t>Aluguel de equipamento, vamos olhar. Não ta em RJ, querem R$ 30m</t>
  </si>
  <si>
    <t>20/10 - Vamos pedir para adicionar o IR do cara como garantia</t>
  </si>
  <si>
    <t>Fernando Piton</t>
  </si>
  <si>
    <t>Industria de feijao, classe C e D. RJ de 80m e tem 80m em ativo</t>
  </si>
  <si>
    <t>20/10 - Esperar DFs 2025</t>
  </si>
  <si>
    <t>Grupo DTW</t>
  </si>
  <si>
    <t>meza 20% a.a + 20% kicker</t>
  </si>
  <si>
    <t>Venderam os precas</t>
  </si>
  <si>
    <t>Prontobaby x Unimed Ferj</t>
  </si>
  <si>
    <t>Allievo x Motu</t>
  </si>
  <si>
    <t>ODB x DNER</t>
  </si>
  <si>
    <t>26/08 - enviaram as infos das fazendas
01/09 - Vamos olhar as matriculas
22/09 - A&amp;M pediu para colocarmos proposta indicativa
06/10 - Vamos falar com o Guilherme da EMs
06/10 - Dificil de achar taxa atrativa aqui
27/10 - A&amp;M disse que so deve retornar em novembro</t>
  </si>
  <si>
    <t>27/10 - Estudar o caso</t>
  </si>
  <si>
    <t>Estariamos condicionados a uma venda da companhia</t>
  </si>
  <si>
    <t>13/10 - Vamos falar com a Julia para entender melhor as margens de usina de etanol de milho
27/10 - Vamos negar pelo fato deles estarem rampando a operaçao mas vamos oferecer para Spectra</t>
  </si>
  <si>
    <t>27/10 - Ligar pra connectas antes de precifar</t>
  </si>
  <si>
    <t>Vamos recusar, garantias operacionais</t>
  </si>
  <si>
    <t>27/10 - mandar email (com confirmaçao de leitura)</t>
  </si>
  <si>
    <t>Produtores rural, pouca garantia e taxa baixa</t>
  </si>
  <si>
    <t>- nota comercial dando as ações em garantia
- ⁠querem comprar captable  - ⁠5 a 6 anos de prazo - ⁠volume usd 30m 
- ⁠ir de 300m de liquidez no ir do do Rubens  - ⁠Rubens tem 30% de ações 
- ⁠Rubens zanelato founder  - ⁠tão discutindo valuation pra compra dessas ações 
- ⁠tem ts na mesa e querem arbitrar</t>
  </si>
  <si>
    <t>Credito contra Danone</t>
  </si>
  <si>
    <t>Silvério Advogados</t>
  </si>
  <si>
    <t>Mahle x Eletrobras</t>
  </si>
  <si>
    <t>03/11 - Aguardando explicação do laudo</t>
  </si>
  <si>
    <t>O problema continua sendo risco de equity e amortizaçao somente no final</t>
  </si>
  <si>
    <t>Agrícola São João</t>
  </si>
  <si>
    <t>Fast Shop</t>
  </si>
  <si>
    <t xml:space="preserve">YSSY </t>
  </si>
  <si>
    <t>A YSSY (www.novayssy.com.br) é uma empresa de tecnologia adquirida pelo nosso family office, liderado por Gabriel Freire (atual CEO e controlador da AZEV3, AZTE3 e outras companhias de capital fechado), atualmente em fase de expansão. Nosso objetivo é captar entre R$ 4 e 5 milhões, e estamos abertos a discutir a estrutura que fizer mais sentido pelo lado de vocês</t>
  </si>
  <si>
    <t>Metodista</t>
  </si>
  <si>
    <t>03/11 - Vamos mandar a proposta</t>
  </si>
  <si>
    <t>Valor da causa incompativel com jurisprudencia</t>
  </si>
  <si>
    <t>PF x Optrel</t>
  </si>
  <si>
    <t>Westing</t>
  </si>
  <si>
    <t>Espólio de Athos e Angelys</t>
  </si>
  <si>
    <t>De luca</t>
  </si>
  <si>
    <t>Engenhão (ODB)</t>
  </si>
  <si>
    <t>Precatorio do DF como garantia, fila atrasada</t>
  </si>
  <si>
    <t>01/09 - A dificuldade pode ser prazo, com precatorios na frente em suspensão administrativa
22/09 - Vamos sensibilizar o prazo
06/10 - Vamos perguntar se ainda está vendendo
10/11 - Voltou pra mesa</t>
  </si>
  <si>
    <t>10/11 - Tivemos uma reunião com a Hayden, o pacote de garantias já está enfraquecido.</t>
  </si>
  <si>
    <t>Uniao poderia revisitar a decisão transitada em julgado do indice de correçao (ipca+12%aa), o que prejudicaria nosso retorno</t>
  </si>
  <si>
    <t>10/11 - Vao enviar as datas de competencia das notas</t>
  </si>
  <si>
    <t>Crefisa</t>
  </si>
  <si>
    <t>Neowise</t>
  </si>
  <si>
    <t xml:space="preserve">Fundo </t>
  </si>
  <si>
    <t>05/11 - tivemos reunião em SP</t>
  </si>
  <si>
    <t>A tese do FIDC é fazer 70% do PL dessa tese de RPV ate 60 Salarios Minimos e 30% de precatório até 100 salários.
Revolvencia rápida!
Com ofício expedido em RPV o prazo é de 60 dias para pagamento, 100% transito em julgado.
Rentabilidade na senior cdi+8 e com possibilidade de entrar na sub se a proposta for firme sem melhores esforços.</t>
  </si>
  <si>
    <t>FIDC Antecipei</t>
  </si>
  <si>
    <t>Difal Elfa</t>
  </si>
  <si>
    <t>Pátria</t>
  </si>
  <si>
    <t>Antecipação do DIFAL II, tem aprox 92m depositados, sem correção</t>
  </si>
  <si>
    <t>Hospital Psiquiatrico Espirita Cairbar x União</t>
  </si>
  <si>
    <t>Venda de ativo</t>
  </si>
  <si>
    <t>Venda de UPI da Usina Itapira</t>
  </si>
  <si>
    <t>Makalu Partners</t>
  </si>
  <si>
    <t xml:space="preserve">Processo Competitivo de Venda das UPIs ('Processo de Venda') do Grupo Virgolino de Oliveira ('GVO' ou 'Grupo'), </t>
  </si>
  <si>
    <t>Focus Partners</t>
  </si>
  <si>
    <t>Openeem - Empresa de Biodefensivo</t>
  </si>
  <si>
    <t>Estamos atuando com uma empresa do agronegócio que atua na produção de biodefensivos com base botânica no Brasil que precisa de um investimento via dívida estruturada para continuidade dos negócios. 
Atualmente o setor vem passando por uma situação de necessidade de capital e o nosso cliente necessita de uma linha de dívida estruturada para alongamento de dívidas e equalização de capital de giro. O nosso cliente possui balanço auditado e a necessidade de capital dele é de R$ 30/40 MM e possuem garantias para apresentar para o investidor</t>
  </si>
  <si>
    <t>O Sr.  Renato Ribeiro constituiu uma empresa significativa aqui no RS, transferiu a mesma para os EUA (www.incobrasa.com)
Além disto adquiriu uma enorme quantidade de imóveis, fazendas e uma empresa de comunicação (correio do povo, vendeu para Record) o mesmo teve 4 filhos (2 homens e 2 mulheres) contudo veio a se separar anos mais tarde.
Na separação, uma das filhas ficou ao lado da mãe, e com isso ele começou a buscar alternativas para diminuir a herança da mesma.
No processo em si, ele efetuou um aumento de capital de forma desproporcional desta empresa mãe que possuem, entre os herdeiros e posterior ele faleceu….
Esta desproporção diminuiu a autora da ação…. E a mesma obteve ganho de causa neste quesito e está em fase de liquidação de sentença.
Ela tem peritos que atestam um prejuízo maior de 140mm (valor que está sendo corrigido a igpm +1 a.m) em favor dela, os irmãos buscaram um acordo  e ela não aceitou….. atualmente foi designado a Delloite para uma perícia judicial nesta liquidação da parte incontroversa.
Entendo que seguirá o processo com outros pedidos da autora….</t>
  </si>
  <si>
    <t>Incobrasa</t>
  </si>
  <si>
    <t>Grupo Nova Ebenézer</t>
  </si>
  <si>
    <t>Conforme nos falamos, segue as informações da demanda pra uma operação de CRA para a Fazenda Santa Fé do Pedro Merola. Eles estão demandando uma operação de R$ 70MM, em que parte desse valor será para rolar a dívida de outro CRA (R$ 50MM) e os outros R$ 20MM serão para capital de giro das fazendas</t>
  </si>
  <si>
    <t>Fazenda Santa Fé</t>
  </si>
  <si>
    <t>20/10 - Aguardando envio de informaçoes
03/11 - Pre precatorio de R$ 77m, vamos olhar
17/11 - Possuem um claim de R$ 25m contra a uniao e outra de R$ 50m</t>
  </si>
  <si>
    <t>17/11 - Falaram com Tellechea, ele vai analisar o processo</t>
  </si>
  <si>
    <t>Credito com mtas cessões</t>
  </si>
  <si>
    <t>03/11 - Vamos analisar risco de crédito da Racional
17/11 - Claim é em um valor alto (R$100m) para o PL da Cia (R$ 100m)</t>
  </si>
  <si>
    <t>Claim é em um valor alto (R$100m) para o PL da Cia (R$ 100m)</t>
  </si>
  <si>
    <t>17/11 - Produto com pouca escala
17/11 - Vamos marcar um call na semana q vem</t>
  </si>
  <si>
    <t>Venda da usina, não faz sentido</t>
  </si>
  <si>
    <t>PDG</t>
  </si>
  <si>
    <t>NPLs com AF de empreendimentos, precisam destravar as garantias</t>
  </si>
  <si>
    <t>Marcelo Napolitano</t>
  </si>
  <si>
    <t>11/17 - Vamos olhar os juros compensatórios, o valor pode ser menor</t>
  </si>
  <si>
    <t>Consórcio Almeida Prado x União</t>
  </si>
  <si>
    <t>Unipar x Petrobras</t>
  </si>
  <si>
    <t>Alex Giglio</t>
  </si>
  <si>
    <t>Créditos ODB - VLT</t>
  </si>
  <si>
    <t>Carteira de Precatórios - Estre Ambiental</t>
  </si>
  <si>
    <t>Produza</t>
  </si>
  <si>
    <t>Remora Capital</t>
  </si>
  <si>
    <t>Manufatura para plata eletronica. Faturamento de 40m, ebitda de 3m (+7%mg). Endividamento atual de 10m,querem ~20m pra alongar a dívida e pegar Kgiro. Garantia seriam os contratos</t>
  </si>
  <si>
    <t>24/11 - Enviaram as informações, porém ja avisei que as garantias não seriam as melhores. Vamos analisar, pendente de validaçao das margens</t>
  </si>
  <si>
    <t>DMC Energy x  Estado de SP</t>
  </si>
  <si>
    <t>Encaminho em anexo o parecer processual referente ao crédito da DMC Energy Intermediações e Negócios S.A., oriundo do processo nº 0700502-54.1973.8.26.0547, da 1ª Vara Cível de Santa Rita do Passa Quatro/SP, em face da Fazenda Pública do Estado de São Paulo.
Apesar de o parecer utilizar a expressão “precatório”, o crédito ainda é classificado tecnicamente como um direito creditório, pois a expedição do precatório está prevista somente para fevereiro. Importante destacar que o valor já se encontra depositado, e o montante homologado é de R$ 83.141.267,91, conforme cálculo oficial anexado.</t>
  </si>
  <si>
    <t>24/11 - Em análise</t>
  </si>
  <si>
    <t>Dessana Emerald</t>
  </si>
  <si>
    <t xml:space="preserve">Northstone </t>
  </si>
  <si>
    <t>A Northstone foi contratada pela Dessana Emerald Co. para captar até BRL 55 mn com prazo de 3 anos por meio de uma estrutura de debêntures simples ou conversíveis. A Dessana é uma empresa de mineração que detém a maior esmeralda bruta já encontrada no mundo, com mais de 500 kg e avaliada entre USD 650 mn e USD 1 bn pelo GIA</t>
  </si>
  <si>
    <t>Felippe Lo Bianco</t>
  </si>
  <si>
    <t>Empresa de Cerâmica (Artec)</t>
  </si>
  <si>
    <t>Empresa de Cerâmica no interior de SP (Cordeirópolis).
Captaram um DIP em maio, saldo devedor de 8M
Gostariam de captar R$ 15m. 
Como garantia tem uma fabrica que não esta em RJ e o maquinário tb. Itaporanga (outra empresa) e imóvel da familia. Existe contrato de locação entre itaporanga e Artec</t>
  </si>
  <si>
    <t>Precatório Rio Claro</t>
  </si>
  <si>
    <t>24/11 - Aguardando resposta da proposta</t>
  </si>
  <si>
    <t>Falência</t>
  </si>
  <si>
    <t>Emparsanco S/A</t>
  </si>
  <si>
    <t>18IB</t>
  </si>
  <si>
    <t>A Emparsanco possui um patrimônio estimado em R$ 1,24 bilhão, composto por imóveis estratégicos (R$ 670 milhões) e direitos creditórios, incluindo precatórios municipais (R$ 571 milhões). O passivo total declarado é de R$ 1,09 bilhão, distribuído entre créditos trabalhistas (R$ 27 milhões), quirografários (R$ 415 milhões) e tributários (R$ 651 milhões).</t>
  </si>
  <si>
    <t>BJ Grupo</t>
  </si>
  <si>
    <t>Sabrina Juliane</t>
  </si>
  <si>
    <t>BB e Occam vao fazer o fundo</t>
  </si>
  <si>
    <t>Problema com a capacidade de pagamento da unimed ferj</t>
  </si>
  <si>
    <t>Sergio de Carvalho</t>
  </si>
  <si>
    <t>Comprar cota de fundo e RPV</t>
  </si>
  <si>
    <t>17/11 - Vamos falar com a Gabi para entender melhor da Empresa
24/11 - Fizemos reuniao em SP, faturamento de R$ 30m, querem captar R$30m</t>
  </si>
  <si>
    <t>Divino Rosa e Neuda Rosa são produtores rurais e sócios proprietários do Grupo Nova Ebenézer, com sede em Itaberaí (GO).
O Grupo começou suas atividade em 2007 e atualmente opera 29  fazendas no total em uma área produtiva de 15.000 HA, cultivando soja, milho, feijão e também operando no segmento de avicultura de maneira integrada para o Grupo SUPERFRANGO. 
R$ 200m para comprar crédito de alguns bancos</t>
  </si>
  <si>
    <t>Ativo operacional em garantia</t>
  </si>
  <si>
    <t>Estado de SP</t>
  </si>
  <si>
    <t>Menauro Informática x SP</t>
  </si>
  <si>
    <t>Ubiratan Mattos</t>
  </si>
  <si>
    <t>Atrasado na fila</t>
  </si>
  <si>
    <t>24/11 - Vamos fazer um call dia 25/11 ou 26/11
01/12 - Fizemos um call com eles, querem USD 10M</t>
  </si>
  <si>
    <t>24/11 - Agendando reunião e material
01/12 - Recebemos material</t>
  </si>
  <si>
    <t>Possuem ponsot de combustivel e distribuidora. RJ de 64m, possuem alguns imóveis para dar como garantia.Em RJ são 13 cnpjs</t>
  </si>
  <si>
    <t>24/11 - Agendando reunião
01/12 - Vão mandar informaçoes</t>
  </si>
  <si>
    <t>Não olhamos essa tese</t>
  </si>
  <si>
    <t>Herstel Participações</t>
  </si>
  <si>
    <t>04/07 - Informações enviadas, data limite do leilao 01/08
21/07 - BV e ABC tb manifestaram interesse na cessão dos créditos
28/07 - Vamos tentar falar com a G5
13/08 - Pendente do envio de informações (pendente de negociação com o BB)
20/08 - Enviaram as infos, call 22/08
01/09 - Cobramos as infos das arbitragens, NDA ja assinado
22/09 - Call sobre as arbitragens
06/10 - Vamos falar com o Mauro
13/10 - Enviar o backlog e a lista de ativos atualizados
01/12 - Vamos esperar a contraproposta
01/12 - Vamos entrar em contato com o BOFA</t>
  </si>
  <si>
    <t>01/12 - Vamos analisar</t>
  </si>
  <si>
    <t>Atualmente se financiando a uma taxa bem mais baixa que a nossa</t>
  </si>
  <si>
    <t>CI Banco</t>
  </si>
  <si>
    <t>Ricardo Quass (Souto Correa)</t>
  </si>
  <si>
    <t>Gás Verde</t>
  </si>
  <si>
    <t>Valmont x Pivo</t>
  </si>
  <si>
    <t>Leonardo Duque</t>
  </si>
  <si>
    <t>Inea</t>
  </si>
  <si>
    <t>Kozma x Campina</t>
  </si>
  <si>
    <t>Carteira da Petrobras - NPL</t>
  </si>
  <si>
    <t xml:space="preserve">EY </t>
  </si>
  <si>
    <t>Mave</t>
  </si>
  <si>
    <t>Edital BNDES NPL</t>
  </si>
  <si>
    <t>BNDES</t>
  </si>
  <si>
    <t>10/11 - Enviaram NDA
17/11 - NDA assinado, temos conversa com a A&amp;M
08/12 - Falar com a Alvarez e com Fernanda</t>
  </si>
  <si>
    <t>Produto parece ruim, empresa sem ativo</t>
  </si>
  <si>
    <t>17/11 - Vamos analisar
08/12 - Vao verificar se concordam com nosso entendimento da Selic e vao nos voltar</t>
  </si>
  <si>
    <t>25/11 - Entender o ano de pagamento dos municipios
08/12 - Mandamos uma estimativa de preço, aguardando devolutiva do Turiano</t>
  </si>
  <si>
    <t>Oxe Energia</t>
  </si>
  <si>
    <t>Biomassa em Rondonia, empresa gera caixa mas estrutura de capital ruim. Tao vendendo posiçao na divida a 15% do par</t>
  </si>
  <si>
    <t>A Mave.br é uma empresa especializada em acessórios de segurança para cargas, comercializando os mais diversos implementos rodoviários, direcionados para amarração e elevação de cargas de caminhões, utilitários e motocicletas. R$ 20M, DI+8%</t>
  </si>
  <si>
    <t>15/12 - Enviamos proposta</t>
  </si>
  <si>
    <t>Apresentamos oportunidade referente ao cumprimento de sentença nº 1004693-29.2020.4.01.3400, movido por Full Comex em face da União Federal no valor de R$ 7.615.441,44, decorrente do reconhecimento da inexigibilidade da inclusão, na base de cálculo do IRPJ e da CSLL, dos créditos presumidos de ICMS, bem como do direito à compensação dos valores recolhidos indevidamente.
A União impugnou o cumprimento de sentença por ausência de documentos essenciais e requereu sua apresentação. Após a juntada, e diante da divergência entre os cálculos apresentados pelas partes, o juízo nomeou perito, que apurou o valor devido em R$ 3.379.739,70.
A Full Comex manifestou concordância com o laudo pericial e requereu a expedição do precatório. Atualmente, a União apresentou apontamentos adicionais sobre os cálculos do perito, ainda pendentes de apreciação pelo magistrado.</t>
  </si>
  <si>
    <t>Full Comex Trading x União</t>
  </si>
  <si>
    <t>Zemax</t>
  </si>
  <si>
    <t>Não ficariamos subordinado em garantia ao Santander</t>
  </si>
  <si>
    <t xml:space="preserve">RJ ainda não homologada </t>
  </si>
  <si>
    <t>Aprox. R$ 40m de valor de face</t>
  </si>
  <si>
    <t>03/11 - Aguardando informaçoes e acompanhando o acórdao
15/12 - Tributarista recomendou não olhar por agora, ainda mta incerteza. Ainda julgamento dos embargos de declaraçao e modulação do efeito (vai devolver ou não)</t>
  </si>
  <si>
    <t>Risco alto</t>
  </si>
  <si>
    <t>17/11 - Vamos tentar marcar reunião na semana que vem
24/11 - recebemos o material, vamos analisar
15/12 - Call 16/12 agendado</t>
  </si>
  <si>
    <t>11/17/2025 - Em análise
08/12 - Estamos aguardando reuniao
15/12 - Vao falar com os bancos para entender se tem negocio da venda dos creditos 30-35% par</t>
  </si>
  <si>
    <t>Mtas cessão</t>
  </si>
  <si>
    <t>15/12 - Estamos agendando o call</t>
  </si>
  <si>
    <t>Prazo longo de recebimento para o fundo</t>
  </si>
  <si>
    <t>15/12 - Em fase de agravo de instrumento, vamos ver se tem preço</t>
  </si>
  <si>
    <t>Aprovado em Comitê de High Yield</t>
  </si>
  <si>
    <t>Garantia Operacional</t>
  </si>
  <si>
    <t>Setor sem fit com o fundo</t>
  </si>
  <si>
    <t>Sem atualização sobre as garantias</t>
  </si>
  <si>
    <t>Sem visibilidade da aprovação do plano</t>
  </si>
  <si>
    <t>Ramp-up operacional robusto e pouca garantia</t>
  </si>
  <si>
    <t>Operação sem fit com o fundo</t>
  </si>
  <si>
    <t>Venda de Ativo</t>
  </si>
  <si>
    <t>Biodefensivo</t>
  </si>
  <si>
    <t>Etanol</t>
  </si>
  <si>
    <t>Combustível</t>
  </si>
  <si>
    <t>Aguardando bancos para entender se tem negocio da venda dos creditos 30-35% par</t>
  </si>
  <si>
    <t>Enviamos os documentos, aguardando resposta</t>
  </si>
  <si>
    <t>Proposta Indicativa enviada</t>
  </si>
  <si>
    <t>G5 em negociação com BOFA</t>
  </si>
  <si>
    <t>Aguardando Informações do Modelo</t>
  </si>
  <si>
    <t>Vamos enviar nossos dados</t>
  </si>
  <si>
    <t>Agendando reunião com a Companhia</t>
  </si>
  <si>
    <t>Julgamento de agravos e potencial garantia ainda travada</t>
  </si>
  <si>
    <t>Spread da proposta distante da nossa taxa</t>
  </si>
  <si>
    <t>Poucas garantias</t>
  </si>
  <si>
    <t>Sem aprovação da capacidade de pagamento</t>
  </si>
  <si>
    <t>RJ com poucas garantias</t>
  </si>
  <si>
    <t>Operaçao realizada com o BB</t>
  </si>
  <si>
    <t>Baixa capacidade de pagamento</t>
  </si>
  <si>
    <t>Comprar cota de fundo e RPV - sem fit com o fundo</t>
  </si>
  <si>
    <t>Empresa sem ativo</t>
  </si>
  <si>
    <t>Casos analisados desde Outubro 2025</t>
  </si>
  <si>
    <t>Em análise, vamos precificar</t>
  </si>
  <si>
    <t>Aguardando reunião com o Serrano</t>
  </si>
  <si>
    <t>Estão verificando o entendimento da Selic</t>
  </si>
  <si>
    <t>Analisando o envio da proposta</t>
  </si>
  <si>
    <t>Em análise para High Yield</t>
  </si>
  <si>
    <t>Agendando reunião</t>
  </si>
  <si>
    <t>Acompanhar a reestruturação das Casas Bahia - venda @22%PAR</t>
  </si>
  <si>
    <t>Desembolso feito</t>
  </si>
  <si>
    <t>Clinica de Projetos x Estado do Maranhao</t>
  </si>
  <si>
    <t>V.tal x Riotrilhos</t>
  </si>
  <si>
    <t>Após a instauração do cumprimento de sentença, a Riotrilhos apresentou impugnação parcial aos cálculos apresentados pela V.tal  e apontou como devido o valor de R$ 13.045.846,60 (em 01.08.2023). Desse montante incontroverso, R$ 12.645.192,04 são de titularidade da V.tal e R$ 400.654,57 dos seus antigos patronos.</t>
  </si>
  <si>
    <t>Rumos Distribuidora</t>
  </si>
  <si>
    <t>Tauá Partners</t>
  </si>
  <si>
    <t>Estao trabalhando para levantar 30m; Devem rampar o ebitda qnd o terminal começa operar
Ganha em aluguel e tb no combustivel; Operaçao mais estruturada total seria 140m; Juros nos 12 meses e dps coloca amortizaçao, 3 anos total A familia esta disponibilizando 2 fazendas, 1 de +200m ; 9mil ha - ele ta com pecuária só; Tem 500m em credito tributario; Ja receberam 100m de ressarcimento trib (pis,cofins); Acha que ano que vem recebe mais 100m</t>
  </si>
  <si>
    <t>Rede Alfa</t>
  </si>
  <si>
    <t>CRO e Energisa</t>
  </si>
  <si>
    <t>Maneira Advogados</t>
  </si>
  <si>
    <t xml:space="preserve"> O mérito da disputa foi resolvido num leading case pelo Plenário do STF (Embargos de Divergência no RE 889.095/RJ) de modo favorável ao nosso cliente e, por isso, temos uma expectativa alta de obtermos uma sucumbência relevante. Se fixada em 10% (como foi na sentença) ela poderá ser (i) de R$ 129.127.125,38 (valor atualizado até julho/2025), caso calculada sobre o benefício econômico (cenário 1), ou (ii) de R$ 43.660.549,29, caso calculada sobre o valor da causa atualizado até julho/2025 (cenário 2)</t>
  </si>
  <si>
    <t>CWB Finance</t>
  </si>
  <si>
    <t>Não olhamos tese Anistia</t>
  </si>
  <si>
    <t>Jorge Almir x União</t>
  </si>
  <si>
    <t>Anistia João Batista x União</t>
  </si>
  <si>
    <t>01/07 - Vão mandar infos
12/08 - Enviaram as infos, arquivos salvos na pasta
13/08 - Em análise
20/08 - Vão enviar novas infos (arrendamentos, matriculas, fluxo de recebimento etc)
22/09 - Alongaram o stayperiod, vamos resolver lavoro antes
03/11 - Vamos marcar uma reuniao na quarta (05/11)
25/11 - Reunião com o CEO, estao mandando informações (modelo)
05/01 - A principio conseguiu outro dinheiro mais barato</t>
  </si>
  <si>
    <t>05/01 - Leilão suspenso por pelo menos 180 dias</t>
  </si>
  <si>
    <t>Precatorio atrasado na fila de pagamento</t>
  </si>
  <si>
    <t>05/01- Vamos ver se o processo andou, se nao tiver chance de expedir até 1o de fevereiro, vamos olhar</t>
  </si>
  <si>
    <t>Ativo negociado</t>
  </si>
  <si>
    <t>Casos Recebidos</t>
  </si>
  <si>
    <t>Casos Pre analisados</t>
  </si>
  <si>
    <t>Casos Aprofundados</t>
  </si>
  <si>
    <t>Propostas Enviadas</t>
  </si>
  <si>
    <t>Investimentos Realizados</t>
  </si>
  <si>
    <t>Empresários / Executivo</t>
  </si>
  <si>
    <t>De Para</t>
  </si>
  <si>
    <t>&gt; Infos Auxiliares</t>
  </si>
  <si>
    <t>Fernando Galvão</t>
  </si>
  <si>
    <t>BBM</t>
  </si>
  <si>
    <t>Ativo Liquido</t>
  </si>
  <si>
    <t>Cross sell</t>
  </si>
  <si>
    <t>&gt; Gráfico</t>
  </si>
  <si>
    <t>Tipo de Originador</t>
  </si>
  <si>
    <t>Machado Meyer</t>
  </si>
  <si>
    <t>Moelis</t>
  </si>
  <si>
    <t>Geribá Investimentos</t>
  </si>
  <si>
    <t>Galdino Advogados</t>
  </si>
  <si>
    <t>Stellar Capital</t>
  </si>
  <si>
    <t>Carlos Simão</t>
  </si>
  <si>
    <t>Barbara Cibele</t>
  </si>
  <si>
    <t>Guilherme EMS</t>
  </si>
  <si>
    <t>Paulo Maranesi</t>
  </si>
  <si>
    <t>Phi Capital / Global</t>
  </si>
  <si>
    <t xml:space="preserve">Danilo Caixeiro </t>
  </si>
  <si>
    <t>Fernando Ximenes</t>
  </si>
  <si>
    <t>Jus Precatórios</t>
  </si>
  <si>
    <t>Cross Sell</t>
  </si>
  <si>
    <t>Outfield</t>
  </si>
  <si>
    <t>Marcelo Sleiman</t>
  </si>
  <si>
    <t>Mauricio Fontoura</t>
  </si>
  <si>
    <t>year</t>
  </si>
  <si>
    <t>Casos Trazidos</t>
  </si>
  <si>
    <t>Tensift x Eletrobras</t>
  </si>
  <si>
    <t>A ação teve por objeto a aplicação dos índices integrais de correção monetária sobre os valores recolhidos a título de empréstimo compulsório sobre energia elétrica, referentes ao período de 1987 a 1993, com a consequente restituição da diferença apurada entre os critérios de atualização.
No início da fase de liquidação, a parte exequente apurou crédito no montante de R$ 8.270.353,49, enquanto a Eletrobras reconheceu o valor de R$ 1.560.152,78. Submetidos os cálculos à Contadoria Judicial, foi apurado o montante de R$ 2.779.971,10, com base em valores de novembro de 2024</t>
  </si>
  <si>
    <t>Pré- Precatório Federal de Desapropriação, valor da indenização R$ 11.5m</t>
  </si>
  <si>
    <t>Fazenda Reserva x União</t>
  </si>
  <si>
    <t>Maranhão Card</t>
  </si>
  <si>
    <t>Archx Capital</t>
  </si>
  <si>
    <t>É uma operação de funding recorrente de crédito consignado municipal, em que o investidor compra mensalmente carteiras já originadas pela Maranhão Card, a uma taxa de 2,8% ao mês, permitindo que a fintech libere capital e escale sua originação</t>
  </si>
  <si>
    <t>Thyssen Sudamérica x Consórcio de Seguradoras</t>
  </si>
  <si>
    <t>Sem resposta para a proposta enviada</t>
  </si>
  <si>
    <t>Chimera comprou parte do claim. Alem da ponta devedora ser a Crefisa</t>
  </si>
  <si>
    <t>Orientaçao do banco é consolidar as propriedades que estão em AF dos créditos.</t>
  </si>
  <si>
    <t>Pouca garantia</t>
  </si>
  <si>
    <t>Retorno limitado</t>
  </si>
  <si>
    <t>01/12 - Vamos acompanhar a evoluçao da reestruturaçao da Casas Bahia</t>
  </si>
  <si>
    <t>Sem ingerencia na reestruturação, sem visibilidade dos numeros futuros da cia</t>
  </si>
  <si>
    <t>19/01 - Esperando resposta do time CVPM, sobre a proposta de um moic minimo da operaçao (a principio em 90 dias) de 1.5x e aguardando confirmação da fiança do BBM</t>
  </si>
  <si>
    <t>Progen</t>
  </si>
  <si>
    <t>venderam a UPI por R$ 620 M, querem bridge até o closing da operação, por volta de 50M, desses 620m aproximadamente 400 seriam para pagar credores apoiadores e 220m para a cia.</t>
  </si>
  <si>
    <t>Exon Partners</t>
  </si>
  <si>
    <t>Desen. Imob. BH - Largo Piaui - RKM Engenharia</t>
  </si>
  <si>
    <t>Estrutura Atual
	• O projeto foi originalmente estruturado via permuta física, com o permutante recebendo aproximadamente metade das unidades.
	• O construtor/incorporador ficou descapitalizado ao longo da execução e não possui recursos para retomar e concluir a obra.
	• A obra encontra-se paralisada, apesar de estar em estágio avançado.
	• O permutante já combinou de destituir o atual incorporador/construtor, assumindo o controle do projeto.
	• Busca-se um novo parceiro financeiro e operacional para:
		○ Retomar a obra;
		○ Concluir o empreendimento em regime pari passu;
		○ Participar do upside da primeira etapa de vendas.
Estrutura Econômica Proposta (High Level)
	• Substituição do incorporador/construtor atual.
	• Entrada de novo parceiro (investidor) para:
		○ Aporte de capital para conclusão da obra;
		○ Estruturação financeira e comercial do projeto.
	• Conclusão da obra financiada pari passu entre os novos detentores das unidades.
	• Custo marginal estimado de conclusão: ~R$ 5.000/m² (área útil).
	• Preço esperado de venda: R$ 20.000 – R$ 25.000/m².
	• Participação do investidor no upside da primeira fase de vendas, reduzindo risco de liquidez e encurtando ciclo de retorno.</t>
  </si>
  <si>
    <t>Otavio Vicente x Banco do Brasil</t>
  </si>
  <si>
    <t>Beam Capital / Almeida Mota</t>
  </si>
  <si>
    <t>Parceiro comercial pouco confiavel</t>
  </si>
  <si>
    <t>Laticineos Regina</t>
  </si>
  <si>
    <t>Muylaerte - Broker amigo do Romeiro trouxe a oportunidade</t>
  </si>
  <si>
    <t>FOM</t>
  </si>
  <si>
    <t>R$ 40M em dívida de RJ</t>
  </si>
  <si>
    <t>Aguardando mais informaçoes do broker</t>
  </si>
  <si>
    <t>Emuná Capital</t>
  </si>
  <si>
    <t>Coteminas</t>
  </si>
  <si>
    <t>Pegaram dívida com ASA</t>
  </si>
  <si>
    <t>17/11 - Fizemos uma proposta e ele fez um contraproposta
24/11 - Vamos falar com os advogados Mota Fernandes em 15/12 
05/01 - Esperando Mota Fernandes
02/02 - Fazer os cálculos do claim com base em Selic</t>
  </si>
  <si>
    <t>02/12 - vamos marcar call com a PDG
08/12 - Ainda aguardando horario
05/01 - Vamos tentar um outro call para entender possiveis novas oportunidades
02/02 - Reunião marcada 03/02 às 15h.</t>
  </si>
  <si>
    <t>Setor esta em um momento ruim</t>
  </si>
  <si>
    <t>Clint</t>
  </si>
  <si>
    <t>A Clint Hub Serviços Digitais Ltda. opera no segmento de tecnologia para vendas e marketing digital, oferecendo um SaaS de CRM e automação que já ajudou mais de 4 000 empresas a profissionalizar funis de aquisição e relacionamento online . Dívida de 8M, ebitda em 2024 de R$5m</t>
  </si>
  <si>
    <t>02/02 - Pedi pra ver IR e aumentar taxa (1.9% am)</t>
  </si>
  <si>
    <t>Atma</t>
  </si>
  <si>
    <t>Prazo de 20 de feveiro - saldo em oferta R$ 33m</t>
  </si>
  <si>
    <t>Grupo Cosipar (Usipar)</t>
  </si>
  <si>
    <t>Prazo de 20 de feveiro - saldo em oferta R$ 1.5bi</t>
  </si>
  <si>
    <t>Crédito quirografário extraconcursal na ordem de R$150mm detido pela Vamos Locações de Caminhões, Máquinas e Equipamentos S.A., oriundo de empréstimo de ônibus para a companhia Viação Itapemirim S.A. </t>
  </si>
  <si>
    <t>Grupo Itapemirim (Falida) x Vamos Locação de Caminhões</t>
  </si>
  <si>
    <t>Wapping</t>
  </si>
  <si>
    <t>02/02 - Se a vega levar a empresa, vao ter o ativo, aguardar</t>
  </si>
  <si>
    <t>Adiantamento do Crédito ICMS Enel</t>
  </si>
  <si>
    <t>G5 Partners</t>
  </si>
  <si>
    <t>Oncomed</t>
  </si>
  <si>
    <t>Castropil</t>
  </si>
  <si>
    <t>Castropil atua há mais de 30 anos no mercado brasileiro como distribuidora especializada em embalagens industriais e comerciais, com foco no atendimento B2B. Desde a sua fundação, a empresa tem se consolidado como parceira estratégica de empresas de diversos segmentos, oferecendo soluções completas em embalagens que combinam qualidade, variedade e custo-benefício. R$ 7m de dívida com R$ 10m em garantia de imovel comercial e residencial</t>
  </si>
  <si>
    <t>Projeto Simon (Unigel)</t>
  </si>
  <si>
    <t>A operação está estimada em USD 60 milhões, com a seguinte destinação de recursos (use of proceeds):
- Conclusão das obras (CAPEX remanescente) e capital de giro inicial da Planta de Ácido Sulfúrico;
- CAPEX das Plantas de Estirênicos e Cianetos na Bahia;
- Capital de Giro para operação corrente.</t>
  </si>
  <si>
    <t>Carteira NPL - Santander</t>
  </si>
  <si>
    <t>AMARO</t>
  </si>
  <si>
    <t>Splice</t>
  </si>
  <si>
    <t>Gustavo Burgos</t>
  </si>
  <si>
    <t>Projeto Melissa (Renova)</t>
  </si>
  <si>
    <t xml:space="preserve">Bonus de subscriçao de 22%, compraria esse bonus, a ideia seria de R$ 120m, com pagamento em bullet ao final de x anos, podemos colocar um moic minimo e uma put pra gente em x ano num moic de Y. Teria garantias de cotas de um fii que possui um shopping dos acionistas </t>
  </si>
  <si>
    <t>170m em precatorios na carteira, quer 30m para comprar ativos, quando levantar o dinheiro vai pagar com juros</t>
  </si>
  <si>
    <t>Grupo de Militares da Aeronáutica em BH</t>
  </si>
  <si>
    <t>Mattos Engelberg Advogados</t>
  </si>
  <si>
    <t>Recebemos proposta de direitos creditórios no valor aproximado de R$ 70 milhões, disponíveis para venda com deságio de 40%, ou seja, 60% do valor de face.
Trata-se de crédito alimentar resultante de diferenças de soldo  pleiteadas por um grupo de militares da aeronáutica em Belo Horizonte que foram beneficiados com anistia política pelo Ministro da Justiça em 2003</t>
  </si>
  <si>
    <t>Daniel Levy</t>
  </si>
  <si>
    <t>Sem garantia e sem capacidade de pagamento</t>
  </si>
  <si>
    <t>Operação Crédito BB x Agro Goias</t>
  </si>
  <si>
    <t>Divida total é de 50m - com imoveis de valor de face de 18m e outro ainda não recebemos o laudo</t>
  </si>
  <si>
    <t>Bocom BBM</t>
  </si>
  <si>
    <t>Fiagro III</t>
  </si>
  <si>
    <t>BBM x JGP</t>
  </si>
  <si>
    <t>Arris Industria Eletronica x União</t>
  </si>
  <si>
    <t>TWL Advogados</t>
  </si>
  <si>
    <t>Tese de Assentados da reforma agrária</t>
  </si>
  <si>
    <t>Ambiental x Joinville</t>
  </si>
  <si>
    <t>Laticinios Bela Vista x Goias</t>
  </si>
  <si>
    <t>Valor Academy</t>
  </si>
  <si>
    <t>Poucas garantias e capacidade de pagamento</t>
  </si>
  <si>
    <t>Manuel Nunes Teixeira x Goias</t>
  </si>
  <si>
    <t>Alfredo AAI</t>
  </si>
  <si>
    <t>Ilumisol</t>
  </si>
  <si>
    <t>Equity</t>
  </si>
  <si>
    <t>Clear Aligner</t>
  </si>
  <si>
    <t xml:space="preserve">Devendo a Elisa Agro e dependendo do valor pago eles gostariam de repassar para alguma casa financeira essa cobrança. Valor de R$ 4,5m (arrendamento). Já executaram o cara. Deixou de pagar porque a safra quebrou e se irritou com Elisa. </t>
  </si>
  <si>
    <t>Valor que os suiços colocaram é mto baixo para resolver. Queriam 4,5m, ofereceram 500k</t>
  </si>
  <si>
    <t>Sem devolutiva e ativos pouco interessantes</t>
  </si>
  <si>
    <t xml:space="preserve">Foi expedido </t>
  </si>
  <si>
    <t>Pre precatorio e não há sinais de expedir o preca no RJ</t>
  </si>
  <si>
    <t>Diversas seguradoras de banco, nao faz sentido</t>
  </si>
  <si>
    <t>Vao seguir com o BBM</t>
  </si>
  <si>
    <t>Credito contra banco</t>
  </si>
  <si>
    <t>Marambaia</t>
  </si>
  <si>
    <t>Pre precatório Federal</t>
  </si>
  <si>
    <t>UTE Trombudo</t>
  </si>
  <si>
    <t>Luiz César Fernandes</t>
  </si>
  <si>
    <t>Martins Comércio e Serviço de Distribuição S/A</t>
  </si>
  <si>
    <t>Trata-se de Mandado de Segurança visando assegurar a manutenção da alíquota zero de PIS e COFINS sobre a comercialização de produtos de informática e smartphones até 31/12/2018, nos termos da Lei nº 11.196/2005, diante da revogação antecipada promovida pela MP nº 690/2015. R$ 68.7 de principal e R$ 38.3m de juros</t>
  </si>
  <si>
    <t>Construção de duas CGHs no rio Juína, em Comodoro (MT), com potência combinada de ~9,45 MW. A operação seria uma debênture de R$ 120 milhões, prazo de 15 anos e 12 meses de carência, com garantia no próprio ativo e no contrato de venda de energia. O CAPEX total do projeto é de cerca de R$ 140 milhões, com R$ 25 milhões já aportados pelos sócios, e início de conexão esperado entre 2026 e 2027.</t>
  </si>
  <si>
    <t>KV Energia SA</t>
  </si>
  <si>
    <t>TH Capital</t>
  </si>
  <si>
    <t>FIDC</t>
  </si>
  <si>
    <t>FIDC Azul</t>
  </si>
  <si>
    <t>Cravin Foods</t>
  </si>
  <si>
    <t>empresa processadora de carne, 130m de faturamento, precisa de kgiro e NPL do BB de 12m</t>
  </si>
  <si>
    <t>Santander Data Room Agro</t>
  </si>
  <si>
    <t>11/03 - Vamos falar amanha com o Pedro Motta</t>
  </si>
  <si>
    <t xml:space="preserve">Dependia da enel chance de caduicidade </t>
  </si>
  <si>
    <t>remuneraçao limitada em 4%</t>
  </si>
  <si>
    <t>risco de equity</t>
  </si>
  <si>
    <t>Carteira do Banco do Brasil</t>
  </si>
  <si>
    <t>Pedido alto</t>
  </si>
  <si>
    <t>11/03 - Estamos esperando o retorno de preço da JGP FA</t>
  </si>
  <si>
    <t>Risco de RJ do produtor rural</t>
  </si>
  <si>
    <t xml:space="preserve">11/03 - Demos a contraproposta </t>
  </si>
  <si>
    <t>Não entramos em risco de execuçao de MS</t>
  </si>
  <si>
    <t>Seemed</t>
  </si>
  <si>
    <t>familia de sp com mtos terrenos, tem um PL maior q a dívida (credor financeiro)</t>
  </si>
  <si>
    <t>Águas Lindas de Goiás</t>
  </si>
  <si>
    <t>Eduardo Ruhman</t>
  </si>
  <si>
    <t>Mazzotini Advogados</t>
  </si>
  <si>
    <t>Editora Peixes x Docas Investimento</t>
  </si>
  <si>
    <t>Trata-se de Cumprimento de Sentença tirado de Ação de Cobrança promovida em face da Editora Peixes e Editora Rickdan. Posteriormente, houve a instauração e o acolhimento do IDPJ para responsabilizar Docas Investimentos e Editora Rio.</t>
  </si>
  <si>
    <t>Matheus</t>
  </si>
  <si>
    <t>Vega perdeu o BID da compra da empresa</t>
  </si>
  <si>
    <t>11/03 - Otavio vai devolver se tem outro preço que aceitam
16/03 - Aguardando resposta das cooperativas para uma nova faixa de preço</t>
  </si>
  <si>
    <t>Vamos negar pelo fit com o fundo</t>
  </si>
  <si>
    <t xml:space="preserve">RJ sem ativos </t>
  </si>
  <si>
    <t>Empresa redonda, captando a DI+3%aa, sem fit pro fundo</t>
  </si>
  <si>
    <t>Sem fit pro fundo</t>
  </si>
  <si>
    <t>Não tem fit com o fundo</t>
  </si>
  <si>
    <t>Subordinado a divida do BTG, poucas garantias</t>
  </si>
  <si>
    <t>02/03 - Analisar relatorio de gestao
11/03 - Vamos discutir com a Gabi
16/03 - Esperar definição da captação</t>
  </si>
  <si>
    <t>IESA x Petrobras</t>
  </si>
  <si>
    <t>Sem resposta do cedente</t>
  </si>
  <si>
    <t xml:space="preserve">16/03 - 
</t>
  </si>
  <si>
    <t>Península</t>
  </si>
  <si>
    <t>Antecipação de recebível para maquinas de hospital publico. 8m para financiar, prazo curto 6meses a 1 ano</t>
  </si>
  <si>
    <t>16/03 - Dinheiro caro, FA vai entender a margem</t>
  </si>
  <si>
    <t>Taxa precisa ser alta dado o prazo curto</t>
  </si>
  <si>
    <t>Manasa ambiental</t>
  </si>
  <si>
    <t>16/03 - Antonio vai olhar na semana que vem</t>
  </si>
  <si>
    <t>Aguardando homologaçao de acordo com amazonas. Ficar com excedente de reserva legal</t>
  </si>
  <si>
    <t xml:space="preserve">Processo sem sentença </t>
  </si>
  <si>
    <t>Pontec x Petrobras</t>
  </si>
  <si>
    <t>Pessoa Física x Supricel</t>
  </si>
  <si>
    <t>Levamos o bid por 4,5m</t>
  </si>
  <si>
    <t>CRI Helvetia</t>
  </si>
  <si>
    <t>Cartesia Investimentos</t>
  </si>
  <si>
    <t>23/03 - Em análise</t>
  </si>
  <si>
    <t>INAB</t>
  </si>
  <si>
    <t>INAB, uma indústria de bebidas. A cia tem mais de 30 anos de operação e atua com marcas próprias de cerveja e também industrialização para terceiros.  O objetivo é reestruturar o endividamento (R$ 99.3 M em dez/25). Os ativos industriais e imobiliários estão atualmente alienados.</t>
  </si>
  <si>
    <t>Minauro x SP</t>
  </si>
  <si>
    <t>Processo: 0027495-54.2023.8.26.0053</t>
  </si>
  <si>
    <t xml:space="preserve">Municipio de SP esta atrasado no pagamento </t>
  </si>
  <si>
    <t>Não colocamos BID</t>
  </si>
  <si>
    <t>22/09 - Aguardando informaçoes
06/10 - Informações enviadas e NDA solicitado
13/10 - Vamos analisar as matrículas e propor um cheque
27/10 - 100M, liquidar a transaçao tributaria, estao com intençao de liquidar os imóveis
27/10 - Vamo estudar melhor a divida da RE 
01/12 - Colocamos proposta, esperando resposta até dia 15/01
11/03 - Vamos negociar as condiçoes com o Antonio Refix
23/03 - Devem definir a forma de pagamento, entender se a ideia é de fato os imoveis servirão para pagar nossa dívida</t>
  </si>
  <si>
    <t>08/12 - Vamos analisar
02/02 - LO enviada pelo Pedro Mota, vai analisar o lucro cessante
02/03 - Embargo serao julgados em março, vamos esperar
16/03 - Conferir o Resultado do julgamento
23/03 - Acompanhar a negociaçao do acordo</t>
  </si>
  <si>
    <t>On hold</t>
  </si>
  <si>
    <t>Ideia aqui era Analisar as infos para dar "consultoria" para a Peninsula</t>
  </si>
  <si>
    <t xml:space="preserve">STM Networks Inc </t>
  </si>
  <si>
    <t>Execução de 2019 de 200m</t>
  </si>
  <si>
    <t>Cedente recusou uma proposta de ~80% upfront</t>
  </si>
  <si>
    <t>Kora Saúde</t>
  </si>
  <si>
    <t>Cunha vs. Gafisa</t>
  </si>
  <si>
    <t>Estão fechando acordo no valor de 80% do valor da causa</t>
  </si>
  <si>
    <t>02/12 - Cirino iria ajudar, vamos enviar os processos
02/02- Vamos falar com o Cirino
02/03- Enviaram proposta e vamos analisar
11/03 - Vamos analisar para entender como vamos entrar aqui até dia 20/03
16/03- Responder ODB pós conversa com Flávio Brito 
23/03 - Falamos com a Adriana, dependendo de conversa do Flavio com Antonio Carlos de Sá
30/03 - Vamos falar com a ODB</t>
  </si>
  <si>
    <t>11/03- Formalização pagamento ate dia 24
30/03 - Contratação dos escritórios</t>
  </si>
  <si>
    <t>Bridge de 100m de menos de 90 dias, sem fit com o fundo</t>
  </si>
  <si>
    <t>30/03 - Vamos acompanhar o closing da operaçao com a Darling</t>
  </si>
  <si>
    <t>Fundo mto grande, risco alto de entrar em uma subordinada</t>
  </si>
  <si>
    <t>16/03 - Estamos aguardando o NDA
16/03 - Esperando informaçoes
30/03 - Faz alguns exemplos baseados em produtor rural. Colocar com CP que precisa entender melhor os créditos. Vamos montar o TS</t>
  </si>
  <si>
    <t>16/03 - Vamos mandar o preço
23/03 - Aguardando retorno do Alex
30/03 - Pos pascoa, mandar email dizendo que a proposta não está mais vigente</t>
  </si>
  <si>
    <t>WBC8 Comercio Internacional e Correios</t>
  </si>
  <si>
    <t>Carteira BB</t>
  </si>
  <si>
    <t>Leilão até dia 14/04</t>
  </si>
  <si>
    <t>VestCasa</t>
  </si>
  <si>
    <t>A empresa busca captar R$50mm, a ideia é expandir a operação no território nacional. A VestCasa foi fundada em 2008 pelos empresários Ahmad e Mohamad Yassin, atuando como uma rede varejista especializadas em artigos domésticos. Atualmente conta com 104 lojas, com presença em São Paulo e Santa Catarina. 
Plano estratégico da companhia busca encerrar as lojas pequenas (60 lojas) e as franquias (12 lojas), e focar na operação das megalojas com expansão para Nordeste, Norte e Centro Oeste. O racional para esse movimento é a representatividade das mega lojas, sendo ~R$1bi do faturamento.</t>
  </si>
  <si>
    <t>Cetenco Engenharia X Pará</t>
  </si>
  <si>
    <t>Supervia</t>
  </si>
  <si>
    <t>Elementar x União Federal (INCRA)</t>
  </si>
  <si>
    <t>Ricardo Veles (Sigma Trust)</t>
  </si>
  <si>
    <t>Operação trata-se de um crédito judicial contra a União Federal (INCRA), oriundo de ação de desapropriação de imóvel rural da família Franco de Mello.
 O ativo em questão é a parte cedida à empresa ELEMENTAR, de titularidade de Ricardo Khelvin Reginaldo Pereira,</t>
  </si>
  <si>
    <t>Bionexo</t>
  </si>
  <si>
    <t>Acquisition finance de 400m para compra da Tasi, com a bain company e prisma colocando R$ 600m</t>
  </si>
  <si>
    <t>Pré precatório Estadual</t>
  </si>
  <si>
    <t>Consórcio de Monitoramento Eletrônico de Sentenciados (CMES) x Rio de Janeiro</t>
  </si>
  <si>
    <t>o CMES prestou serviços essenciais de monitoramento eletrônico de sentenciados, fornecimento e operação de tornozeleiras  entre 2014 e 2015, a pedido do próprio Estado, após o encerramento formal do contrato original. Os serviços foram documentados por relatórios de medição, reservas orçamentárias e pareceres da administração pública. O valor das notas fiscais em aberto era de aproximadamente R$ 7,3 milhões; corrigido pelo IGP-M com juros de mora desde cada nota, o crédito atualizado pela perícia judicial (outubro/2024) totaliza R$ 23.889.039,80</t>
  </si>
  <si>
    <t>Ceia Refeições Coletivas x Rio Grande do Norte</t>
  </si>
  <si>
    <t>Objetivo é venda de 100%, incluindo honorários (que já estão dentro do valor de R$16,6 milhões).
Já receberam uma proposta de 35% do valor de face, mas a cia está na expectativa de 40%, e por isso ainda não fecharam.</t>
  </si>
  <si>
    <t>Synergy Tecnologia</t>
  </si>
  <si>
    <t>Gostaria de apresentar uma operação de antecipação de recebíveis que estamos estruturando para a Synergye Tecnologia da Informação Ltda. (CNPJ 07.052.354/0001-29), empresa com 21 anos de atuação no monitoramento eletrônico de sentenciados para secretarias penitenciárias estaduais.</t>
  </si>
  <si>
    <t>04/06 - Em análise</t>
  </si>
  <si>
    <t>Paranis (Iesa)</t>
  </si>
  <si>
    <t>Honorários x Estado de SP</t>
  </si>
  <si>
    <t>Nexxo Soluções</t>
  </si>
  <si>
    <t>Grupo Metropolitan</t>
  </si>
  <si>
    <t>07/04 - Mauad e Roger ficaram de marcar reunião</t>
  </si>
  <si>
    <t>O Grupo oferece soluções completas de BPO para armazenagem de documentos, além de serviços complementares de digitalização e gestão em nuvem por meio da Metrofile. Com a Metropolitan, atua na realização de mudanças residenciais e comerciais, tanto em âmbito nacional quanto internacional. R$ 70m para matar o tributário (R$350m), 72 meses,carencia de 24 meses, aval cruzado das empresas, af do terreno localizado em osasco (18% da operação). RJ ta aprovada em cumprimento faltando poucas parcelas (ja pode pedir nova RJ, porém com pouco passivo)</t>
  </si>
  <si>
    <t>Precatório Ceará</t>
  </si>
  <si>
    <t>Rodovia Mogiana</t>
  </si>
  <si>
    <t>07/04 - Aguardando posicionamento do itau e btg</t>
  </si>
  <si>
    <t>Prazo</t>
  </si>
  <si>
    <t>Jazz Capital</t>
  </si>
  <si>
    <t>07/04 - Vamos mandar o NDA e dps falar com Antonio Pedro</t>
  </si>
  <si>
    <t>Carlos Coelho</t>
  </si>
  <si>
    <t>Grupo Trebeschi</t>
  </si>
  <si>
    <t>Passivo de 1,3bi mas dentro da RJ 640m. 350m classe I, 170m classe II  e 450m classe III. Maiores credores Sicoob Aracoop (120m), itau (106m) DH agropecuária (88m). Extra - STD 155M, Itau 107m, ABC 87m.</t>
  </si>
  <si>
    <t>23/03 - Vamos pedir analise do Mauad após primeira análise
04/06 - mandamos a proposta
13/04 - Nenhum bid atingiu o valor desejado. Vamos fazer um call com eles</t>
  </si>
  <si>
    <t>Marcos Spitzner</t>
  </si>
  <si>
    <t>Crédito Pis Cofins</t>
  </si>
  <si>
    <t>Oaktrust</t>
  </si>
  <si>
    <t>Fiber Citrus</t>
  </si>
  <si>
    <t>Campos dos Goytacazes</t>
  </si>
  <si>
    <t xml:space="preserve">16/03 - A&amp;M esta afastado da Splice mas vamos olhar os ativos
06/04 - Vamos acessar o banco luso e falar com o Guilherme EMS sobre o dono
13/04 - Guilherme vai tentar contato </t>
  </si>
  <si>
    <t>14/04 - Marcar reunião de update do caso</t>
  </si>
  <si>
    <t>Tanure é o devedor que querem atingir/executra</t>
  </si>
  <si>
    <t>Creditos ruins</t>
  </si>
  <si>
    <t>14/04 - Pendente de resposta da CWB Finance</t>
  </si>
  <si>
    <t>14/04 - Esperando resposta da proposta indicata</t>
  </si>
  <si>
    <t>o José Roberto Cortez é adv e está litigando contra a família... esse cara eh bem complicado</t>
  </si>
  <si>
    <t>Victory Hill</t>
  </si>
  <si>
    <t>Mattos Filho</t>
  </si>
  <si>
    <t>16/04 - Aguardando devolutiva do Q&amp;A</t>
  </si>
  <si>
    <t>Preço descolado - queria 50% de desagio somente</t>
  </si>
  <si>
    <t xml:space="preserve">ainda não expedido e desconto baixo </t>
  </si>
  <si>
    <t>Seguiram com a Lumina</t>
  </si>
  <si>
    <t>Sem fit com o fundo</t>
  </si>
  <si>
    <t>nao vira precatorio</t>
  </si>
  <si>
    <t>Ortofort</t>
  </si>
  <si>
    <t>Call com advogados (Souto Correa e Perez Llorca)</t>
  </si>
  <si>
    <t>Lacticínios Tirol</t>
  </si>
  <si>
    <t>Radioterapia e Física ACCG</t>
  </si>
  <si>
    <t>Colmeia e Agro</t>
  </si>
  <si>
    <t>Compra de NPL e de créditos extraconcursais</t>
  </si>
  <si>
    <t>30/04 - Tentar call Padis Mattar</t>
  </si>
  <si>
    <t>07/04 - vão enviar os contratos dos clientes (receita e locação)
13/04 - Perguntamos sobre o mercado - se há alguma lei. Pendente de resposta
30/04 - Vamos marcar reuniao para tirar duvida do email enviado com respostas do mercado</t>
  </si>
  <si>
    <t>Grão de Ouro</t>
  </si>
  <si>
    <t>30/04 - Vamos fazer um call</t>
  </si>
  <si>
    <t>Contraparte sem capacidade de pgto</t>
  </si>
  <si>
    <t>Divida usando DC em garantia</t>
  </si>
  <si>
    <t>Pouca taxa</t>
  </si>
  <si>
    <t xml:space="preserve">Frigorífico </t>
  </si>
  <si>
    <t>30/04 - Vamos falar</t>
  </si>
  <si>
    <t>Banco Cruzeiro do Sul</t>
  </si>
  <si>
    <t>Bruno Sotter</t>
  </si>
  <si>
    <t>Apotex</t>
  </si>
  <si>
    <t>30/04 - Analisar</t>
  </si>
  <si>
    <t>Intercement - Pis Cofins</t>
  </si>
  <si>
    <t>Sinchro Partners</t>
  </si>
  <si>
    <t>André Morais</t>
  </si>
  <si>
    <t>Superpesa x Petrobras</t>
  </si>
  <si>
    <t>Quadra Capital</t>
  </si>
  <si>
    <t>Portuário</t>
  </si>
  <si>
    <t xml:space="preserve">Quadra quer antecipar recebível </t>
  </si>
  <si>
    <t>Não vamos antecipar para a Quadra</t>
  </si>
  <si>
    <t>Debenture Galvão Engenharia</t>
  </si>
  <si>
    <t>Jaraguá Equipamentos Industriais</t>
  </si>
  <si>
    <t>4UCAPITAL</t>
  </si>
  <si>
    <t xml:space="preserve">Tirol </t>
  </si>
  <si>
    <t>Trata-se de mandado de segurança. Não tem crédito em execução. Entendo que não seria suficiente para constituir uma garantia.</t>
  </si>
  <si>
    <t>Telemont</t>
  </si>
  <si>
    <t>Chili Beans</t>
  </si>
  <si>
    <t>Grupo Vieira</t>
  </si>
  <si>
    <t>06/05 - Em análise</t>
  </si>
  <si>
    <t>Ação com lucro cessante e mto inicial, alem de ser contra o correios</t>
  </si>
  <si>
    <t>Créditos ruins</t>
  </si>
  <si>
    <t>30/04 - Vamos tentar olhar o AJ e olhar via site
06/05 - Vamos monitorar o site do AJ</t>
  </si>
  <si>
    <t>Caso Ruim</t>
  </si>
  <si>
    <t>06/05 - Alinhar com a FA</t>
  </si>
  <si>
    <t>Pouca taxa, garantia e capacidade de pgto</t>
  </si>
  <si>
    <t>30/04 - Analisar
06/05 - Bruno vai voltar com os 10 maiores nomes</t>
  </si>
  <si>
    <t>06/05 - Aguardando resposta do info request</t>
  </si>
  <si>
    <t>Pagamento de Rj e claims em CF, arbitragem que vai ser paga e credores vão receber</t>
  </si>
  <si>
    <t>Banco Votorantim</t>
  </si>
  <si>
    <t>Empresa mto endividada, plano suspenso e ação petro tb ruim</t>
  </si>
  <si>
    <t>06/05 - FK vai marcar reunião</t>
  </si>
  <si>
    <t>GPA</t>
  </si>
  <si>
    <t>FIDC Light</t>
  </si>
  <si>
    <t>Alphatec x Petrobras</t>
  </si>
  <si>
    <t>Duas ações de construturoa contra Petrobras</t>
  </si>
  <si>
    <t>19/05 - Analisar</t>
  </si>
  <si>
    <t>Pré Precatorio Estadual</t>
  </si>
  <si>
    <t>Pre precatórios amazonas</t>
  </si>
  <si>
    <t>Grupo Jaraguá</t>
  </si>
  <si>
    <t>4u Capital</t>
  </si>
  <si>
    <t>DIP FINANCE</t>
  </si>
  <si>
    <t>Precatórios Valecard</t>
  </si>
  <si>
    <t>Valecard</t>
  </si>
  <si>
    <t>Kerui nao aprovou a operação
19/05 - Kerui aprovou a operação - evoluir com Luis Antonio</t>
  </si>
  <si>
    <t>06/05 - Em análise
19/05 - Crédito de dificil recuperação</t>
  </si>
  <si>
    <t>30/03 - Assinar NDA
13/04 - Pedimos mais infos.
20/04 - Fazer um call com a RK - Aguardando resposta do Baiochi
19/05 - Bola com FK - FA</t>
  </si>
  <si>
    <t>TANAC</t>
  </si>
  <si>
    <t>BB</t>
  </si>
  <si>
    <t>06/05 - Vamos reunião as 14h30
19/05 - Penido pedir avaliação da fazenda, matricula e interessados</t>
  </si>
  <si>
    <t>06/05 - Pedimos o numero do processo
19/05 - Luiza vai olhar</t>
  </si>
  <si>
    <t>FIDC BLUE II</t>
  </si>
  <si>
    <t>Espólio Maria Nubia e PBR</t>
  </si>
  <si>
    <t>Transpetro</t>
  </si>
  <si>
    <t>IAA Santa Lídia</t>
  </si>
  <si>
    <t>André Jakurski</t>
  </si>
  <si>
    <t>Pizzato x União Federal / IBAMA</t>
  </si>
  <si>
    <t>Pré Precatorio</t>
  </si>
  <si>
    <t>Humbeto x Braskem</t>
  </si>
  <si>
    <t>Inventário Joble Fernandes</t>
  </si>
  <si>
    <t>Sussumo e Itimura vs Incra</t>
  </si>
  <si>
    <t>Petro-Alpha x Petrobras</t>
  </si>
  <si>
    <t>Jose Teixeira x INCRA</t>
  </si>
  <si>
    <t>Kozma</t>
  </si>
  <si>
    <t>Vitória</t>
  </si>
  <si>
    <t>AP</t>
  </si>
  <si>
    <t xml:space="preserve"> Mauad</t>
  </si>
  <si>
    <t>Humberto x Braskem</t>
  </si>
  <si>
    <t>Delga</t>
  </si>
  <si>
    <t>02/10 - Olhar até final da semana
07/10 - Entender melhor os municipais de sp
21/10 - Bernardo enviará a analise essa semana
28/10 - Vamos continuar as análises, Bernardo vai enviar um email resumindo a oportunidade do precatório do municipio de SP
03/11 - Luiza tem uma reuniao amanha com eles para discutir a compra do NPL do BB
17/12 - Luiza fez uma reuniao semana passada, pendente de receber algumas infos. Vamos olhar em janeiro. 
17/12 - Entender as açoes do BB, ativas e passivas.
13/01 - vamos avançar no litigation antes de seguir nessa analise
17/02 - Vamos soltar minuta devolutiva do LF
24/02 - Discussão de Minuta com o Ivo. 
10/03 - Ivo aceitou, pendente do aceite dos Chineses
17/03 - Começamos o processo de chamada de Capital - FUP no Ivo até dia 28/03
31/03 - Aguardando devolutiva do IVO
10/04 - Operação aprovada, dinheiro já esta em caixa para alocação
25/05 - Laudo do perito da arbitragem veio ruim, Luiz Antonio ta olhando o laudo, aguardando resposta dele</t>
  </si>
  <si>
    <t>08/12 - Vamos analisar
11/03 - Vamos falar com Ricardo que nao vamos seguir
25/05 - Ricardo foi na JGP, o valor da Op. é entender o valor do direito minerário</t>
  </si>
  <si>
    <t>Nao vamos seguir - escritorio complicado Dasa</t>
  </si>
  <si>
    <t>30/04 - Responder
19/05 - Email enviado ao perez llorca
25/05 - Reunião agendada 28/05</t>
  </si>
  <si>
    <t>Risco retorno desbalanceado, ficariamos no risco do dono do consorcio ser contemplado</t>
  </si>
  <si>
    <t>Nomes ruins</t>
  </si>
  <si>
    <t>Empresa esperando captar dinheiro a uma taxa baixa</t>
  </si>
  <si>
    <t>Leilão ja foi, pouco ativo</t>
  </si>
  <si>
    <t>RJ há mto tempo, divida AF grande</t>
  </si>
  <si>
    <t>Fila mto grande</t>
  </si>
  <si>
    <t>Sem bid</t>
  </si>
  <si>
    <t>19/05 - Prazo do leilão é dia 28
19/05 - Reunião com Mange/Scalzilli
25/05 - Falar com Spinelli para marcamos um call</t>
  </si>
  <si>
    <t>25/05 - Vamos analisar as contrarazoes da transpetro</t>
  </si>
  <si>
    <t>25/05 - Aguardando Andre da OT</t>
  </si>
  <si>
    <t>Botafogo</t>
  </si>
  <si>
    <t>BTG</t>
  </si>
  <si>
    <t>Benfare x Danone</t>
  </si>
  <si>
    <t>Solvera Capital</t>
  </si>
  <si>
    <t>Estado do Rio</t>
  </si>
  <si>
    <t>Não seguiremos no momento — a expectativa de recebimento do ativo ultrapassa o prazo do nosso fundo.</t>
  </si>
  <si>
    <t>Honorários Advocatícios (SUS)</t>
  </si>
  <si>
    <t>Gostaria de submeter para análise uma oportunidade envolvendo honorários advocatícios destacados em crédito judicial federal de elevado valor, decorrente de ação movida contra a União Federal relacionada à revisão da remuneração de procedimentos do SUS com base na metodologia TUNEP. Atualmente, o foco da operação está nos honorários contratuais do Dr. Severino Medeiros, cujo montante atualizado supera R$ 220 milhões.</t>
  </si>
  <si>
    <t>Espólio Yolanda</t>
  </si>
  <si>
    <t>complexidade da estrutura, faturamenteo e endividadmento na pf, com os CNPJs com pouca operaçao dificultam bastante a aprovação.
Além disso, entendemos que a tese depende muito de conseguir negociar rapidamente com credores garantidos e assumir uma posição efetivamente sênior sobre os imóveis</t>
  </si>
  <si>
    <t>RJ ainda mto inicial, UoP para engorda de gado tb não tem a ver com o fit do fundo</t>
  </si>
  <si>
    <t xml:space="preserve">Prazo do fundo </t>
  </si>
  <si>
    <t>Acharam nossa proposta cara</t>
  </si>
  <si>
    <t>Vendeu pra Quadra</t>
  </si>
  <si>
    <t>06/05- Antonio vai buscar mais informações
25/05- vamos entender o claim da arbitragem (R$ 2,5bi em claims). Vamos falar com o Antonio Carlos (BV) - dificuldade de conseguir as infos dos ativos judiciais</t>
  </si>
  <si>
    <t>R$ 36m, varios pedidos, ja existe valor nao devido pela petro, risco de sucumbencia</t>
  </si>
  <si>
    <t>IAA</t>
  </si>
  <si>
    <t>Pericia ambiental complexa, uniao brigando, processo empacado. Credito de dificil liquidaçao</t>
  </si>
  <si>
    <t>Andre Werneck</t>
  </si>
  <si>
    <t>Serveng Civilsan x Dersa/SP</t>
  </si>
  <si>
    <t>Município de Canoas</t>
  </si>
  <si>
    <t>Daniel Baril</t>
  </si>
  <si>
    <t>crédito prestes a virar precatório em face do Município de Canoas valor: R$ 14M obs.: talvez tenha primeiro um reconhecimento de R$ 10M (incontroverso)</t>
  </si>
  <si>
    <t>Usina João de Deus x União (Tese do IAA)</t>
  </si>
  <si>
    <t>Marco Guerreiro Advogados</t>
  </si>
  <si>
    <t xml:space="preserve">O cliente dele, a Luxor, comprou R$ 8 milhões (valor histórico) de um crédito da Usina João de Deus — hoje atualizado para cerca de R$ 30 milhões — e quer vender essa posição para obter liquidez
Trata-se de uma indenização contra a União ligada às teses do IAA (Instituto do Açúcar e do Álcool). </t>
  </si>
  <si>
    <t>4U x Nordex</t>
  </si>
  <si>
    <t>Goulart &amp; Lamb</t>
  </si>
  <si>
    <r>
      <t xml:space="preserve"> Contratos de transporte, içamento e montagem de aerogeradores celebrados entre Grupo Nordex e Grupo Transbiaga/4U ao longo demais 
de uma década. </t>
    </r>
    <r>
      <rPr>
        <b/>
        <sz val="11"/>
        <color theme="1"/>
        <rFont val="Calibri"/>
        <family val="2"/>
        <scheme val="minor"/>
      </rPr>
      <t>Significativo desequilíbrio econômico-financeiro: tarifas contratuais insuficientes frente aos custos reais</t>
    </r>
  </si>
  <si>
    <t>Renato Pontec</t>
  </si>
  <si>
    <t>Valor baixo para o fundo</t>
  </si>
  <si>
    <t>Vender um credito que ja teve descisão negativa, risco de sucumbencia</t>
  </si>
  <si>
    <t>Processo contra a uniao, incra ia pagar via titulo da divida agrágria. Ta na apelaçao dos embarcos de execução, ja ta em Resp. Tem sucumbencia contra Sussumo. Olha desapropriaçao tem q ver benfeitora</t>
  </si>
  <si>
    <t>11/06 - Ruim por ser TDA</t>
  </si>
  <si>
    <t>Paga por TDA (TITULO DE DIVIDA AGRÁRIA)</t>
  </si>
  <si>
    <t>Rede de Academia</t>
  </si>
  <si>
    <t>11/06 - Vamos falar com o Donatelli</t>
  </si>
  <si>
    <t>Não olhamos SUS</t>
  </si>
  <si>
    <t>Estado de SP - mto atrasado</t>
  </si>
  <si>
    <t>11/06 - Vamos analisar e precificar</t>
  </si>
  <si>
    <t>Fila mto grande, qnd expedir vai demorar pra pagar</t>
  </si>
  <si>
    <t>Llob Empreendimentos x Petrobras</t>
  </si>
  <si>
    <t>11/06 - Vamos analisar e marcar um call com advogado</t>
  </si>
  <si>
    <t>Pantalica</t>
  </si>
  <si>
    <t>Açao ruim</t>
  </si>
  <si>
    <t>Avanço Agropecuária</t>
  </si>
  <si>
    <t>Enquanto essa estratégia de venda matura, estamos avaliando a estruturação de uma dívida ponte, lastreada em uma composição de matrículas da própria Fazenda Chapada Grande, buscando um volume financeiro de pelo menos R$ 50 milhões
Fazenda madura, produtiva e já em operação. A venda desse ativo é a principal avenida de desalavancagem do grupo, mas existe um intervalo natural entre o início da estratégia comercial e a efetiva liquidação do imóvel.</t>
  </si>
  <si>
    <t>Itamon</t>
  </si>
  <si>
    <t>Bioparque</t>
  </si>
  <si>
    <t>Vamos negar
19/05 - Luiza vai olhar
17/06 - Expectativa mto alta de valor</t>
  </si>
  <si>
    <t>16/03 - Analisar status do processo para aquisiçao de mais uma parcela
06/05 - Vamos precificar com base nos 48m. Esperando julgamento do agravo (12/05)
19/05 - Responder ao renato e reanalisar na segunda
15/06 - Colocamos proposta, pendente resposta do Renato
17/06 - Aguardando resposta do Renato</t>
  </si>
  <si>
    <t>Valor remanescente que a a uniao ja ganhou</t>
  </si>
  <si>
    <t>Negamos - valor da indenizaçao menor do que o esperado pelo cedente</t>
  </si>
  <si>
    <t>Duas PFs antonio joaquim e o irmao (dons da refinaria de manguinhos)</t>
  </si>
  <si>
    <t>Falamos com os advogados, tese IAA</t>
  </si>
  <si>
    <t>Risco binario e nenhum perito engajado.</t>
  </si>
  <si>
    <t>Monte Carlo</t>
  </si>
  <si>
    <t>Posição na casa, JGP ja era pra ser paga, pagar ate setembro, Vega olhando de fazer 50m, 30%, kicker de m&amp;a, 45% de tir (moic1.45x). Garantia que vao pegar é o que ta na jgp, fazer cessao do instrumento a valor de face.</t>
  </si>
  <si>
    <t>17/06 - Itaipu , binacional, parte do dinheiro paraguai, dificil executar</t>
  </si>
  <si>
    <t>Projeto Rosa</t>
  </si>
  <si>
    <t>Damico</t>
  </si>
  <si>
    <t>debênture privada de R$ 56mm que, somada a R$ 10mm de equity de um fundo de Private Equity, financia a aquisição pelo PE de 70% de uma convertedora de embalagens de papelão ondulado na Zona Franca de Manaus</t>
  </si>
  <si>
    <t>Renu Energia</t>
  </si>
  <si>
    <t>Fazenda Jatobá</t>
  </si>
  <si>
    <t>IGC</t>
  </si>
  <si>
    <t>Operação estruturada para permitir ao Grupo Ipê liquidez sem forçar a venda da Fazenda Jatobá— ativo subprecificado dado o momento do 
ciclo agro. 
Fluxo do arrendamento vigente cobre parcialmente as PMTs da operação - a diferença acumula no saldo devedor e é quitada integralmente 
na venda da fazenda, quando o ativo puder ser precificado pelo seu valor pleno.</t>
  </si>
  <si>
    <t>Ecopower</t>
  </si>
  <si>
    <t>Ecopower (energia solar) busca estruturar um limite  de crédito de R$20 a 30 milhões para financiar os seus clientes PJ.
Seguem garantias disponíveis:
+ de R$20 milhões de estoque de recebíveis  com trava perfeita 
Garantia real de R$20 milhões da sua sede em Barretos-SP
Frota de veículos avaliada em R$9MM 
Estoque médio de R$30 milhões em placas e inversores da WEG.</t>
  </si>
  <si>
    <t>Plataforma de biometano com produção a partir da digestão de múltiplos resíduos (industriais, agrícolas e dejetos animais), em clusters agroindustriais fora do grid de gás natural, substituindo diesel, GLP e GNC junto a consumidores industriais. CapEx de R$ 275 milhões, Receita Líquida anual de R$ 113 milhões e Margem EBITDA de 59% na maturidade; Vamos olhar somente o projeto Jacarezinho</t>
  </si>
  <si>
    <t>Legal Claims ODB</t>
  </si>
  <si>
    <t>Precisa amadurecer a venda da planta de Jarinu</t>
  </si>
  <si>
    <t>NDA enviado
23/03 - Desistiram da venda da carteira, querem fazer uma debenture lastreada com NPL. Carteira da produtor rural de 1 a 5m 
Vamos receber a carteira, Giovana esta alinhando a assinatura do NDA e vamos pensar em algo. Recebendo as infos mandaremos para um terceiro avaliar
20/04 - Vao retornar com a resposta sobre nosso serviço de cobrança de crédito
18/05 - Proposta enviada, sato quer marcar data
25/05 - Estamos marcando reuniao com o Sato para apresentar a proposta
30/06 - TM com os CARs - fazer um touchpoint dia 08/07</t>
  </si>
  <si>
    <t>Banco Cruzeiro do Sul x Grupo Peixoto de Castro (Apolo Tubos)</t>
  </si>
  <si>
    <t>11/06 - Vamos assinar NDA
30/06 - Reunião agendada com Feitosa (02/07)</t>
  </si>
  <si>
    <t>Ja desembolsado pela Vega</t>
  </si>
  <si>
    <t>Parte do dinheiro paraguai, dificil executar</t>
  </si>
  <si>
    <t>Ainda sem evoluçao do turnaround, pouca garantia</t>
  </si>
  <si>
    <t>Naia Capital</t>
  </si>
  <si>
    <t>Projeto Genoa - cota sub de processo trabalhista</t>
  </si>
  <si>
    <t>Precatórios Estaduais e Municipais</t>
  </si>
  <si>
    <t>Município de SP</t>
  </si>
  <si>
    <t>Precatório Naviraí/MS</t>
  </si>
  <si>
    <t>Precatórios (Empresa Brasileira de Correios e Telégrafos)</t>
  </si>
  <si>
    <t>Honorários Sucumbenciais contra BNB</t>
  </si>
  <si>
    <t>Pedro Andrade</t>
  </si>
  <si>
    <t>Sucumbencia contra BNB - ruim brigar com banco</t>
  </si>
  <si>
    <t>Agropecuária Intã</t>
  </si>
  <si>
    <t>Cia TÊXTIL FERREIRA GUIMARÃES S.A</t>
  </si>
  <si>
    <t>Constituição do FIDC</t>
  </si>
  <si>
    <t>Henrique Alhante</t>
  </si>
  <si>
    <t>Dívidas Condominiais</t>
  </si>
  <si>
    <t>30/06 - Em análise - monta quadro de credor e compara com o que ela mandou
06/07 - Vamos marcar um call com a Zera - precisa de desagio na dívida</t>
  </si>
  <si>
    <t>06/07 - Aguardando resposta da Auster</t>
  </si>
  <si>
    <t>06/07 - Nao vamos entrar em energia solar, ainda mais nao sendo distress</t>
  </si>
  <si>
    <t>30/06 - Vai passar a lista dos precatórios
06/07 - Carteira pequena</t>
  </si>
  <si>
    <t>06/07 - Vamos analisar</t>
  </si>
  <si>
    <t>06/07 - vamos entender se ja foi expedido</t>
  </si>
  <si>
    <t xml:space="preserve">Venda de fazenda, pagaram entrada, querem adiantar os recebíveis que faltam a receber. </t>
  </si>
  <si>
    <t>06/07 - Olhar o risco de crédito do sacado</t>
  </si>
  <si>
    <t>Credito de R$ 4m na falencia, extraconcursal. Parece estar apertado</t>
  </si>
  <si>
    <t>Inventário</t>
  </si>
  <si>
    <t>Operações de Funding no Mexico</t>
  </si>
  <si>
    <t>HMC Capital</t>
  </si>
  <si>
    <t xml:space="preserve">Precatório vai demorar a expedir, comprou do pai. </t>
  </si>
  <si>
    <t>Data Traffic (Detran) - Goias</t>
  </si>
  <si>
    <t>Pre precatório Estadual</t>
  </si>
  <si>
    <t>06/07 - assinamos NDA, pendente de recebimento de infos.</t>
  </si>
  <si>
    <t>Oportunidades FA</t>
  </si>
  <si>
    <t>Cota Condominial</t>
  </si>
  <si>
    <t>Colocamos uma proposta de 6m + 1m se expedido ate fev/27. Não foi aceito</t>
  </si>
  <si>
    <t>Natsu</t>
  </si>
  <si>
    <t>CHESF x CBPO</t>
  </si>
  <si>
    <t>Oportunidades Adriane</t>
  </si>
  <si>
    <t>Adriane Bueno</t>
  </si>
  <si>
    <t>Vendido antes de proposta</t>
  </si>
  <si>
    <t>Netuno Investimentos</t>
  </si>
  <si>
    <t>1.	Valor de face R$ 1,828 bilhão de reais Percentual pretendido pelo cliente 30% Cálculo homologado Credor: Massa falida Todas as certidões disponíveis
Natureza do crédito: desapropriação
2.	Valor de face R$ 140 milhões de reais Percentual pretendido pelo cliente: gostaria de ouvir proposta Cálculo homologado e, 140 MM: orçamento - precatório previsto para 2028 Credor:  Instituto Todas as certidões disponíveis Natureza do crédito: restituição tributária</t>
  </si>
  <si>
    <t>Guilherme Magalhães (BBM)</t>
  </si>
  <si>
    <t>1)	Coord. Onshore UORIO I/II. R$4,5MM (valor sentença – histórico). Processo: 0105010-30.2020.8.19.0001
2)	P17. Valor: USD9,4MM (valor laudo – histórico). Processo: 0185475-26.2020.8.19.0001
3)	Books. R$ 17MM (valor laudo – histórico). Processo: 0120691-74.2019.8.19.0001 ( E-mail já enviado)
4)	Reajuste UORIO I/II. R$29MM (valor laudo – histórico). Processo: 0203937-65.2019.8.19.0001
5)	Change in law. R$14MM (valor -- histórico). Processo: 0010288-38.2019.8.19.0001</t>
  </si>
  <si>
    <t>Nashai</t>
  </si>
  <si>
    <t>Cheque elevado, mostramos pra auster que nao se interessou, principalmente pela capacidade de pagamento (margens pela ZFM) e pouca oportunidade de saída</t>
  </si>
  <si>
    <t>17/06 - Em análise e perguntar pro Werneck como executar/recuperar o crédito
30/06 - Aguardar a devolutiva do André Morais sobre o alinhamento do BID e pagamento
06/07 - Entender a RJ (falencia) se estendu pras PFs. Precisa entender o banco Prosper para entender o quao atingido eles serão. Terceira praça do leilão - 15/07 a 30/07</t>
  </si>
  <si>
    <t>Ativos Judiciais (Encalso)</t>
  </si>
  <si>
    <t>Carteira pequena</t>
  </si>
  <si>
    <t>Criteria Investimentos</t>
  </si>
  <si>
    <t>Sem ativo a mais na falencia, alem do caixa q tem. Ele quer 60% no negocio</t>
  </si>
  <si>
    <t>Chibatão (Passarão)</t>
  </si>
  <si>
    <t>13/07 - Operaçoes pequenas, vamos negar</t>
  </si>
  <si>
    <t>Dono sem certeza da venda dos recebíveis</t>
  </si>
  <si>
    <t>Pouca capacidade de pagamento</t>
  </si>
  <si>
    <t>13/07 - Aguardando para bater com a Luiza (casos antigos)</t>
  </si>
  <si>
    <t>Lubanco advogados</t>
  </si>
  <si>
    <t>Leilão BB</t>
  </si>
  <si>
    <t>Real Estate Garisto</t>
  </si>
  <si>
    <t>UBYFOL</t>
  </si>
  <si>
    <t>Deal Imobiliário</t>
  </si>
  <si>
    <t>FYTO Capital</t>
  </si>
  <si>
    <t>Auster Capital</t>
  </si>
  <si>
    <t>Ekoa</t>
  </si>
  <si>
    <t>Projeto Juínas (CGHs)</t>
  </si>
  <si>
    <t>BF Capital</t>
  </si>
  <si>
    <t>Oportunidades</t>
  </si>
  <si>
    <t>Mauricio Guimarães</t>
  </si>
  <si>
    <t>Olive Garden</t>
  </si>
  <si>
    <t>Apartamento Rio de Janeiro</t>
  </si>
  <si>
    <t>xxxx</t>
  </si>
  <si>
    <t>Cervejaria Minas</t>
  </si>
  <si>
    <t>Thoreos (Gabriel Purri)</t>
  </si>
  <si>
    <t>Thadzio</t>
  </si>
  <si>
    <t>Renato acha q sai acordo</t>
  </si>
  <si>
    <t>setor de academia, pouco skin in the game, estrutura alavancada</t>
  </si>
  <si>
    <t>11/06 - Cobrar infos das oportunidades
20/07 - Pendente assinatura de NDA</t>
  </si>
  <si>
    <t>Nao vamos entrar em energia solar, ainda mais nao sendo distress</t>
  </si>
  <si>
    <t>Creditos de dificil recuperaçao</t>
  </si>
  <si>
    <t>Municipio de SP com problema de acordo</t>
  </si>
  <si>
    <t>Operações pequenas</t>
  </si>
  <si>
    <t xml:space="preserve"> Geral Serviços LTDA x Equatorial</t>
  </si>
  <si>
    <t>Prazo esperado acima do limite do fundo.  (i) a redução do valor do crédito em R$10MM, em sede de esclarecimentos periciais. O valor apurado foi de R$ 118.214.667,62; e (ii) duas reservas do futuro crédito, que totalizam R$ 635.988,33. No mais estimativas seguem iguais, sentença em 2026, acórdao até final de 2027, stj em até 2 anos.</t>
  </si>
  <si>
    <t>HSM Consultoria</t>
  </si>
  <si>
    <t>Querem vender 100m de vf, num credito de R$ 1,3bi, desagio de 65%</t>
  </si>
  <si>
    <t xml:space="preserve">Desembolso 1.3m </t>
  </si>
  <si>
    <t>Ceara x Joelina</t>
  </si>
  <si>
    <r>
      <t xml:space="preserve">11/03 - Em diligencia
23/03 - Analisar a Legal Opinion enviada e aguardando resposta do Reginaldo e marcar calls com investidores
19/05 - Comite realizado, escritura será assinada amanhã, coordenar chamada de capital - Aguardando resposta da Junta Comercial
02/06 - </t>
    </r>
    <r>
      <rPr>
        <b/>
        <sz val="11"/>
        <color theme="1"/>
        <rFont val="Calibri"/>
        <family val="2"/>
        <scheme val="minor"/>
      </rPr>
      <t>TO DO:</t>
    </r>
    <r>
      <rPr>
        <sz val="11"/>
        <color theme="1"/>
        <rFont val="Calibri"/>
        <family val="2"/>
        <scheme val="minor"/>
      </rPr>
      <t xml:space="preserve"> Reembolsos, Cota sub na Mellon, Alinhar com o Itau, Serrano querendo comprar posição do Infra
15/06 - Pendente resposta do Antonio para a Neowise
25/06 - Mostrar para Guilherme EMS no dia 15/07 e </t>
    </r>
    <r>
      <rPr>
        <b/>
        <sz val="11"/>
        <color theme="1"/>
        <rFont val="Calibri"/>
        <family val="2"/>
        <scheme val="minor"/>
      </rPr>
      <t>Itau</t>
    </r>
    <r>
      <rPr>
        <sz val="11"/>
        <color theme="1"/>
        <rFont val="Calibri"/>
        <family val="2"/>
        <scheme val="minor"/>
      </rPr>
      <t xml:space="preserve">
30/06- Fim do prazo judicial da uniao (02/09) - prazo para juntar os docs.</t>
    </r>
  </si>
  <si>
    <t>19/05 - Analisar
27/07 - Marcar uma conversa para mostrar que nao vamos seguir</t>
  </si>
  <si>
    <t>19/05 - Vitória vai olhar
02/06 - Pedir documentação do advogado/piloto
27/07- estamos em contato com o piloto</t>
  </si>
  <si>
    <t xml:space="preserve">Problema de estrutura, necessidade de desagio na divida para fazer sentido </t>
  </si>
  <si>
    <t>06/07 - Vamos analisar
20/07 - Precatorio dividido em varios precatorios, time FA vai entender quem quer vender</t>
  </si>
  <si>
    <t>Djaci Falcão</t>
  </si>
  <si>
    <t>Pode ter sucumbencia a partir do lucro cessante, o que pode prejudicar o credito em questao</t>
  </si>
  <si>
    <t>Precatório Exclusão de ICMS da base PIS/COFINS</t>
  </si>
  <si>
    <t>Lubanco Advogados</t>
  </si>
  <si>
    <t>Claims contra Petrobras (Ocyan)</t>
  </si>
  <si>
    <t>Saidera pra Jive, 2m de ebitda e 60m em divida, sem ativo</t>
  </si>
  <si>
    <t>Contra Gafisa, 9M tem umas sucumbencias, penhora de unidade, dificil receber da Gafisa</t>
  </si>
  <si>
    <t>Credito contra gafisa, dificil receber e pf com credito, dificil vender barato</t>
  </si>
  <si>
    <t>Dinheiro novo, cervejaria que morreu gente</t>
  </si>
  <si>
    <t>Dinheiro novo pouca capacidade e garantias escassas</t>
  </si>
  <si>
    <t>Caso grande, sem garantia, sem capacidade de pagamento</t>
  </si>
  <si>
    <t>Portobello</t>
  </si>
  <si>
    <t>Cukier &amp; Cia (Casa Centro)</t>
  </si>
  <si>
    <t>Novos Créditos Ocyan</t>
  </si>
  <si>
    <t>Officer</t>
  </si>
  <si>
    <t xml:space="preserve">Fazer o FIDC vendendo uma parte dos dois claims que possui </t>
  </si>
  <si>
    <t>Operações do Douglas</t>
  </si>
  <si>
    <t>Banco Rural x União Patrimonial</t>
  </si>
  <si>
    <t>Lucas Mayall</t>
  </si>
  <si>
    <t>Banco rural emprestou dinheiro à União Patrimonial. Teoricamente o valor hoje vale R$ 259m. 31 imoveis penhorados (lojas, salas, aptos em bh e 2 fazendas).
O processo ficou travado por anos com três discussões: se as cessões do crédito de um credor para outro eram válidas, se o acordo de 2004 valia, e se tudo já tinha prescrito. Em 2026 o TJMG decidiu as três a favor do credor e mandou a execução seguir.</t>
  </si>
  <si>
    <t>Não olhamos credito contra a gafisa</t>
  </si>
  <si>
    <t>Trata-se de ação de cobrança em razão do inadimplemento da Escritura de Compra e Venda, celebrada em 01.12.2016. - Contra Gafisa (valor atual de 71m)</t>
  </si>
  <si>
    <t>Grupo Toky</t>
  </si>
  <si>
    <t>Radice</t>
  </si>
  <si>
    <t>Projeto Atlantica</t>
  </si>
  <si>
    <t>Focal Capital</t>
  </si>
  <si>
    <t>R$ 50m, sendo 30m de saidera pra investidores anjo e 20m para capital novo</t>
  </si>
  <si>
    <t>06/07 - vamos olhar o processo. Pensar em colocar 120k/ano
03/08 - Vamos falar com ele ano que vem - Reminder enviado para Jan/27</t>
  </si>
  <si>
    <t xml:space="preserve">13/07 - Batemos e discutimos, o desagio ta pequeno e ainda nao mandaram a carteira
03/08 - Recebemos a informação </t>
  </si>
  <si>
    <t>03/08 - HH ainda esta fora do deal</t>
  </si>
  <si>
    <t>Casos antigos ja analisados pela equipe</t>
  </si>
  <si>
    <t>Prazo ultrapassado</t>
  </si>
  <si>
    <t>Fechou com outra casa (empresa da brookfield)</t>
  </si>
  <si>
    <t>03/08 - Aguardando envio do Material</t>
  </si>
  <si>
    <t>Italora</t>
  </si>
  <si>
    <t>Paulo Weinberger</t>
  </si>
  <si>
    <t>Espolio Luiz Ferreira x Ceará</t>
  </si>
  <si>
    <t>03/08 - Vao enviar maior detalhamento sobre a RJ</t>
  </si>
  <si>
    <t>Focal Capital / Paulo Weinberger</t>
  </si>
  <si>
    <t xml:space="preserve">Imoveis São Bernardo do Campo </t>
  </si>
  <si>
    <t>Ampla Incorporadora</t>
  </si>
  <si>
    <t>Maria das Graça Gontijo x Passos MG</t>
  </si>
  <si>
    <t>Marcelo Mesquita x Estado do Rio</t>
  </si>
  <si>
    <t>2 precatórios</t>
  </si>
  <si>
    <t>Evolu x Morrinhos</t>
  </si>
  <si>
    <t>NEWCON Construçoes x Minaçu</t>
  </si>
  <si>
    <t>NEWCON Construçoes x Cristalina</t>
  </si>
  <si>
    <t>Evolu x Niquelândia</t>
  </si>
  <si>
    <t>Alcantara e Alcantara Advogados</t>
  </si>
  <si>
    <t>Pouco deságio</t>
  </si>
  <si>
    <t>Hilda Novaes x Estado do Rio</t>
  </si>
  <si>
    <t>R$ 4,2m valor atualizado</t>
  </si>
  <si>
    <t>Projeto Atlas (Ativos BRB)</t>
  </si>
  <si>
    <t>12/12 - Aprovamos a compra do crédito do Itau em comite
20/01 - Aguardando retorno do Acacio
03/02 - Precisamos definir a compra do crédito
17/02 - Acreditamos em uma piora do risco de crédito e piora do processo
17/02 - Vamos falar com o Luis Antonio
24/02 - Vamos reprecificar para 2031 e olhar risco de crédito CSN e TLSA
10/03 - Colocar uma proposta para 90/120 dias ou fazer um litigation finance para advogado em brasilia e dps liquida o litigation com o claim
17/03 - Vamos conversar com o Luiz Antonio (Gama e Silva) para pegarmos uma opinião
24/03 - Voltamos com o Acacio que estamos analisando e vamos falar com o Gama e Silva
04/04 - Acácio foi na JGP, vamos mandar até sexta uma nova proposta
22/04 - Enviar uma proposta total de R$ 14m (12,5m Acacio + 1,5m honorários). Vamos fazer um adiantamento de 560k (500k acacio + 60k adv). Aguardando instrumentos e propostas
28/04 - Pendente de envio da proposta (29/05)
06/09 - Proposta enviada - discutindo detalhes da proposta
01/07 - Acacio concordou em fazer a operação no fundo IV
13/08 - Acacio voltou a procurar, vamos voltar que o exito do advogado vai ser pago proporcional
20/08 - Vamos falar para ele estamos levantando o fundo iv e entao voltamos a falar
04/08 - Vamos esperar julgamento do recurso especial - Acacio seguir com MF e dps voltamos conversar - CSN piorou tb</t>
  </si>
  <si>
    <t>24/02 - Enviaram as infos. Em análise
24/02 - vamos olhar as açoes
27/02 - vamos falar com o adv de floripa para entender melhor as ações
20/07 - Querem vender os claims para pagar a prisma
27/07 - Em análise
04/08 - Claims bons porem atrasados</t>
  </si>
  <si>
    <t>Valor de face estava errado (não era 1bi), dificil ser pago</t>
  </si>
  <si>
    <t>06/07 - Prazo para expediçao e entender acordo (pouco desagio)
13/07 - Aguardando resposta a proposta indicativa
27/07 - Vamos cobrar na semana do dia 04/08 (tinham reuniao de conselho no dia 23/07)
04/08 - Contraproposta enviada</t>
  </si>
  <si>
    <t>Ativo da Officer, REAG envolvida</t>
  </si>
  <si>
    <t>Empresa ainda em negativa, nao contratou HH</t>
  </si>
  <si>
    <t>O precatório federal é detido pelo Antonio Martins, um grileiro de terras bem famoso. Não conseguimos avançar. Quanto ao crédito de SP, não adquirimos precatório estadual de SP no momento.</t>
  </si>
  <si>
    <t>projeto ruim e setor estressado</t>
  </si>
  <si>
    <t>Credito Ruim</t>
  </si>
  <si>
    <t>Credito complicado, REAG envolvida</t>
  </si>
  <si>
    <t>03/08 - Em análise</t>
  </si>
  <si>
    <t>Conterp x Petrobras</t>
  </si>
  <si>
    <t>Marcus Mazetto (Yap Investimentos)</t>
  </si>
  <si>
    <t>Gabriel Galdino</t>
  </si>
  <si>
    <t>Edmar Valério</t>
  </si>
  <si>
    <t>João Santos</t>
  </si>
  <si>
    <t xml:space="preserve">Vendeu imóvel, vao colocar 200m e querem resolver o DIP da Arc (pre pagar) </t>
  </si>
  <si>
    <t>DCM Vinci</t>
  </si>
  <si>
    <t>Grupo Tedesco</t>
  </si>
  <si>
    <t>Ensacamento de cimento, maiores fabricantes de saco de cimento, passaram para reest, divida de 200m (CDI+5%)</t>
  </si>
  <si>
    <t>Marcelo Santo Antonio</t>
  </si>
  <si>
    <t>Luciolo x Precatorios Tocantins</t>
  </si>
  <si>
    <t>BFMB Partners</t>
  </si>
  <si>
    <t>R$ 2,7m valor atualizado. Precatorio 0007270-33.2022.8.27.270</t>
  </si>
  <si>
    <t>Operação Família Antigo</t>
  </si>
  <si>
    <t>Euripedes Junior</t>
  </si>
  <si>
    <t>Sotave</t>
  </si>
  <si>
    <t>Remax / JGP FA</t>
  </si>
  <si>
    <t>Ativo mto lastreado em garantias, que não eram boas
Ativo menor que a garantia, poderia fazer daçao em pgto pra prisma</t>
  </si>
  <si>
    <t>nao voltaram com quem gostaria de vender</t>
  </si>
  <si>
    <t>Capitalizaram a empresa ao inves de vender o preca</t>
  </si>
  <si>
    <t>Mesmo caso trazido pelo Maciel (Criteria)</t>
  </si>
  <si>
    <t>11/08 - Aguardando a reuniao de conselho, relembrar ao final de agosto</t>
  </si>
  <si>
    <t>FIDC sem desagio</t>
  </si>
  <si>
    <t>Valor mto baixo de desembolso e ativo foi  vendido</t>
  </si>
  <si>
    <t>11/08 - Colocamos a proposta, aguardando resposta</t>
  </si>
  <si>
    <t>Passar o feedback, mas empresa sem geraçao de caixa e garantia operacionais (lojas TokStok)</t>
  </si>
  <si>
    <t>R$ 50m, sendo 30m de saidera pra investidores anjo e 20m para capital novo - Sem sentido dar saída para investidor anjo</t>
  </si>
  <si>
    <t>Expectativa de pagamento acima de 7 anos, pediu para voltar a falar em 1 ano</t>
  </si>
  <si>
    <t>11/08 - Pendente do envio de infos</t>
  </si>
  <si>
    <t>Pre precatorio Municipal</t>
  </si>
  <si>
    <t>Precatório expedido em 2026</t>
  </si>
  <si>
    <t xml:space="preserve">Precatorio Municipal </t>
  </si>
  <si>
    <t>Terral x Rio Claro</t>
  </si>
  <si>
    <t>Planet Web Telefonica</t>
  </si>
  <si>
    <t>Precatorio Qualix x Osasco</t>
  </si>
  <si>
    <t>Expedido Somente em 2026</t>
  </si>
  <si>
    <t>Lucas Borges (Simetrio Capital)</t>
  </si>
  <si>
    <t>Email de atualizaçao de cadastro</t>
  </si>
  <si>
    <t>11/08 - Call agendado dia 12/08</t>
  </si>
  <si>
    <t>Grupo Vitória x CEMIG</t>
  </si>
  <si>
    <t>Comercio e Industria de Cereias COINCO</t>
  </si>
  <si>
    <t>14/08 - Perguntei sobre o desconto, me retornaram falando que estao esperando resposta aos questionamentos que fizeram a empresa</t>
  </si>
  <si>
    <t>Desapropriação da Fazenda Araguaia</t>
  </si>
  <si>
    <t>Angela Maria x Fortaleza</t>
  </si>
  <si>
    <t>Deal de linha de Transmissão</t>
  </si>
  <si>
    <t>28/04 - Em análise
15/05 - Sem valor de referencia para precificicação
28/05 - Reunião 30/05
09/06 - Reunião realizada dia 05/06
16/06 - Em análise do laudo
23/06 - Vamos propor ajuda em um eventual litigation finance
01/07 - Vamos passar uma proposta indicativa, mas o crédito seria para o fundo IV
01/07 - Proposta de R$ 15m, +15m na homologação do laudo se chegar a um valor determinado + R$ 30m com o transito em julgado - aqui fazer um % de acordo com o prazo - fazer a conta em cima do cenario de 3% (Prazo e % a mais) - isso terá MOIC travado - 40%a.a TIR. Custo de adv (R$ 2m) e perícia 400mil(laudo+ pericia) e fazer uma escala de exito se receber antes (3%a 5%) - Conta total deve dar uns 40% do valor do claim. No exito é sobre o todo mas paga proporcional. Colocar o fee do marco e da FA (R$ 3m p marco e 3% para FA). Oferecer 16m ja contemplando o do Marco, apresentar esse valor.
07/07 - fechamos uma proposta, esta pendente de envio 
15/07 - Call amanha as 11h para falar da margem
17/08 - Vitoria vai analisar</t>
  </si>
  <si>
    <t>17/08 - Vamos esperar a resposta da nossa proposta nos primeiros claims</t>
  </si>
  <si>
    <t>CRI para terminar obra</t>
  </si>
  <si>
    <t>31/07 - Enviamos um bid de 6,1m para uma divida de 105m
Itau revendo o credito
11/08 - Vamos ligar para o sócio da Italora
17/08 - Ainda nao conseguimos contato nem os numeros</t>
  </si>
  <si>
    <t xml:space="preserve">Vamo fazer um filtro com os maiores precas </t>
  </si>
  <si>
    <t>11/08 - Vamos cobrar as infos do Edmar
17/08 - Edmar pediu para aguardar</t>
  </si>
  <si>
    <t>Taxa baixa</t>
  </si>
  <si>
    <t>Mtos cedentes, valor de desembolso pequeno</t>
  </si>
  <si>
    <t>17/08 - Mandamos a proposta, pendente resposta da Hayden</t>
  </si>
  <si>
    <t>Esse caso já é bem conhecido e quem recebeu, recebeu</t>
  </si>
  <si>
    <t>Pagamento em TDA</t>
  </si>
  <si>
    <t>14/08 - Levamos o deal para o Guilherme EMS</t>
  </si>
  <si>
    <t>Precatórios Sergipe</t>
  </si>
  <si>
    <t>Pedro Guedes</t>
  </si>
  <si>
    <t>Fundo Silverado</t>
  </si>
  <si>
    <t>Mellon</t>
  </si>
  <si>
    <t>Fundos FCVS</t>
  </si>
  <si>
    <t>24/08 - On hold, gostariam de fazer um sale leaseback - o que seria um limitador pra gente</t>
  </si>
  <si>
    <t>Star x Fortaleza</t>
  </si>
  <si>
    <t>Valor pequeno e pouco desconto</t>
  </si>
  <si>
    <t>Grupo Pérola</t>
  </si>
  <si>
    <t>Manetoni</t>
  </si>
  <si>
    <t>Nova Motores</t>
  </si>
  <si>
    <t>Veedha Capital</t>
  </si>
  <si>
    <t>FASP x BNB</t>
  </si>
  <si>
    <t>Detasa x BB</t>
  </si>
  <si>
    <t>Estado de Sp x Construtora Lix da Cunha</t>
  </si>
  <si>
    <t>FAMA x Estado de Amazonas</t>
  </si>
  <si>
    <t>Caso bom mas açao imprevisivel, dificil de precificar. Vibra colocou Salomao como adv. Expectativa do cedente mto alta tbm</t>
  </si>
  <si>
    <t>04/08 - Vamos marcar reuniao com RK Partners
17/08 - estao pensando em desagio de 500m, vamos analisar o quadro pra ver se tem algum angulo
24/08  - vamos marcar com os demais credores</t>
  </si>
  <si>
    <t>Muita Cessão</t>
  </si>
  <si>
    <t>Não levamos, colocamos um BID de R$ 6m</t>
  </si>
  <si>
    <t>Ativos Judiciais (UNISA)</t>
  </si>
  <si>
    <t>24/08 - Grupo em RJ, crise foi desencadeada pelos inadimplementos da CEMIG.</t>
  </si>
  <si>
    <t>24/08 - Recebemos as açoes, vamos analisar</t>
  </si>
  <si>
    <t>24/08 - Vamos atualizar e entender se vamos olhar ou não</t>
  </si>
  <si>
    <t xml:space="preserve">Fazenda Araguaia </t>
  </si>
  <si>
    <t>Nova Rio x União</t>
  </si>
  <si>
    <t>Sapucaí x Família Aguiar</t>
  </si>
  <si>
    <t>Valcon Capital</t>
  </si>
  <si>
    <t>O crédito, atualmente próximo de R$ 163 milhões, encontra-se em fase avançada de execução e for recentemente validado pelo TJ/MG. Em acórdão de abril/2026, o tribunal corroborou decisão de primeiro grau que validou cessões realizadas (há um único detentor) e afastou argumento sobre suposta prescrição intercorrente.</t>
  </si>
  <si>
    <t>TDA</t>
  </si>
  <si>
    <t>Projeto Vertria</t>
  </si>
  <si>
    <t>Fizemos call com eles, aguardando trazerem deal</t>
  </si>
  <si>
    <t>Trouxe outras operações</t>
  </si>
  <si>
    <t>Pouco collateral e sem capacidade de pagamento</t>
  </si>
  <si>
    <t xml:space="preserve">24/08 - Filtro realizado, vamos tentar contato </t>
  </si>
  <si>
    <t>Proejto de real estate, sem fit com o fundo</t>
  </si>
  <si>
    <t>Oportunidades Agrosimples</t>
  </si>
  <si>
    <t>Agrosimples</t>
  </si>
  <si>
    <t>1) Indústria de fertilizantes do triângulo mineiro como credora e tendo como devedores:
1.1 – Caso conhecido, Grupo produtor de Café - Ruiz Coffee, de Piumhi/MG devendo valor de R$ 8.1 MI vencida em 06/26. Extrajudicial.
1.2 – Produtores de Alho, Cebola e Batata de Santa Juliana/MG devendo valor de R$ 3,4 MI, vencida em 09/25, tendo confissão de dívida + avalistas, no entanto com R$ 1,8 (dos 3,4) sendo em nome de falecido e com processo de inventário em andamento. Judicial;
1.3 – Produtor de CDA e Soja de Nova Alvorada do Sul/MS devendo valor de R$ 2,3 MI, vencida em 05/26 tendo contrato de confissão de dívida. Extrajudicia
2) Indústria de fertilizantes do interior de SP como credora e tendo como devedores:
2.1 – Revenda Agrícola de Cristalina/GO devendo valor de R$ 1,2 MI, vencido em 06/26. Extrajudicial com carta fiança e contrato de confissão de dívida. Cliente precisa de 270K para vender o caso e limpar balanço pois estará em auditoria da matriz Chinesa nos próximos dias.</t>
  </si>
  <si>
    <t>Bonfrigo</t>
  </si>
  <si>
    <t>Allu</t>
  </si>
  <si>
    <t>A Allu busca levantar recursos para sustentar seu crescimento, por meio de uma dívida mezanino, em que o credor participe da geração de equity value, mas tenha ao mesmo tempo downside protection relevante, com acesso aos ativos da cia (aparelhos e contratos de locação) e potencialmente direito de conversão em cenários de crédito.</t>
  </si>
  <si>
    <t>Andre Andrade</t>
  </si>
  <si>
    <t>Espólio Julio José x Amaro de Araújo Pereira Filho</t>
  </si>
  <si>
    <t>Crédito judicial Ação de apuração de haveres</t>
  </si>
  <si>
    <t>Debentures em default</t>
  </si>
  <si>
    <t>Elos (Maiara)</t>
  </si>
  <si>
    <t>Pre precatorio Estadual</t>
  </si>
  <si>
    <t>Odebrecht x Estado da Bahia</t>
  </si>
  <si>
    <t>Precatório São Gonçalo</t>
  </si>
  <si>
    <t>Thiago Iozzi</t>
  </si>
  <si>
    <t>Ativo no Paraná</t>
  </si>
  <si>
    <t>Peninsula</t>
  </si>
  <si>
    <t>0008539-60.2008.8.16.0031 (cumprimento de sentença 0016994-57.2021.8.16.0031)</t>
  </si>
  <si>
    <t>Araújo Engenharia</t>
  </si>
  <si>
    <t>Carteira de Condomínio - Tambaba</t>
  </si>
  <si>
    <t>Duas carteiras que querem comprar, desagio do valor atualizado de 50%</t>
  </si>
  <si>
    <t>25/06 - Colocamos proposta, pendente de resposta do Ivo.
27/07 - Ivo estava voltando de férias
17/08 - Vamos cobrar o ivo na proxima semana
31/08 - Ivo devendo resposta - falamos dia 24/08</t>
  </si>
  <si>
    <t>06/07 - Precificar municipio do Rio
13/07 - Em analise do Juridico
27/07 - Vao compartilhar o laudo - ja passamos q nao consegumos desembolsar 150m - vamos aguardar
31/08 - Se assinar o acordo com a ODB, podemos eventualmente entrar.</t>
  </si>
  <si>
    <t xml:space="preserve">Saber se a gnt consegue </t>
  </si>
  <si>
    <t>31/08 - Olhar fila da Bahia</t>
  </si>
  <si>
    <t>03/08 - Colocamos a proposta a R$ 3.6m
24/08 - Cobramos o Enio de uma resposta
31/8 - Enio ia ter reuniao com Joelina</t>
  </si>
  <si>
    <t>Proposta declinada pela Ocyan</t>
  </si>
  <si>
    <t>Não precificamos</t>
  </si>
  <si>
    <t>17/08 - Unisa ofereceu acordo ao credor. Esperando resposta do Gabriel
31/08 - Gabriel disse que nao houve proposta formal para acordo</t>
  </si>
  <si>
    <t>Proposta declinada</t>
  </si>
  <si>
    <t>31/08 - Colocamos proposta de R$ 1,55m</t>
  </si>
  <si>
    <t>31/08 - Iriam mandar mais informações, porém sabiam pouco do deal</t>
  </si>
  <si>
    <t>Ano eleitoral, dificil fechar acordo BNB</t>
  </si>
  <si>
    <t>Credito contra o BB</t>
  </si>
  <si>
    <t>Belquior x BB</t>
  </si>
  <si>
    <t>Credito de 1,5bi, demora mto a pagar (se pagar)</t>
  </si>
  <si>
    <t xml:space="preserve">TDA </t>
  </si>
  <si>
    <t>31/08 - Vamos analisar</t>
  </si>
  <si>
    <t>dívida de curto prazo para uma companhia não auditada, destinada à expansão. Dado o tamanho do cheque, ficaríamos bastante expostos ao risco de execução operacional. Talvez faça sentido explorar para o special sits, mas, ainda assim, a taxa indicativa está bastante distante do hurdle da área</t>
  </si>
  <si>
    <t>Frigorifico em goias</t>
  </si>
  <si>
    <t>Muitos fundos ja compraram</t>
  </si>
  <si>
    <t>Tapete Azul</t>
  </si>
  <si>
    <t>Açao contra Azul, foram desenvolvedores de um projeto da azul (neon), teve uma rescisão. Simone Barros (Ferro)</t>
  </si>
  <si>
    <t>Colégio Palmares</t>
  </si>
  <si>
    <t>Colégio comprado pelo Carlos Melke, não pagaram os antigos donos. Simone Barros</t>
  </si>
  <si>
    <t>Marcelo Lopes</t>
  </si>
  <si>
    <t>Vander x Volkswagen</t>
  </si>
  <si>
    <t>Ação de 80m contra uma PF</t>
  </si>
  <si>
    <t>Ferreira e Chagas</t>
  </si>
  <si>
    <t>Grupo BRQ - Laticinio</t>
  </si>
  <si>
    <t>11/08 - NDA pendente de subir/assinar
31/08 - Arquivo salvos e apos analise inicial entrar em contato com a Agree (Raysa)
08/09 - Reuniao com a Radice (09/09)</t>
  </si>
  <si>
    <t>17/08 - Enviamos a proposta na sexta (14/08)
24/08 - Enviamos a proposta revisada (21/08)
31/08 - Ia voltar quinta (27/08)
08/09 - Esperança de acordo com a Petrobras, vamos retomar o tema com o advogado 21/09</t>
  </si>
  <si>
    <t>CSL</t>
  </si>
  <si>
    <t>Stars Bank</t>
  </si>
  <si>
    <t>Global Wellness FIDC, destinado ao financiamento de franqueados da rede SkyFit para aquisição de equipamentos de fornecedores homologados pela rede de academias, importados pela Global Wellness (Rockton Fitness)</t>
  </si>
  <si>
    <t>Global Wellness FIDC</t>
  </si>
  <si>
    <t>Projeto Solaris (Fruticultura)</t>
  </si>
  <si>
    <t>Value Capital</t>
  </si>
  <si>
    <t>Rildo Soares x CSN</t>
  </si>
  <si>
    <t>Triunfo</t>
  </si>
  <si>
    <t>Carteira de Ações</t>
  </si>
  <si>
    <t>IESA</t>
  </si>
  <si>
    <t>Construturor QGI x Petrobras</t>
  </si>
  <si>
    <t>31/08 - Fazer reunião com a Multipar
08/09 - Mandamos a proposta do DIP</t>
  </si>
  <si>
    <t>08/09 - Tem que entrar com IDPJ, perguntaremos a ideia de valor de compra. Não é algo que olhamos mas pedir ideia de preço</t>
  </si>
  <si>
    <t>Precatorio nao expedido</t>
  </si>
  <si>
    <t>Valores mto pequenos</t>
  </si>
  <si>
    <t>08/09 - Em análise</t>
  </si>
  <si>
    <t>31/08 - Reunião 03/09
08/09 - Compartilharam informações e vamos marcar um call com a Simone na sexta (11/09)</t>
  </si>
  <si>
    <t>08/09 - Mandamos msg pro Lopes, sem resposta</t>
  </si>
  <si>
    <t>08/09 - Compartilharam as infos</t>
  </si>
  <si>
    <t>Golden Capital</t>
  </si>
  <si>
    <t>Progen (Pacaembu)</t>
  </si>
  <si>
    <t>Emprestimo de 20m e refinanciar a divida atual</t>
  </si>
  <si>
    <t>08/09 - Vamos marcar um call</t>
  </si>
  <si>
    <t>08/09 - Mandaram as infos</t>
  </si>
  <si>
    <t>08/09 -Falar com Theo</t>
  </si>
  <si>
    <t>Precatorio Parana</t>
  </si>
  <si>
    <t>08/09 - Açoes ruins</t>
  </si>
  <si>
    <t>Açoes contra companhia eletrica Sinop</t>
  </si>
  <si>
    <t>160m - 30%</t>
  </si>
  <si>
    <t>400m - 20%</t>
  </si>
  <si>
    <t>Ações são ruins</t>
  </si>
  <si>
    <t>NPL Banco do Brasil</t>
  </si>
  <si>
    <t>08/09 - Vamos analisar</t>
  </si>
  <si>
    <t>Nexus Telecom</t>
  </si>
  <si>
    <t>Andre Garisto</t>
  </si>
  <si>
    <t>Farao do Bitcoin - Falencia</t>
  </si>
  <si>
    <t>3D Assets</t>
  </si>
  <si>
    <t>Serra dos Cristais - Cajamar/SP x Construtora Nova Horizonte</t>
  </si>
  <si>
    <t>FUNDEF x Uniao</t>
  </si>
  <si>
    <t>Lawrence Larroyd x União Federal</t>
  </si>
  <si>
    <t>Credito mto complicado</t>
  </si>
  <si>
    <t>Mta cessão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</si>
</sst>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409]d\-mmm\-yy;@"/>
    <numFmt numFmtId="167" formatCode="[$-409]mmm\-yy;@"/>
    <numFmt numFmtId="168" formatCode="[$-409]dd\-mmm\-yy;@"/>
    <numFmt numFmtId="169" formatCode="_(#,##0_)_%;\(#,##0\)_%;_(&quot;–&quot;_)_%;_(@_)_%"/>
  </numFmts>
  <fonts count="18">
    <font>
      <sz val="11"/>
      <color theme="1"/>
      <name val="Calibri"/>
      <family val="2"/>
      <scheme val="minor"/>
    </font>
    <font>
      <sz val="11"/>
      <color rgb="FF9C0006"/>
      <name val="Calibri"/>
      <family val="2"/>
      <scheme val="minor"/>
    </font>
    <font>
      <sz val="11"/>
      <color rgb="FF9C5700"/>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sz val="11"/>
      <name val="Calibri"/>
      <family val="2"/>
      <scheme val="minor"/>
    </font>
    <font>
      <b/>
      <sz val="18"/>
      <color theme="1"/>
      <name val="Calibri"/>
      <family val="2"/>
      <scheme val="minor"/>
    </font>
    <font>
      <sz val="11"/>
      <color rgb="FFFF0000"/>
      <name val="Calibri"/>
      <family val="2"/>
      <scheme val="minor"/>
    </font>
    <font>
      <sz val="11"/>
      <color rgb="FF006100"/>
      <name val="Calibri"/>
      <family val="2"/>
      <scheme val="minor"/>
    </font>
    <font>
      <b/>
      <sz val="12"/>
      <color theme="0"/>
      <name val="Founders Grotesk Light"/>
      <family val="2"/>
    </font>
    <font>
      <b/>
      <u/>
      <sz val="11"/>
      <color theme="1"/>
      <name val="Calibri"/>
      <family val="2"/>
      <scheme val="minor"/>
    </font>
    <font>
      <b/>
      <sz val="12"/>
      <name val="Founders Grotesk Light"/>
      <family val="2"/>
    </font>
    <font>
      <sz val="12"/>
      <color theme="1"/>
      <name val="Aptos"/>
      <family val="2"/>
    </font>
    <font>
      <sz val="11"/>
      <color theme="0"/>
      <name val="Calibri"/>
      <family val="2"/>
      <scheme val="minor"/>
    </font>
    <font>
      <u/>
      <sz val="11"/>
      <color theme="1"/>
      <name val="Calibri"/>
      <family val="2"/>
      <scheme val="minor"/>
    </font>
    <font>
      <sz val="10"/>
      <color theme="1"/>
      <name val="Verdana"/>
      <family val="2"/>
    </font>
    <font>
      <sz val="11"/>
      <color rgb="FF3F3F76"/>
      <name val="Calibri"/>
      <family val="2"/>
      <scheme val="minor"/>
    </font>
  </fonts>
  <fills count="14">
    <fill>
      <patternFill patternType="none"/>
    </fill>
    <fill>
      <patternFill patternType="gray125"/>
    </fill>
    <fill>
      <patternFill patternType="solid">
        <fgColor rgb="FFFFC7CE"/>
      </patternFill>
    </fill>
    <fill>
      <patternFill patternType="solid">
        <fgColor rgb="FFFFEB9C"/>
      </patternFill>
    </fill>
    <fill>
      <patternFill patternType="solid">
        <fgColor theme="0" tint="-4.9989318521683403E-2"/>
        <bgColor indexed="64"/>
      </patternFill>
    </fill>
    <fill>
      <patternFill patternType="solid">
        <fgColor theme="3"/>
        <bgColor indexed="64"/>
      </patternFill>
    </fill>
    <fill>
      <patternFill patternType="solid">
        <fgColor rgb="FFFFFF00"/>
        <bgColor indexed="64"/>
      </patternFill>
    </fill>
    <fill>
      <patternFill patternType="solid">
        <fgColor theme="7"/>
        <bgColor indexed="64"/>
      </patternFill>
    </fill>
    <fill>
      <patternFill patternType="solid">
        <fgColor rgb="FFC6EFCE"/>
      </patternFill>
    </fill>
    <fill>
      <patternFill patternType="solid">
        <fgColor theme="5" tint="0.79998168889431442"/>
        <bgColor indexed="64"/>
      </patternFill>
    </fill>
    <fill>
      <patternFill patternType="solid">
        <fgColor theme="5"/>
        <bgColor indexed="64"/>
      </patternFill>
    </fill>
    <fill>
      <patternFill patternType="solid">
        <fgColor theme="9" tint="-0.249977111117893"/>
        <bgColor indexed="64"/>
      </patternFill>
    </fill>
    <fill>
      <patternFill patternType="solid">
        <fgColor rgb="FFFF0000"/>
        <bgColor indexed="64"/>
      </patternFill>
    </fill>
    <fill>
      <patternFill patternType="solid">
        <fgColor rgb="FFFFCC99"/>
      </patternFill>
    </fill>
  </fills>
  <borders count="50">
    <border>
      <left/>
      <right/>
      <top/>
      <bottom/>
      <diagonal/>
    </border>
    <border>
      <left style="thin">
        <color auto="1"/>
      </left>
      <right style="thin">
        <color auto="1"/>
      </right>
      <top style="thin">
        <color auto="1"/>
      </top>
      <bottom style="thin">
        <color auto="1"/>
      </bottom>
      <diagonal/>
    </border>
    <border>
      <left style="mediumDashed">
        <color rgb="FFFF0000"/>
      </left>
      <right/>
      <top style="mediumDashed">
        <color rgb="FFFF0000"/>
      </top>
      <bottom style="mediumDashed">
        <color rgb="FFFF0000"/>
      </bottom>
      <diagonal/>
    </border>
    <border>
      <left/>
      <right/>
      <top style="mediumDashed">
        <color rgb="FFFF0000"/>
      </top>
      <bottom style="mediumDashed">
        <color rgb="FFFF0000"/>
      </bottom>
      <diagonal/>
    </border>
    <border>
      <left/>
      <right style="mediumDashed">
        <color rgb="FFFF0000"/>
      </right>
      <top style="mediumDashed">
        <color rgb="FFFF0000"/>
      </top>
      <bottom style="mediumDashed">
        <color rgb="FFFF0000"/>
      </bottom>
      <diagonal/>
    </border>
    <border>
      <left style="dashed">
        <color rgb="FFFF0000"/>
      </left>
      <right/>
      <top style="dashed">
        <color rgb="FFFF0000"/>
      </top>
      <bottom style="dashed">
        <color rgb="FFFF0000"/>
      </bottom>
      <diagonal/>
    </border>
    <border>
      <left/>
      <right/>
      <top style="dashed">
        <color rgb="FFFF0000"/>
      </top>
      <bottom style="dashed">
        <color rgb="FFFF0000"/>
      </bottom>
      <diagonal/>
    </border>
    <border>
      <left/>
      <right style="dashed">
        <color rgb="FFFF0000"/>
      </right>
      <top style="dashed">
        <color rgb="FFFF0000"/>
      </top>
      <bottom style="dashed">
        <color rgb="FFFF0000"/>
      </bottom>
      <diagonal/>
    </border>
    <border>
      <left style="dashed">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style="dashed">
        <color theme="0" tint="-0.34998626667073579"/>
      </right>
      <top style="dashed">
        <color theme="0" tint="-0.34998626667073579"/>
      </top>
      <bottom/>
      <diagonal/>
    </border>
    <border>
      <left style="thin">
        <color theme="0"/>
      </left>
      <right style="thin">
        <color theme="0"/>
      </right>
      <top style="dashed">
        <color theme="5" tint="0.39994506668294322"/>
      </top>
      <bottom/>
      <diagonal/>
    </border>
    <border>
      <left style="dashed">
        <color theme="5" tint="0.39994506668294322"/>
      </left>
      <right style="thin">
        <color theme="0"/>
      </right>
      <top/>
      <bottom/>
      <diagonal/>
    </border>
    <border>
      <left style="thin">
        <color theme="0"/>
      </left>
      <right style="thin">
        <color theme="0"/>
      </right>
      <top/>
      <bottom/>
      <diagonal/>
    </border>
    <border>
      <left style="thin">
        <color theme="0"/>
      </left>
      <right style="dashed">
        <color theme="5" tint="0.39994506668294322"/>
      </right>
      <top/>
      <bottom/>
      <diagonal/>
    </border>
    <border>
      <left style="dashed">
        <color theme="5" tint="0.39994506668294322"/>
      </left>
      <right style="thin">
        <color theme="0"/>
      </right>
      <top/>
      <bottom style="dashed">
        <color theme="5" tint="0.39994506668294322"/>
      </bottom>
      <diagonal/>
    </border>
    <border>
      <left style="thin">
        <color theme="0"/>
      </left>
      <right style="thin">
        <color theme="0"/>
      </right>
      <top/>
      <bottom style="dashed">
        <color theme="5" tint="0.39994506668294322"/>
      </bottom>
      <diagonal/>
    </border>
    <border>
      <left style="thin">
        <color theme="0"/>
      </left>
      <right style="dashed">
        <color theme="5" tint="0.39994506668294322"/>
      </right>
      <top/>
      <bottom style="dashed">
        <color theme="5" tint="0.39994506668294322"/>
      </bottom>
      <diagonal/>
    </border>
    <border>
      <left style="dashed">
        <color theme="7" tint="0.39994506668294322"/>
      </left>
      <right style="thin">
        <color theme="0"/>
      </right>
      <top style="dashed">
        <color theme="5" tint="0.39994506668294322"/>
      </top>
      <bottom/>
      <diagonal/>
    </border>
    <border>
      <left style="thin">
        <color theme="0"/>
      </left>
      <right style="dashed">
        <color theme="7" tint="0.39994506668294322"/>
      </right>
      <top style="dashed">
        <color theme="5" tint="0.39994506668294322"/>
      </top>
      <bottom/>
      <diagonal/>
    </border>
    <border>
      <left style="dashed">
        <color theme="7" tint="0.39994506668294322"/>
      </left>
      <right style="thin">
        <color theme="0"/>
      </right>
      <top/>
      <bottom/>
      <diagonal/>
    </border>
    <border>
      <left style="thin">
        <color theme="0"/>
      </left>
      <right style="dashed">
        <color theme="7" tint="0.39994506668294322"/>
      </right>
      <top/>
      <bottom/>
      <diagonal/>
    </border>
    <border>
      <left style="dashed">
        <color theme="7" tint="0.39994506668294322"/>
      </left>
      <right style="thin">
        <color theme="0"/>
      </right>
      <top/>
      <bottom style="dashed">
        <color theme="7" tint="0.39994506668294322"/>
      </bottom>
      <diagonal/>
    </border>
    <border>
      <left style="thin">
        <color theme="0"/>
      </left>
      <right style="thin">
        <color theme="0"/>
      </right>
      <top/>
      <bottom style="dashed">
        <color theme="7" tint="0.39994506668294322"/>
      </bottom>
      <diagonal/>
    </border>
    <border>
      <left style="thin">
        <color theme="0"/>
      </left>
      <right style="dashed">
        <color theme="7" tint="0.39994506668294322"/>
      </right>
      <top/>
      <bottom style="dashed">
        <color theme="7" tint="0.39994506668294322"/>
      </bottom>
      <diagonal/>
    </border>
    <border>
      <left style="dashed">
        <color theme="9" tint="0.39994506668294322"/>
      </left>
      <right style="thin">
        <color theme="0"/>
      </right>
      <top style="dashed">
        <color theme="7" tint="0.39994506668294322"/>
      </top>
      <bottom/>
      <diagonal/>
    </border>
    <border>
      <left style="thin">
        <color theme="0"/>
      </left>
      <right style="thin">
        <color theme="0"/>
      </right>
      <top style="dashed">
        <color theme="7" tint="0.39994506668294322"/>
      </top>
      <bottom/>
      <diagonal/>
    </border>
    <border>
      <left style="thin">
        <color theme="0"/>
      </left>
      <right style="dashed">
        <color theme="9" tint="0.39994506668294322"/>
      </right>
      <top style="dashed">
        <color theme="7" tint="0.39994506668294322"/>
      </top>
      <bottom/>
      <diagonal/>
    </border>
    <border>
      <left style="dashed">
        <color theme="9" tint="0.39994506668294322"/>
      </left>
      <right style="thin">
        <color theme="0"/>
      </right>
      <top/>
      <bottom/>
      <diagonal/>
    </border>
    <border>
      <left style="thin">
        <color theme="0"/>
      </left>
      <right style="dashed">
        <color theme="9" tint="0.39994506668294322"/>
      </right>
      <top/>
      <bottom/>
      <diagonal/>
    </border>
    <border>
      <left style="dashed">
        <color theme="9" tint="0.39994506668294322"/>
      </left>
      <right style="thin">
        <color theme="0"/>
      </right>
      <top/>
      <bottom style="dashed">
        <color theme="9" tint="0.39994506668294322"/>
      </bottom>
      <diagonal/>
    </border>
    <border>
      <left style="thin">
        <color theme="0"/>
      </left>
      <right style="thin">
        <color theme="0"/>
      </right>
      <top/>
      <bottom style="dashed">
        <color theme="9" tint="0.39994506668294322"/>
      </bottom>
      <diagonal/>
    </border>
    <border>
      <left style="thin">
        <color theme="0"/>
      </left>
      <right style="dashed">
        <color theme="9" tint="0.39994506668294322"/>
      </right>
      <top/>
      <bottom style="dashed">
        <color theme="9" tint="0.39994506668294322"/>
      </bottom>
      <diagonal/>
    </border>
    <border>
      <left/>
      <right style="thin">
        <color theme="0"/>
      </right>
      <top/>
      <bottom/>
      <diagonal/>
    </border>
    <border>
      <left style="thin">
        <color theme="0"/>
      </left>
      <right/>
      <top/>
      <bottom/>
      <diagonal/>
    </border>
    <border>
      <left style="dashed">
        <color rgb="FF00CCFF"/>
      </left>
      <right style="thin">
        <color theme="0"/>
      </right>
      <top style="dashed">
        <color rgb="FF00CCFF"/>
      </top>
      <bottom/>
      <diagonal/>
    </border>
    <border>
      <left style="thin">
        <color theme="0"/>
      </left>
      <right style="thin">
        <color theme="0"/>
      </right>
      <top style="dashed">
        <color rgb="FF00CCFF"/>
      </top>
      <bottom/>
      <diagonal/>
    </border>
    <border>
      <left style="thin">
        <color theme="0"/>
      </left>
      <right style="dashed">
        <color rgb="FF00CCFF"/>
      </right>
      <top style="dashed">
        <color rgb="FF00CCFF"/>
      </top>
      <bottom/>
      <diagonal/>
    </border>
    <border>
      <left style="dashed">
        <color rgb="FF00CCFF"/>
      </left>
      <right style="thin">
        <color theme="0"/>
      </right>
      <top/>
      <bottom/>
      <diagonal/>
    </border>
    <border>
      <left style="thin">
        <color theme="0"/>
      </left>
      <right style="dashed">
        <color rgb="FF00CCFF"/>
      </right>
      <top/>
      <bottom/>
      <diagonal/>
    </border>
    <border>
      <left style="dashed">
        <color rgb="FF00CCFF"/>
      </left>
      <right style="thin">
        <color theme="0"/>
      </right>
      <top/>
      <bottom style="dashed">
        <color rgb="FF00CCFF"/>
      </bottom>
      <diagonal/>
    </border>
    <border>
      <left style="thin">
        <color theme="0"/>
      </left>
      <right style="thin">
        <color theme="0"/>
      </right>
      <top/>
      <bottom style="dashed">
        <color rgb="FF00CCFF"/>
      </bottom>
      <diagonal/>
    </border>
    <border>
      <left style="thin">
        <color theme="0"/>
      </left>
      <right style="dashed">
        <color rgb="FF00CCFF"/>
      </right>
      <top/>
      <bottom style="dashed">
        <color rgb="FF00CCFF"/>
      </bottom>
      <diagonal/>
    </border>
    <border>
      <left style="dashed">
        <color theme="0" tint="-0.24994659260841701"/>
      </left>
      <right style="dashed">
        <color theme="0" tint="-0.24994659260841701"/>
      </right>
      <top style="dashed">
        <color theme="0" tint="-0.24994659260841701"/>
      </top>
      <bottom style="dashed">
        <color theme="0" tint="-0.24994659260841701"/>
      </bottom>
      <diagonal/>
    </border>
    <border>
      <left/>
      <right style="dashed">
        <color theme="0" tint="-0.24994659260841701"/>
      </right>
      <top style="dashed">
        <color theme="0" tint="-0.24994659260841701"/>
      </top>
      <bottom style="dashed">
        <color theme="0" tint="-0.24994659260841701"/>
      </bottom>
      <diagonal/>
    </border>
    <border>
      <left style="dashed">
        <color theme="0" tint="-0.14996795556505021"/>
      </left>
      <right style="dashed">
        <color theme="0" tint="-0.14996795556505021"/>
      </right>
      <top style="dashed">
        <color theme="0" tint="-0.14996795556505021"/>
      </top>
      <bottom style="dashed">
        <color theme="0" tint="-0.14996795556505021"/>
      </bottom>
      <diagonal/>
    </border>
    <border>
      <left/>
      <right/>
      <top style="thin">
        <color indexed="64"/>
      </top>
      <bottom style="thin">
        <color indexed="64"/>
      </bottom>
      <diagonal/>
    </border>
    <border>
      <left style="dashed">
        <color theme="0" tint="-0.14996795556505021"/>
      </left>
      <right style="dashed">
        <color theme="0" tint="-0.14996795556505021"/>
      </right>
      <top/>
      <bottom/>
      <diagonal/>
    </border>
    <border>
      <left/>
      <right/>
      <top/>
      <bottom style="thin">
        <color indexed="64"/>
      </bottom>
      <diagonal/>
    </border>
    <border>
      <left/>
      <right style="dashed">
        <color theme="0" tint="-0.24994659260841701"/>
      </right>
      <top/>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9" fillId="8" borderId="0" applyNumberFormat="0" applyBorder="0" applyAlignment="0" applyProtection="0"/>
    <xf numFmtId="0" fontId="17" fillId="13" borderId="49" applyNumberFormat="0" applyAlignment="0" applyProtection="0"/>
  </cellStyleXfs>
  <cellXfs count="23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16" fontId="0" fillId="0" borderId="0" xfId="0" applyNumberFormat="1" applyAlignment="1">
      <alignment horizontal="center" vertical="center" wrapText="1"/>
    </xf>
    <xf numFmtId="0" fontId="1" fillId="2" borderId="0" xfId="1" applyAlignment="1">
      <alignment horizontal="center" vertical="center" wrapText="1"/>
    </xf>
    <xf numFmtId="0" fontId="0" fillId="4" borderId="0" xfId="0" applyFill="1" applyAlignment="1">
      <alignment horizontal="center" vertical="center" wrapText="1"/>
    </xf>
    <xf numFmtId="16" fontId="0" fillId="4" borderId="0" xfId="0" applyNumberFormat="1" applyFill="1" applyAlignment="1">
      <alignment horizontal="center" vertical="center" wrapText="1"/>
    </xf>
    <xf numFmtId="0" fontId="5" fillId="5" borderId="0" xfId="0" applyFont="1" applyFill="1" applyAlignment="1">
      <alignment horizontal="center" vertical="center"/>
    </xf>
    <xf numFmtId="0" fontId="2" fillId="3" borderId="0" xfId="2" applyAlignment="1">
      <alignment horizontal="center" vertical="center" wrapText="1"/>
    </xf>
    <xf numFmtId="0" fontId="0" fillId="4" borderId="0" xfId="0" applyFill="1" applyAlignment="1">
      <alignment vertical="center" wrapText="1"/>
    </xf>
    <xf numFmtId="0" fontId="1" fillId="2" borderId="0" xfId="1" applyAlignment="1">
      <alignment horizontal="center"/>
    </xf>
    <xf numFmtId="0" fontId="2" fillId="3" borderId="0" xfId="2" applyAlignment="1">
      <alignment horizontal="center"/>
    </xf>
    <xf numFmtId="0" fontId="3" fillId="5" borderId="0" xfId="0" applyFont="1" applyFill="1" applyAlignment="1">
      <alignment horizontal="center"/>
    </xf>
    <xf numFmtId="0" fontId="4" fillId="0" borderId="1" xfId="0" applyFont="1" applyBorder="1"/>
    <xf numFmtId="0" fontId="4" fillId="0" borderId="1" xfId="0" applyFont="1" applyBorder="1" applyAlignment="1">
      <alignment horizontal="center"/>
    </xf>
    <xf numFmtId="0" fontId="7" fillId="0" borderId="0" xfId="0" applyFont="1"/>
    <xf numFmtId="0" fontId="0" fillId="6" borderId="0" xfId="0" applyFill="1" applyAlignment="1">
      <alignment horizontal="center" vertical="center" wrapText="1"/>
    </xf>
    <xf numFmtId="16" fontId="0" fillId="6" borderId="0" xfId="0" applyNumberFormat="1" applyFill="1" applyAlignment="1">
      <alignment horizontal="center" vertical="center" wrapText="1"/>
    </xf>
    <xf numFmtId="0" fontId="0" fillId="6" borderId="0" xfId="0" applyFill="1" applyAlignment="1">
      <alignment vertical="center" wrapText="1"/>
    </xf>
    <xf numFmtId="0" fontId="4" fillId="0" borderId="0" xfId="0" applyFont="1"/>
    <xf numFmtId="4" fontId="0" fillId="0" borderId="0" xfId="0" applyNumberFormat="1" applyAlignment="1">
      <alignment horizontal="center" vertical="center" wrapText="1"/>
    </xf>
    <xf numFmtId="164" fontId="0" fillId="0" borderId="0" xfId="0" applyNumberFormat="1" applyAlignment="1">
      <alignment horizontal="center" vertical="center" wrapText="1"/>
    </xf>
    <xf numFmtId="3" fontId="0" fillId="0" borderId="0" xfId="0" applyNumberFormat="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4" borderId="3" xfId="0" applyFill="1" applyBorder="1" applyAlignment="1">
      <alignment horizontal="center" vertical="center" wrapText="1"/>
    </xf>
    <xf numFmtId="16" fontId="0" fillId="4" borderId="3" xfId="0" applyNumberFormat="1" applyFill="1" applyBorder="1" applyAlignment="1">
      <alignment horizontal="center" vertical="center" wrapText="1"/>
    </xf>
    <xf numFmtId="0" fontId="0" fillId="4" borderId="4" xfId="0" applyFill="1" applyBorder="1" applyAlignment="1">
      <alignment horizontal="center" vertical="center" wrapText="1"/>
    </xf>
    <xf numFmtId="164" fontId="0" fillId="4" borderId="0" xfId="0" applyNumberFormat="1" applyFill="1" applyAlignment="1">
      <alignment horizontal="center" vertical="center" wrapText="1"/>
    </xf>
    <xf numFmtId="16" fontId="0" fillId="0" borderId="0" xfId="0" applyNumberFormat="1" applyAlignment="1">
      <alignment horizontal="center"/>
    </xf>
    <xf numFmtId="0" fontId="0" fillId="7" borderId="0" xfId="0" applyFill="1" applyAlignment="1">
      <alignment vertical="center" wrapText="1"/>
    </xf>
    <xf numFmtId="16" fontId="0" fillId="0" borderId="0" xfId="0" applyNumberFormat="1" applyAlignment="1">
      <alignment horizontal="center" vertical="center"/>
    </xf>
    <xf numFmtId="164" fontId="0" fillId="0" borderId="0" xfId="0" applyNumberFormat="1" applyAlignment="1">
      <alignment horizontal="center" vertical="center"/>
    </xf>
    <xf numFmtId="0" fontId="9" fillId="8" borderId="0" xfId="3" applyAlignment="1">
      <alignment horizontal="center"/>
    </xf>
    <xf numFmtId="0" fontId="9" fillId="8" borderId="0" xfId="3" applyAlignment="1">
      <alignment horizontal="center" vertical="center" wrapText="1"/>
    </xf>
    <xf numFmtId="0" fontId="0" fillId="4" borderId="0" xfId="0" applyFill="1" applyAlignment="1">
      <alignment horizontal="left" vertical="center" wrapText="1"/>
    </xf>
    <xf numFmtId="0" fontId="0" fillId="0" borderId="0" xfId="0" applyAlignment="1">
      <alignment horizontal="center" wrapText="1"/>
    </xf>
    <xf numFmtId="164" fontId="0" fillId="0" borderId="0" xfId="0" applyNumberFormat="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6" xfId="0" applyBorder="1"/>
    <xf numFmtId="0" fontId="0" fillId="0" borderId="7" xfId="0" applyBorder="1"/>
    <xf numFmtId="0" fontId="9" fillId="8" borderId="6" xfId="3" applyBorder="1" applyAlignment="1">
      <alignment horizontal="center" vertical="center"/>
    </xf>
    <xf numFmtId="0" fontId="0" fillId="0" borderId="6" xfId="0" applyBorder="1" applyAlignment="1">
      <alignment horizontal="center" vertical="center"/>
    </xf>
    <xf numFmtId="165" fontId="0" fillId="0" borderId="0" xfId="0" applyNumberFormat="1" applyAlignment="1">
      <alignment horizontal="center" vertical="center"/>
    </xf>
    <xf numFmtId="3" fontId="0" fillId="0" borderId="0" xfId="0" applyNumberFormat="1" applyAlignment="1">
      <alignment horizontal="center" vertical="center"/>
    </xf>
    <xf numFmtId="0" fontId="0" fillId="6" borderId="0" xfId="0" applyFill="1" applyAlignment="1">
      <alignment horizontal="center" vertical="center"/>
    </xf>
    <xf numFmtId="0" fontId="0" fillId="0" borderId="0" xfId="0" applyAlignment="1">
      <alignment horizontal="left" vertical="center" wrapText="1"/>
    </xf>
    <xf numFmtId="0" fontId="0" fillId="0" borderId="0" xfId="0" applyAlignment="1">
      <alignment horizontal="left"/>
    </xf>
    <xf numFmtId="0" fontId="10" fillId="5" borderId="8" xfId="0" applyFont="1" applyFill="1" applyBorder="1" applyAlignment="1">
      <alignment horizontal="center" vertical="center"/>
    </xf>
    <xf numFmtId="0" fontId="0" fillId="0" borderId="2" xfId="0" applyBorder="1" applyAlignment="1">
      <alignment horizontal="center" vertical="center" wrapText="1"/>
    </xf>
    <xf numFmtId="0" fontId="0" fillId="0" borderId="0" xfId="0" applyAlignment="1">
      <alignment horizontal="left" vertical="center"/>
    </xf>
    <xf numFmtId="166" fontId="0" fillId="0" borderId="0" xfId="0" applyNumberFormat="1" applyAlignment="1">
      <alignment horizontal="center"/>
    </xf>
    <xf numFmtId="0" fontId="0" fillId="0" borderId="0" xfId="0" applyAlignment="1">
      <alignment horizontal="left" wrapText="1"/>
    </xf>
    <xf numFmtId="0" fontId="9" fillId="8" borderId="3" xfId="3" applyBorder="1" applyAlignment="1">
      <alignment horizontal="center" vertical="center" wrapText="1"/>
    </xf>
    <xf numFmtId="4" fontId="0" fillId="0" borderId="0" xfId="0" applyNumberFormat="1" applyAlignment="1">
      <alignment horizontal="center"/>
    </xf>
    <xf numFmtId="3" fontId="0" fillId="0" borderId="0" xfId="0" applyNumberFormat="1" applyAlignment="1">
      <alignment horizontal="center"/>
    </xf>
    <xf numFmtId="0" fontId="0" fillId="0" borderId="0" xfId="0" quotePrefix="1" applyAlignment="1">
      <alignment wrapText="1"/>
    </xf>
    <xf numFmtId="16" fontId="0" fillId="0" borderId="0" xfId="0" quotePrefix="1" applyNumberFormat="1" applyAlignment="1">
      <alignment horizontal="center" vertical="center"/>
    </xf>
    <xf numFmtId="0" fontId="0" fillId="0" borderId="0" xfId="0" quotePrefix="1" applyAlignment="1">
      <alignment vertical="center" wrapText="1"/>
    </xf>
    <xf numFmtId="0" fontId="2" fillId="0" borderId="0" xfId="2" applyFill="1" applyAlignment="1">
      <alignment horizontal="center" vertical="center" wrapText="1"/>
    </xf>
    <xf numFmtId="16" fontId="2" fillId="0" borderId="0" xfId="2" applyNumberFormat="1" applyFill="1" applyAlignment="1">
      <alignment horizontal="center" vertical="center" wrapText="1"/>
    </xf>
    <xf numFmtId="16" fontId="0" fillId="0" borderId="0" xfId="0" applyNumberFormat="1" applyAlignment="1">
      <alignment vertical="center"/>
    </xf>
    <xf numFmtId="167" fontId="0" fillId="0" borderId="0" xfId="0" applyNumberFormat="1"/>
    <xf numFmtId="0" fontId="1" fillId="2" borderId="0" xfId="1" applyAlignment="1">
      <alignment horizontal="center" vertical="center"/>
    </xf>
    <xf numFmtId="167" fontId="0" fillId="0" borderId="0" xfId="0" applyNumberFormat="1" applyAlignment="1">
      <alignment horizontal="center"/>
    </xf>
    <xf numFmtId="165" fontId="0" fillId="0" borderId="0" xfId="0" applyNumberFormat="1"/>
    <xf numFmtId="0" fontId="0" fillId="0" borderId="0" xfId="0" applyAlignment="1">
      <alignment vertical="top" wrapText="1"/>
    </xf>
    <xf numFmtId="9" fontId="0" fillId="0" borderId="0" xfId="0" applyNumberFormat="1"/>
    <xf numFmtId="0" fontId="2" fillId="9" borderId="0" xfId="2" applyFill="1" applyBorder="1" applyAlignment="1">
      <alignment horizontal="center" vertical="center" wrapText="1"/>
    </xf>
    <xf numFmtId="0" fontId="2" fillId="3" borderId="0" xfId="2" applyAlignment="1">
      <alignment horizontal="center" vertical="center"/>
    </xf>
    <xf numFmtId="166" fontId="0" fillId="0" borderId="0" xfId="0" applyNumberFormat="1" applyAlignment="1">
      <alignment horizontal="center" vertical="center"/>
    </xf>
    <xf numFmtId="0" fontId="10" fillId="5" borderId="9" xfId="0" applyFont="1"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4" borderId="17" xfId="0" applyFill="1" applyBorder="1" applyAlignment="1">
      <alignment horizontal="center" vertical="center"/>
    </xf>
    <xf numFmtId="0" fontId="0" fillId="4" borderId="10" xfId="0" applyFill="1" applyBorder="1" applyAlignment="1">
      <alignment vertical="center" wrapText="1"/>
    </xf>
    <xf numFmtId="0" fontId="0" fillId="4" borderId="10" xfId="0" applyFill="1" applyBorder="1" applyAlignment="1">
      <alignment horizontal="center" vertical="center" wrapText="1"/>
    </xf>
    <xf numFmtId="0" fontId="0" fillId="4" borderId="18" xfId="0" applyFill="1" applyBorder="1" applyAlignment="1">
      <alignment horizontal="center" vertical="center" wrapText="1"/>
    </xf>
    <xf numFmtId="0" fontId="0" fillId="0" borderId="19" xfId="0" applyBorder="1" applyAlignment="1">
      <alignment horizontal="center" vertical="center"/>
    </xf>
    <xf numFmtId="0" fontId="0" fillId="0" borderId="20" xfId="0" applyBorder="1" applyAlignment="1">
      <alignment horizontal="center" vertical="center" wrapText="1"/>
    </xf>
    <xf numFmtId="0" fontId="0" fillId="4" borderId="19" xfId="0" applyFill="1" applyBorder="1" applyAlignment="1">
      <alignment horizontal="center" vertical="center"/>
    </xf>
    <xf numFmtId="0" fontId="0" fillId="4" borderId="20" xfId="0" applyFill="1" applyBorder="1" applyAlignment="1">
      <alignment horizontal="center" vertical="center" wrapText="1"/>
    </xf>
    <xf numFmtId="0" fontId="0" fillId="0" borderId="21" xfId="0" applyBorder="1" applyAlignment="1">
      <alignment horizontal="center" vertical="center"/>
    </xf>
    <xf numFmtId="0" fontId="0" fillId="0" borderId="22" xfId="0" applyBorder="1" applyAlignment="1">
      <alignment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4" borderId="24" xfId="0" applyFill="1" applyBorder="1" applyAlignment="1">
      <alignment horizontal="center" vertical="center"/>
    </xf>
    <xf numFmtId="0" fontId="0" fillId="4" borderId="25" xfId="0" applyFill="1" applyBorder="1" applyAlignment="1">
      <alignment vertical="center" wrapText="1"/>
    </xf>
    <xf numFmtId="0" fontId="0" fillId="4" borderId="25" xfId="0" applyFill="1" applyBorder="1" applyAlignment="1">
      <alignment horizontal="center" vertical="center" wrapText="1"/>
    </xf>
    <xf numFmtId="0" fontId="0" fillId="4" borderId="26" xfId="0" applyFill="1" applyBorder="1" applyAlignment="1">
      <alignment horizontal="center" vertical="center" wrapText="1"/>
    </xf>
    <xf numFmtId="0" fontId="0" fillId="0" borderId="27" xfId="0" applyBorder="1" applyAlignment="1">
      <alignment horizontal="center" vertical="center"/>
    </xf>
    <xf numFmtId="0" fontId="0" fillId="0" borderId="28" xfId="0" applyBorder="1" applyAlignment="1">
      <alignment horizontal="center" vertical="center" wrapText="1"/>
    </xf>
    <xf numFmtId="0" fontId="0" fillId="4" borderId="29" xfId="0" applyFill="1" applyBorder="1" applyAlignment="1">
      <alignment horizontal="center" vertical="center"/>
    </xf>
    <xf numFmtId="0" fontId="0" fillId="4" borderId="30" xfId="0" applyFill="1" applyBorder="1" applyAlignment="1">
      <alignment vertical="center" wrapText="1"/>
    </xf>
    <xf numFmtId="0" fontId="0" fillId="4" borderId="30" xfId="0" applyFill="1" applyBorder="1" applyAlignment="1">
      <alignment horizontal="center" vertical="center" wrapText="1"/>
    </xf>
    <xf numFmtId="0" fontId="0" fillId="4" borderId="31" xfId="0" applyFill="1" applyBorder="1" applyAlignment="1">
      <alignment horizontal="center" vertical="center" wrapText="1"/>
    </xf>
    <xf numFmtId="0" fontId="0" fillId="0" borderId="32" xfId="0" applyBorder="1" applyAlignment="1">
      <alignment horizontal="center" vertical="center"/>
    </xf>
    <xf numFmtId="0" fontId="0" fillId="0" borderId="33" xfId="0" applyBorder="1" applyAlignment="1">
      <alignment horizontal="center" vertical="center" wrapText="1"/>
    </xf>
    <xf numFmtId="0" fontId="0" fillId="4" borderId="34" xfId="0" applyFill="1" applyBorder="1" applyAlignment="1">
      <alignment horizontal="center" vertical="center"/>
    </xf>
    <xf numFmtId="0" fontId="0" fillId="4" borderId="35" xfId="0" applyFill="1" applyBorder="1" applyAlignment="1">
      <alignment vertical="center" wrapText="1"/>
    </xf>
    <xf numFmtId="0" fontId="0" fillId="4" borderId="35" xfId="0" applyFill="1" applyBorder="1" applyAlignment="1">
      <alignment horizontal="center" vertical="center" wrapText="1"/>
    </xf>
    <xf numFmtId="0" fontId="0" fillId="4" borderId="36" xfId="0" applyFill="1" applyBorder="1" applyAlignment="1">
      <alignment horizontal="center" vertical="center" wrapText="1"/>
    </xf>
    <xf numFmtId="0" fontId="0" fillId="0" borderId="37" xfId="0" applyBorder="1" applyAlignment="1">
      <alignment horizontal="center" vertical="center"/>
    </xf>
    <xf numFmtId="0" fontId="0" fillId="0" borderId="38" xfId="0" applyBorder="1" applyAlignment="1">
      <alignment horizontal="center" vertical="center" wrapText="1"/>
    </xf>
    <xf numFmtId="0" fontId="0" fillId="4" borderId="37" xfId="0" applyFill="1" applyBorder="1" applyAlignment="1">
      <alignment horizontal="center" vertical="center"/>
    </xf>
    <xf numFmtId="0" fontId="0" fillId="4" borderId="38" xfId="0" applyFill="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167" fontId="0" fillId="4" borderId="12" xfId="0" applyNumberFormat="1" applyFill="1" applyBorder="1" applyAlignment="1">
      <alignment horizontal="center" vertical="center" wrapText="1"/>
    </xf>
    <xf numFmtId="167" fontId="0" fillId="0" borderId="12" xfId="0" applyNumberFormat="1" applyBorder="1" applyAlignment="1">
      <alignment horizontal="center" vertical="center" wrapText="1"/>
    </xf>
    <xf numFmtId="167" fontId="0" fillId="0" borderId="15" xfId="0" applyNumberFormat="1" applyBorder="1" applyAlignment="1">
      <alignment horizontal="center" vertical="center" wrapText="1"/>
    </xf>
    <xf numFmtId="167" fontId="0" fillId="4" borderId="10" xfId="0" applyNumberFormat="1" applyFill="1" applyBorder="1" applyAlignment="1">
      <alignment horizontal="center" vertical="center" wrapText="1"/>
    </xf>
    <xf numFmtId="167" fontId="0" fillId="0" borderId="22" xfId="0" applyNumberFormat="1" applyBorder="1" applyAlignment="1">
      <alignment horizontal="center" vertical="center" wrapText="1"/>
    </xf>
    <xf numFmtId="167" fontId="0" fillId="4" borderId="25" xfId="0" applyNumberFormat="1" applyFill="1" applyBorder="1" applyAlignment="1">
      <alignment horizontal="center" vertical="center" wrapText="1"/>
    </xf>
    <xf numFmtId="167" fontId="0" fillId="4" borderId="30" xfId="0" applyNumberFormat="1" applyFill="1" applyBorder="1" applyAlignment="1">
      <alignment horizontal="center" vertical="center" wrapText="1"/>
    </xf>
    <xf numFmtId="167" fontId="0" fillId="4" borderId="35" xfId="0" applyNumberFormat="1" applyFill="1" applyBorder="1" applyAlignment="1">
      <alignment horizontal="center" vertical="center" wrapText="1"/>
    </xf>
    <xf numFmtId="167" fontId="0" fillId="0" borderId="40" xfId="0" applyNumberFormat="1" applyBorder="1" applyAlignment="1">
      <alignment horizontal="center" vertical="center" wrapText="1"/>
    </xf>
    <xf numFmtId="0" fontId="10" fillId="5" borderId="0" xfId="0" applyFont="1" applyFill="1" applyAlignment="1">
      <alignment horizontal="center" vertical="center"/>
    </xf>
    <xf numFmtId="0" fontId="1" fillId="2" borderId="0" xfId="1" applyBorder="1" applyAlignment="1">
      <alignment horizontal="center" vertical="center" wrapText="1"/>
    </xf>
    <xf numFmtId="0" fontId="9" fillId="8" borderId="0" xfId="3" applyAlignment="1">
      <alignment horizontal="center" vertical="center"/>
    </xf>
    <xf numFmtId="167" fontId="0" fillId="0" borderId="0" xfId="0" applyNumberFormat="1" applyAlignment="1">
      <alignment horizontal="center" vertical="center" wrapText="1"/>
    </xf>
    <xf numFmtId="0" fontId="12" fillId="10" borderId="0" xfId="0" applyFont="1" applyFill="1" applyAlignment="1">
      <alignment horizontal="center" vertical="center"/>
    </xf>
    <xf numFmtId="0" fontId="3" fillId="11" borderId="0" xfId="0" applyFont="1" applyFill="1"/>
    <xf numFmtId="0" fontId="3" fillId="11" borderId="0" xfId="0" applyFont="1" applyFill="1" applyAlignment="1">
      <alignment horizontal="center"/>
    </xf>
    <xf numFmtId="0" fontId="9" fillId="8" borderId="0" xfId="3" applyAlignment="1">
      <alignment horizontal="center" wrapText="1"/>
    </xf>
    <xf numFmtId="0" fontId="2" fillId="3" borderId="0" xfId="2" applyAlignment="1">
      <alignment horizontal="center" wrapText="1"/>
    </xf>
    <xf numFmtId="0" fontId="0" fillId="0" borderId="42" xfId="0" applyBorder="1" applyAlignment="1">
      <alignment horizontal="center" vertical="center"/>
    </xf>
    <xf numFmtId="0" fontId="1" fillId="2" borderId="42" xfId="1" applyBorder="1" applyAlignment="1">
      <alignment horizontal="center"/>
    </xf>
    <xf numFmtId="0" fontId="2" fillId="3" borderId="42" xfId="2" applyBorder="1" applyAlignment="1">
      <alignment horizontal="center"/>
    </xf>
    <xf numFmtId="0" fontId="9" fillId="8" borderId="42" xfId="3" applyBorder="1" applyAlignment="1">
      <alignment horizontal="center"/>
    </xf>
    <xf numFmtId="0" fontId="9" fillId="8" borderId="42" xfId="3" applyBorder="1" applyAlignment="1">
      <alignment horizontal="center" wrapText="1"/>
    </xf>
    <xf numFmtId="0" fontId="1" fillId="2" borderId="42" xfId="1" applyBorder="1" applyAlignment="1">
      <alignment horizontal="center" wrapText="1"/>
    </xf>
    <xf numFmtId="0" fontId="0" fillId="4" borderId="42" xfId="0" applyFill="1" applyBorder="1" applyAlignment="1">
      <alignment horizontal="center" vertical="center"/>
    </xf>
    <xf numFmtId="0" fontId="0" fillId="4" borderId="42" xfId="0" applyFill="1" applyBorder="1"/>
    <xf numFmtId="0" fontId="0" fillId="4" borderId="42" xfId="0" applyFill="1" applyBorder="1" applyAlignment="1">
      <alignment horizontal="center"/>
    </xf>
    <xf numFmtId="0" fontId="0" fillId="4" borderId="42" xfId="0" applyFill="1" applyBorder="1" applyAlignment="1">
      <alignment vertical="center"/>
    </xf>
    <xf numFmtId="0" fontId="0" fillId="0" borderId="42" xfId="0" applyBorder="1"/>
    <xf numFmtId="0" fontId="0" fillId="0" borderId="42" xfId="0" applyBorder="1" applyAlignment="1">
      <alignment horizontal="center"/>
    </xf>
    <xf numFmtId="0" fontId="0" fillId="0" borderId="42" xfId="0" applyBorder="1" applyAlignment="1">
      <alignment vertical="center"/>
    </xf>
    <xf numFmtId="0" fontId="0" fillId="0" borderId="42" xfId="0" applyBorder="1" applyAlignment="1">
      <alignment horizontal="left" vertical="center"/>
    </xf>
    <xf numFmtId="0" fontId="0" fillId="4" borderId="42" xfId="0" applyFill="1" applyBorder="1" applyAlignment="1">
      <alignment horizontal="left" vertical="center"/>
    </xf>
    <xf numFmtId="0" fontId="3" fillId="11" borderId="0" xfId="0" applyFont="1" applyFill="1" applyAlignment="1">
      <alignment horizontal="left"/>
    </xf>
    <xf numFmtId="0" fontId="2" fillId="3" borderId="42" xfId="2" applyBorder="1" applyAlignment="1">
      <alignment horizontal="center" wrapText="1"/>
    </xf>
    <xf numFmtId="0" fontId="0" fillId="7" borderId="42" xfId="0" applyFill="1" applyBorder="1" applyAlignment="1">
      <alignment horizontal="center" vertical="center"/>
    </xf>
    <xf numFmtId="0" fontId="0" fillId="7" borderId="42" xfId="0" applyFill="1" applyBorder="1"/>
    <xf numFmtId="0" fontId="0" fillId="7" borderId="42" xfId="0" applyFill="1" applyBorder="1" applyAlignment="1">
      <alignment horizontal="center"/>
    </xf>
    <xf numFmtId="0" fontId="0" fillId="7" borderId="42" xfId="0" applyFill="1" applyBorder="1" applyAlignment="1">
      <alignment vertical="center"/>
    </xf>
    <xf numFmtId="16" fontId="0" fillId="0" borderId="0" xfId="0" applyNumberFormat="1"/>
    <xf numFmtId="168" fontId="0" fillId="0" borderId="0" xfId="0" applyNumberFormat="1"/>
    <xf numFmtId="168" fontId="0" fillId="0" borderId="0" xfId="0" applyNumberFormat="1" applyAlignment="1">
      <alignment vertical="center"/>
    </xf>
    <xf numFmtId="0" fontId="9" fillId="8" borderId="43" xfId="3" applyBorder="1" applyAlignment="1">
      <alignment horizontal="center"/>
    </xf>
    <xf numFmtId="0" fontId="9" fillId="8" borderId="43" xfId="3" applyBorder="1" applyAlignment="1">
      <alignment horizontal="center" wrapText="1"/>
    </xf>
    <xf numFmtId="0" fontId="2" fillId="3" borderId="43" xfId="2" applyBorder="1" applyAlignment="1">
      <alignment horizontal="center"/>
    </xf>
    <xf numFmtId="0" fontId="1" fillId="2" borderId="43" xfId="1" applyBorder="1" applyAlignment="1">
      <alignment horizontal="center"/>
    </xf>
    <xf numFmtId="0" fontId="1" fillId="2" borderId="0" xfId="1" applyAlignment="1">
      <alignment horizontal="center" wrapText="1"/>
    </xf>
    <xf numFmtId="0" fontId="0" fillId="0" borderId="44" xfId="0" applyBorder="1" applyAlignment="1">
      <alignment horizontal="center" vertical="center"/>
    </xf>
    <xf numFmtId="0" fontId="0" fillId="0" borderId="44" xfId="0" applyBorder="1"/>
    <xf numFmtId="0" fontId="0" fillId="0" borderId="44" xfId="0" applyBorder="1" applyAlignment="1">
      <alignment horizontal="center"/>
    </xf>
    <xf numFmtId="0" fontId="0" fillId="4" borderId="44" xfId="0" applyFill="1" applyBorder="1" applyAlignment="1">
      <alignment horizontal="center" vertical="center"/>
    </xf>
    <xf numFmtId="0" fontId="0" fillId="4" borderId="44" xfId="0" applyFill="1" applyBorder="1"/>
    <xf numFmtId="0" fontId="0" fillId="4" borderId="44" xfId="0" applyFill="1" applyBorder="1" applyAlignment="1">
      <alignment horizontal="center"/>
    </xf>
    <xf numFmtId="0" fontId="9" fillId="8" borderId="0" xfId="3"/>
    <xf numFmtId="0" fontId="0" fillId="12" borderId="44" xfId="0" applyFill="1" applyBorder="1"/>
    <xf numFmtId="2" fontId="0" fillId="0" borderId="0" xfId="0" applyNumberFormat="1"/>
    <xf numFmtId="0" fontId="4" fillId="0" borderId="45" xfId="0" applyFont="1" applyBorder="1"/>
    <xf numFmtId="0" fontId="4" fillId="0" borderId="45" xfId="0" applyFont="1" applyBorder="1" applyAlignment="1">
      <alignment horizontal="center"/>
    </xf>
    <xf numFmtId="4" fontId="0" fillId="0" borderId="0" xfId="0" applyNumberFormat="1"/>
    <xf numFmtId="4" fontId="4" fillId="0" borderId="45" xfId="0" applyNumberFormat="1" applyFont="1" applyBorder="1"/>
    <xf numFmtId="2" fontId="0" fillId="0" borderId="0" xfId="0" applyNumberFormat="1" applyAlignment="1">
      <alignment horizontal="center"/>
    </xf>
    <xf numFmtId="2" fontId="0" fillId="0" borderId="0" xfId="0" applyNumberFormat="1" applyAlignment="1">
      <alignment horizontal="center" vertical="center"/>
    </xf>
    <xf numFmtId="0" fontId="13" fillId="0" borderId="0" xfId="0" applyFont="1" applyAlignment="1">
      <alignment vertical="center"/>
    </xf>
    <xf numFmtId="9" fontId="0" fillId="0" borderId="0" xfId="0" applyNumberFormat="1" applyAlignment="1">
      <alignment horizontal="center" vertical="center"/>
    </xf>
    <xf numFmtId="14" fontId="0" fillId="0" borderId="0" xfId="0" applyNumberFormat="1"/>
    <xf numFmtId="14" fontId="0" fillId="0" borderId="0" xfId="0" applyNumberFormat="1" applyAlignment="1">
      <alignment vertical="center"/>
    </xf>
    <xf numFmtId="0" fontId="0" fillId="0" borderId="44" xfId="0" applyBorder="1" applyAlignment="1">
      <alignment vertical="center"/>
    </xf>
    <xf numFmtId="0" fontId="1" fillId="2" borderId="43" xfId="1" applyBorder="1" applyAlignment="1">
      <alignment horizontal="center" vertical="center" wrapText="1"/>
    </xf>
    <xf numFmtId="0" fontId="9" fillId="0" borderId="0" xfId="3" applyFill="1"/>
    <xf numFmtId="0" fontId="9" fillId="0" borderId="0" xfId="3" applyFill="1" applyAlignment="1">
      <alignment horizontal="center"/>
    </xf>
    <xf numFmtId="0" fontId="14" fillId="0" borderId="0" xfId="0" applyFont="1"/>
    <xf numFmtId="0" fontId="1" fillId="2" borderId="0" xfId="1" applyBorder="1" applyAlignment="1">
      <alignment horizontal="center"/>
    </xf>
    <xf numFmtId="0" fontId="0" fillId="0" borderId="46" xfId="0" applyBorder="1"/>
    <xf numFmtId="4" fontId="0" fillId="0" borderId="0" xfId="0" applyNumberFormat="1" applyAlignment="1">
      <alignment horizontal="center" vertical="center"/>
    </xf>
    <xf numFmtId="9" fontId="0" fillId="0" borderId="0" xfId="0" applyNumberFormat="1" applyAlignment="1">
      <alignment vertical="center"/>
    </xf>
    <xf numFmtId="0" fontId="1" fillId="2" borderId="43" xfId="1" applyBorder="1" applyAlignment="1">
      <alignment horizontal="center" wrapText="1"/>
    </xf>
    <xf numFmtId="0" fontId="2" fillId="3" borderId="43" xfId="2" applyBorder="1" applyAlignment="1">
      <alignment horizontal="center" vertical="center" wrapText="1"/>
    </xf>
    <xf numFmtId="0" fontId="2" fillId="3" borderId="43" xfId="2" applyBorder="1" applyAlignment="1">
      <alignment horizontal="center" wrapText="1"/>
    </xf>
    <xf numFmtId="0" fontId="9" fillId="8" borderId="43" xfId="3" applyBorder="1" applyAlignment="1">
      <alignment horizontal="center" vertical="center" wrapText="1"/>
    </xf>
    <xf numFmtId="0" fontId="0" fillId="0" borderId="0" xfId="0" quotePrefix="1" applyAlignment="1">
      <alignment horizontal="left" vertical="center" wrapText="1"/>
    </xf>
    <xf numFmtId="0" fontId="6" fillId="0" borderId="0" xfId="0" applyFont="1" applyAlignment="1">
      <alignment horizontal="center" vertical="center"/>
    </xf>
    <xf numFmtId="0" fontId="1" fillId="2" borderId="43" xfId="1" applyBorder="1" applyAlignment="1">
      <alignment horizontal="center" vertical="center"/>
    </xf>
    <xf numFmtId="0" fontId="3" fillId="5" borderId="0" xfId="0" applyFont="1" applyFill="1"/>
    <xf numFmtId="0" fontId="0" fillId="0" borderId="46" xfId="0" applyBorder="1" applyAlignment="1">
      <alignment horizontal="center" vertical="center"/>
    </xf>
    <xf numFmtId="0" fontId="0" fillId="0" borderId="0" xfId="0" applyAlignment="1">
      <alignment horizontal="left" vertical="top" wrapText="1"/>
    </xf>
    <xf numFmtId="16" fontId="0" fillId="0" borderId="0" xfId="0" applyNumberFormat="1" applyAlignment="1">
      <alignment vertical="center" wrapText="1"/>
    </xf>
    <xf numFmtId="0" fontId="3" fillId="11" borderId="0" xfId="0" applyFont="1" applyFill="1" applyAlignment="1">
      <alignment horizontal="left" vertical="center"/>
    </xf>
    <xf numFmtId="0" fontId="2" fillId="3" borderId="48" xfId="2" applyBorder="1" applyAlignment="1">
      <alignment horizontal="center" vertical="center" wrapText="1"/>
    </xf>
    <xf numFmtId="0" fontId="0" fillId="4" borderId="0" xfId="0" applyFill="1" applyAlignment="1">
      <alignment vertical="center"/>
    </xf>
    <xf numFmtId="0" fontId="0" fillId="4" borderId="0" xfId="0" applyFill="1" applyAlignment="1">
      <alignment horizontal="center" vertical="center"/>
    </xf>
    <xf numFmtId="164" fontId="0" fillId="0" borderId="0" xfId="0" applyNumberFormat="1"/>
    <xf numFmtId="0" fontId="15" fillId="0" borderId="0" xfId="0" applyFont="1"/>
    <xf numFmtId="9" fontId="0" fillId="0" borderId="0" xfId="0" applyNumberFormat="1" applyAlignment="1">
      <alignment horizontal="center"/>
    </xf>
    <xf numFmtId="0" fontId="0" fillId="0" borderId="47" xfId="0" applyBorder="1"/>
    <xf numFmtId="0" fontId="0" fillId="0" borderId="47" xfId="0" applyBorder="1" applyAlignment="1">
      <alignment horizontal="center"/>
    </xf>
    <xf numFmtId="4" fontId="0" fillId="4" borderId="0" xfId="0" applyNumberFormat="1" applyFill="1" applyAlignment="1">
      <alignment horizontal="center" vertical="center" wrapText="1"/>
    </xf>
    <xf numFmtId="4" fontId="0" fillId="6" borderId="0" xfId="0" applyNumberFormat="1" applyFill="1" applyAlignment="1">
      <alignment horizontal="center" vertical="center" wrapText="1"/>
    </xf>
    <xf numFmtId="4" fontId="0" fillId="4" borderId="3" xfId="0" applyNumberFormat="1" applyFill="1" applyBorder="1" applyAlignment="1">
      <alignment horizontal="center" vertical="center" wrapText="1"/>
    </xf>
    <xf numFmtId="4" fontId="0" fillId="0" borderId="6" xfId="0" applyNumberFormat="1" applyBorder="1"/>
    <xf numFmtId="4" fontId="0" fillId="0" borderId="0" xfId="0" applyNumberFormat="1" applyAlignment="1">
      <alignment vertical="center"/>
    </xf>
    <xf numFmtId="0" fontId="0" fillId="0" borderId="0" xfId="0" applyAlignment="1">
      <alignment horizontal="centerContinuous"/>
    </xf>
    <xf numFmtId="165" fontId="0" fillId="0" borderId="0" xfId="0" applyNumberFormat="1" applyAlignment="1">
      <alignment vertical="center" wrapText="1"/>
    </xf>
    <xf numFmtId="0" fontId="16" fillId="0" borderId="0" xfId="0" applyFont="1" applyAlignment="1">
      <alignment horizontal="center"/>
    </xf>
    <xf numFmtId="0" fontId="0" fillId="7" borderId="0" xfId="0" applyFill="1" applyAlignment="1">
      <alignment horizontal="center" vertical="center"/>
    </xf>
    <xf numFmtId="0" fontId="0" fillId="7" borderId="0" xfId="0" applyFill="1"/>
    <xf numFmtId="0" fontId="0" fillId="7" borderId="0" xfId="0" applyFill="1" applyAlignment="1">
      <alignment horizontal="center"/>
    </xf>
    <xf numFmtId="169" fontId="0" fillId="0" borderId="0" xfId="0" applyNumberFormat="1"/>
    <xf numFmtId="0" fontId="17" fillId="13" borderId="49" xfId="4" applyAlignment="1">
      <alignment horizontal="center" vertical="center"/>
    </xf>
    <xf numFmtId="10" fontId="0" fillId="0" borderId="0" xfId="0" applyNumberFormat="1"/>
    <xf numFmtId="0" fontId="4" fillId="0" borderId="0" xfId="0" applyFont="1" applyAlignment="1">
      <alignment horizontal="center"/>
    </xf>
    <xf numFmtId="1" fontId="0" fillId="0" borderId="0" xfId="0" applyNumberFormat="1" applyAlignment="1">
      <alignment horizontal="center" vertical="center"/>
    </xf>
    <xf numFmtId="169" fontId="0" fillId="0" borderId="0" xfId="0" applyNumberFormat="1" applyAlignment="1">
      <alignment wrapText="1"/>
    </xf>
    <xf numFmtId="10" fontId="0" fillId="0" borderId="0" xfId="0" applyNumberFormat="1" applyAlignment="1">
      <alignment horizontal="center" vertical="center"/>
    </xf>
  </cellXfs>
  <cellStyles count="5">
    <cellStyle name="Bad" xfId="1" builtinId="27"/>
    <cellStyle name="Good" xfId="3" builtinId="26"/>
    <cellStyle name="Input" xfId="4" builtinId="20"/>
    <cellStyle name="Neutral" xfId="2" builtinId="28"/>
    <cellStyle name="Normal" xfId="0" builtinId="0"/>
  </cellStyles>
  <dxfs count="0"/>
  <tableStyles count="0" defaultTableStyle="TableStyleMedium2" defaultPivotStyle="PivotStyleLight16"/>
  <colors>
    <mruColors>
      <color rgb="FF66CC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Founders Grotesk Regular" panose="020B050303020206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'Analise Originação 2025'!$AD$3:$AD$9</c:f>
            </c:multiLvlStrRef>
          </c:cat>
          <c:val>
            <c:numRef>
              <c:f>'Analise Originação 2025'!$AE$3:$AE$9</c:f>
            </c:numRef>
          </c:val>
          <c:extLst>
            <c:ext xmlns:c16="http://schemas.microsoft.com/office/drawing/2014/chart" uri="{C3380CC4-5D6E-409C-BE32-E72D297353CC}">
              <c16:uniqueId val="{00000000-C7C7-4331-A2BB-F1AB034C753B}"/>
            </c:ext>
          </c:extLst>
        </c:ser>
        <c:dLbls>
          <c:showLegendKey val="0"/>
          <c:showVal val="0"/>
          <c:showCatName val="0"/>
          <c:showSerName val="0"/>
          <c:showPercent val="0"/>
          <c:showBubbleSize val="0"/>
        </c:dLbls>
        <c:gapWidth val="50"/>
        <c:axId val="592388383"/>
        <c:axId val="592389823"/>
      </c:barChart>
      <c:catAx>
        <c:axId val="59238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Founders Grotesk Regular" panose="020B0503030202060203" pitchFamily="34" charset="0"/>
                <a:ea typeface="+mn-ea"/>
                <a:cs typeface="+mn-cs"/>
              </a:defRPr>
            </a:pPr>
            <a:endParaRPr lang="en-US"/>
          </a:p>
        </c:txPr>
        <c:crossAx val="592389823"/>
        <c:crosses val="autoZero"/>
        <c:auto val="1"/>
        <c:lblAlgn val="ctr"/>
        <c:lblOffset val="100"/>
        <c:noMultiLvlLbl val="0"/>
      </c:catAx>
      <c:valAx>
        <c:axId val="592389823"/>
        <c:scaling>
          <c:orientation val="minMax"/>
          <c:max val="0.5"/>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Founders Grotesk Regular" panose="020B0503030202060203" pitchFamily="34" charset="0"/>
                <a:ea typeface="+mn-ea"/>
                <a:cs typeface="+mn-cs"/>
              </a:defRPr>
            </a:pPr>
            <a:endParaRPr lang="en-US"/>
          </a:p>
        </c:txPr>
        <c:crossAx val="5923883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atin typeface="Founders Grotesk Regular" panose="020B0503030202060203"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Founders Grotesk Regular" panose="020B050303020206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Originação!$AO$2:$AO$8</c:f>
              <c:strCache>
                <c:ptCount val="7"/>
                <c:pt idx="0">
                  <c:v>Brokers</c:v>
                </c:pt>
                <c:pt idx="1">
                  <c:v>Boutiques</c:v>
                </c:pt>
                <c:pt idx="2">
                  <c:v>Escritórios Adv.</c:v>
                </c:pt>
                <c:pt idx="3">
                  <c:v>Empresários / Executivos</c:v>
                </c:pt>
                <c:pt idx="4">
                  <c:v>Consultorias</c:v>
                </c:pt>
                <c:pt idx="5">
                  <c:v>Assets</c:v>
                </c:pt>
                <c:pt idx="6">
                  <c:v>Bancos</c:v>
                </c:pt>
              </c:strCache>
            </c:strRef>
          </c:cat>
          <c:val>
            <c:numRef>
              <c:f>Originação!$AP$2:$AP$8</c:f>
              <c:numCache>
                <c:formatCode>0%</c:formatCode>
                <c:ptCount val="7"/>
                <c:pt idx="0">
                  <c:v>0.32442748091603052</c:v>
                </c:pt>
                <c:pt idx="1">
                  <c:v>0.2251908396946565</c:v>
                </c:pt>
                <c:pt idx="2">
                  <c:v>0.12213740458015267</c:v>
                </c:pt>
                <c:pt idx="3">
                  <c:v>0.1183206106870229</c:v>
                </c:pt>
                <c:pt idx="4">
                  <c:v>9.5419847328244281E-2</c:v>
                </c:pt>
                <c:pt idx="5">
                  <c:v>6.1068702290076333E-2</c:v>
                </c:pt>
                <c:pt idx="6">
                  <c:v>5.3435114503816793E-2</c:v>
                </c:pt>
              </c:numCache>
            </c:numRef>
          </c:val>
          <c:extLst>
            <c:ext xmlns:c16="http://schemas.microsoft.com/office/drawing/2014/chart" uri="{C3380CC4-5D6E-409C-BE32-E72D297353CC}">
              <c16:uniqueId val="{00000000-58D9-417D-84FD-6848769160D0}"/>
            </c:ext>
          </c:extLst>
        </c:ser>
        <c:dLbls>
          <c:showLegendKey val="0"/>
          <c:showVal val="0"/>
          <c:showCatName val="0"/>
          <c:showSerName val="0"/>
          <c:showPercent val="0"/>
          <c:showBubbleSize val="0"/>
        </c:dLbls>
        <c:gapWidth val="50"/>
        <c:axId val="992581816"/>
        <c:axId val="992584336"/>
      </c:barChart>
      <c:catAx>
        <c:axId val="992581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Founders Grotesk Regular" panose="020B0503030202060203" pitchFamily="34" charset="0"/>
                <a:ea typeface="+mn-ea"/>
                <a:cs typeface="+mn-cs"/>
              </a:defRPr>
            </a:pPr>
            <a:endParaRPr lang="en-US"/>
          </a:p>
        </c:txPr>
        <c:crossAx val="992584336"/>
        <c:crosses val="autoZero"/>
        <c:auto val="1"/>
        <c:lblAlgn val="ctr"/>
        <c:lblOffset val="100"/>
        <c:noMultiLvlLbl val="0"/>
      </c:catAx>
      <c:valAx>
        <c:axId val="992584336"/>
        <c:scaling>
          <c:orientation val="minMax"/>
          <c:max val="0.4"/>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Founders Grotesk Regular" panose="020B0503030202060203" pitchFamily="34" charset="0"/>
                <a:ea typeface="+mn-ea"/>
                <a:cs typeface="+mn-cs"/>
              </a:defRPr>
            </a:pPr>
            <a:endParaRPr lang="en-US"/>
          </a:p>
        </c:txPr>
        <c:crossAx val="9925818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atin typeface="Founders Grotesk Regular" panose="020B050303020206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https://www.farfetch.com/br/shopping/women/valentino-garavani-bolsa-vlogo-mini-item-31997563.aspx"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636</xdr:row>
      <xdr:rowOff>0</xdr:rowOff>
    </xdr:from>
    <xdr:to>
      <xdr:col>3</xdr:col>
      <xdr:colOff>2523192</xdr:colOff>
      <xdr:row>779</xdr:row>
      <xdr:rowOff>380334</xdr:rowOff>
    </xdr:to>
    <xdr:sp macro="" textlink="">
      <xdr:nvSpPr>
        <xdr:cNvPr id="3073" name="AutoShape 1" descr="Valentino Garavani Bolsa VLogo mini">
          <a:hlinkClick xmlns:r="http://schemas.openxmlformats.org/officeDocument/2006/relationships" r:id="rId1"/>
          <a:extLst>
            <a:ext uri="{FF2B5EF4-FFF2-40B4-BE49-F238E27FC236}">
              <a16:creationId xmlns:a16="http://schemas.microsoft.com/office/drawing/2014/main" id="{E38603D5-E816-01D5-86EF-EB05FBC5EF26}"/>
            </a:ext>
          </a:extLst>
        </xdr:cNvPr>
        <xdr:cNvSpPr>
          <a:spLocks noChangeAspect="1" noChangeArrowheads="1"/>
        </xdr:cNvSpPr>
      </xdr:nvSpPr>
      <xdr:spPr bwMode="auto">
        <a:xfrm>
          <a:off x="190500" y="11544300"/>
          <a:ext cx="2857500" cy="381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323850</xdr:colOff>
      <xdr:row>9</xdr:row>
      <xdr:rowOff>176212</xdr:rowOff>
    </xdr:from>
    <xdr:to>
      <xdr:col>32</xdr:col>
      <xdr:colOff>514350</xdr:colOff>
      <xdr:row>24</xdr:row>
      <xdr:rowOff>52387</xdr:rowOff>
    </xdr:to>
    <xdr:graphicFrame macro="">
      <xdr:nvGraphicFramePr>
        <xdr:cNvPr id="2" name="Chart 1">
          <a:extLst>
            <a:ext uri="{FF2B5EF4-FFF2-40B4-BE49-F238E27FC236}">
              <a16:creationId xmlns:a16="http://schemas.microsoft.com/office/drawing/2014/main" id="{650F1D0E-E504-401A-8CD6-6EE3C78EE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39</xdr:col>
      <xdr:colOff>329045</xdr:colOff>
      <xdr:row>7</xdr:row>
      <xdr:rowOff>91785</xdr:rowOff>
    </xdr:from>
    <xdr:to>
      <xdr:col>52</xdr:col>
      <xdr:colOff>432953</xdr:colOff>
      <xdr:row>25</xdr:row>
      <xdr:rowOff>103909</xdr:rowOff>
    </xdr:to>
    <xdr:graphicFrame macro="">
      <xdr:nvGraphicFramePr>
        <xdr:cNvPr id="5" name="Chart 4">
          <a:extLst>
            <a:ext uri="{FF2B5EF4-FFF2-40B4-BE49-F238E27FC236}">
              <a16:creationId xmlns:a16="http://schemas.microsoft.com/office/drawing/2014/main" id="{2B6D8D0E-2D0B-8D6C-D89F-4E2D99482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farfetch.com/br/shopping/women/valentino-garavani-bolsa-vlogo-mini-item-31997563.aspx" TargetMode="External"/><Relationship Id="rId2" Type="http://schemas.openxmlformats.org/officeDocument/2006/relationships/hyperlink" Target="https://www.farfetch.com/br/shopping/women/valentino-garavani-bolsa-vlogo-mini-item-31997563.aspx" TargetMode="External"/><Relationship Id="rId1" Type="http://schemas.openxmlformats.org/officeDocument/2006/relationships/hyperlink" Target="https://www.farfetch.com/br/shopping/women/valentino-garavani-bolsa-vlogo-mini-item-31997563.aspx"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farfetch.com/br/shopping/women/valentino-garavani-bolsa-vlogo-mini-item-31997563.aspx"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E1B7-4A83-470D-AA9A-086BFACC12DD}">
  <sheetPr codeName="Sheet2"/>
  <dimension ref="D2:O13"/>
  <sheetViews>
    <sheetView showGridLines="0" workbookViewId="0">
      <selection activeCell="D2" sqref="D2:E13"/>
    </sheetView>
  </sheetViews>
  <sheetFormatPr defaultRowHeight="14.4"/>
  <cols>
    <col min="4" max="4" width="29.88671875" bestFit="1" customWidth="1"/>
  </cols>
  <sheetData>
    <row r="2" spans="4:15">
      <c r="D2" s="38" t="s">
        <v>2927</v>
      </c>
      <c r="E2" s="38" t="s">
        <v>122</v>
      </c>
    </row>
    <row r="3" spans="4:15">
      <c r="D3" s="3" t="s">
        <v>2898</v>
      </c>
      <c r="E3" s="38" t="s">
        <v>2928</v>
      </c>
    </row>
    <row r="4" spans="4:15">
      <c r="D4" s="3" t="s">
        <v>2906</v>
      </c>
      <c r="E4" s="38" t="s">
        <v>2929</v>
      </c>
      <c r="N4" s="229">
        <f>COUNTIFS(Pipe!G:G,Sheet4!$O4)</f>
        <v>245</v>
      </c>
      <c r="O4">
        <v>2024</v>
      </c>
    </row>
    <row r="5" spans="4:15">
      <c r="D5" s="3" t="s">
        <v>2911</v>
      </c>
      <c r="E5" s="1" t="s">
        <v>2930</v>
      </c>
      <c r="N5" s="229">
        <f>COUNTIFS(Pipe!G:G,Sheet4!$O5)</f>
        <v>372</v>
      </c>
      <c r="O5">
        <v>2025</v>
      </c>
    </row>
    <row r="6" spans="4:15">
      <c r="D6" s="3" t="s">
        <v>2917</v>
      </c>
      <c r="E6" s="38" t="s">
        <v>122</v>
      </c>
      <c r="N6" s="229">
        <f>COUNTIFS(Pipe!G:G,Sheet4!$O6)/7*12</f>
        <v>457.71428571428578</v>
      </c>
      <c r="O6">
        <v>2026</v>
      </c>
    </row>
    <row r="7" spans="4:15">
      <c r="D7" s="3" t="s">
        <v>2915</v>
      </c>
      <c r="E7" s="38" t="s">
        <v>576</v>
      </c>
    </row>
    <row r="8" spans="4:15">
      <c r="D8" s="3" t="s">
        <v>2916</v>
      </c>
      <c r="E8" s="38" t="s">
        <v>2928</v>
      </c>
    </row>
    <row r="9" spans="4:15">
      <c r="D9" s="3" t="s">
        <v>2920</v>
      </c>
      <c r="E9" s="38" t="s">
        <v>2928</v>
      </c>
    </row>
    <row r="10" spans="4:15">
      <c r="D10" s="3" t="s">
        <v>2931</v>
      </c>
      <c r="E10" s="38" t="s">
        <v>2928</v>
      </c>
    </row>
    <row r="11" spans="4:15">
      <c r="D11" s="3" t="s">
        <v>2924</v>
      </c>
      <c r="E11" s="38" t="s">
        <v>2928</v>
      </c>
    </row>
    <row r="12" spans="4:15">
      <c r="D12" s="3" t="s">
        <v>2925</v>
      </c>
      <c r="E12" s="38" t="s">
        <v>2928</v>
      </c>
    </row>
    <row r="13" spans="4:15">
      <c r="D13" s="3" t="s">
        <v>2926</v>
      </c>
      <c r="E13" s="38" t="s">
        <v>2928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CF2C2-1BD7-4BC7-A220-1B2E582C97F8}">
  <sheetPr codeName="Sheet1" filterMode="1"/>
  <dimension ref="B1:T911"/>
  <sheetViews>
    <sheetView showGridLines="0" tabSelected="1" zoomScaleNormal="100" workbookViewId="0">
      <pane xSplit="2" ySplit="8" topLeftCell="C898" activePane="bottomRight" state="frozen"/>
      <selection activeCell="D34" sqref="D34"/>
      <selection pane="topRight" activeCell="D34" sqref="D34"/>
      <selection pane="bottomLeft" activeCell="D34" sqref="D34"/>
      <selection pane="bottomRight" activeCell="A911" sqref="A911"/>
    </sheetView>
  </sheetViews>
  <sheetFormatPr defaultRowHeight="14.4" outlineLevelRow="1" outlineLevelCol="2"/>
  <cols>
    <col min="1" max="2" width="1.44140625" customWidth="1"/>
    <col min="3" max="3" width="5" bestFit="1" customWidth="1"/>
    <col min="4" max="4" width="77.33203125" bestFit="1" customWidth="1"/>
    <col min="5" max="5" width="55.6640625" bestFit="1" customWidth="1"/>
    <col min="6" max="6" width="15.33203125" customWidth="1"/>
    <col min="7" max="7" width="18.33203125" customWidth="1" outlineLevel="1"/>
    <col min="8" max="8" width="38.88671875" customWidth="1" outlineLevel="1"/>
    <col min="9" max="9" width="28" customWidth="1" outlineLevel="1"/>
    <col min="10" max="10" width="139.5546875" customWidth="1" outlineLevel="1"/>
    <col min="11" max="11" width="106.109375" bestFit="1" customWidth="1" outlineLevel="1"/>
    <col min="12" max="12" width="27" customWidth="1" outlineLevel="2"/>
    <col min="13" max="13" width="27" customWidth="1" outlineLevel="1"/>
    <col min="14" max="14" width="13.109375" customWidth="1"/>
    <col min="15" max="15" width="19.109375" bestFit="1" customWidth="1"/>
    <col min="16" max="16" width="85.6640625" bestFit="1" customWidth="1"/>
    <col min="18" max="18" width="27.88671875" bestFit="1" customWidth="1"/>
    <col min="20" max="20" width="12.44140625" bestFit="1" customWidth="1"/>
  </cols>
  <sheetData>
    <row r="1" spans="3:18">
      <c r="D1" s="231"/>
      <c r="E1" s="68"/>
    </row>
    <row r="2" spans="3:18">
      <c r="D2" s="24"/>
      <c r="E2" s="24"/>
      <c r="F2" s="70"/>
      <c r="G2" s="70"/>
      <c r="H2" s="57"/>
      <c r="I2" s="231"/>
      <c r="J2" s="181"/>
    </row>
    <row r="3" spans="3:18" ht="23.4">
      <c r="D3" s="16" t="s">
        <v>0</v>
      </c>
      <c r="E3" s="24"/>
      <c r="F3" s="70"/>
      <c r="G3" s="70"/>
      <c r="H3" s="57"/>
      <c r="I3" s="196"/>
      <c r="J3" s="20"/>
      <c r="K3">
        <f>75*60%</f>
        <v>45</v>
      </c>
      <c r="P3">
        <f>900+800+800+700+500</f>
        <v>3700</v>
      </c>
    </row>
    <row r="4" spans="3:18">
      <c r="E4" s="11" t="s">
        <v>1</v>
      </c>
      <c r="F4" s="12" t="s">
        <v>2</v>
      </c>
      <c r="G4" s="35" t="s">
        <v>3</v>
      </c>
      <c r="H4" s="71" t="s">
        <v>4</v>
      </c>
      <c r="I4" s="13" t="s">
        <v>5</v>
      </c>
      <c r="J4" s="20"/>
      <c r="M4">
        <f>120/30%</f>
        <v>400</v>
      </c>
    </row>
    <row r="5" spans="3:18">
      <c r="D5" s="14" t="s">
        <v>6</v>
      </c>
      <c r="E5" s="15">
        <f>COUNTIF($N:$N,E4)</f>
        <v>736</v>
      </c>
      <c r="F5" s="15">
        <f>COUNTIF($N:$N,F4)</f>
        <v>38</v>
      </c>
      <c r="G5" s="15">
        <v>23</v>
      </c>
      <c r="H5" s="15">
        <f>COUNTIF($N:$N,H4)</f>
        <v>100</v>
      </c>
      <c r="I5" s="15">
        <f>+E5+F5+H5</f>
        <v>874</v>
      </c>
      <c r="J5" s="20"/>
      <c r="K5">
        <f>82*6.2</f>
        <v>508.40000000000003</v>
      </c>
      <c r="R5">
        <f>295/7</f>
        <v>42.142857142857146</v>
      </c>
    </row>
    <row r="6" spans="3:18">
      <c r="D6" s="20"/>
      <c r="E6" s="232"/>
      <c r="F6" s="232"/>
      <c r="G6" s="232"/>
      <c r="H6" s="232"/>
      <c r="I6" s="232"/>
      <c r="J6" s="232"/>
    </row>
    <row r="8" spans="3:18" ht="30.75" customHeight="1">
      <c r="C8" s="8" t="s">
        <v>7</v>
      </c>
      <c r="D8" s="8" t="s">
        <v>8</v>
      </c>
      <c r="E8" s="8" t="s">
        <v>9</v>
      </c>
      <c r="F8" s="8" t="s">
        <v>10</v>
      </c>
      <c r="G8" s="8" t="s">
        <v>2619</v>
      </c>
      <c r="H8" s="8" t="s">
        <v>11</v>
      </c>
      <c r="I8" s="8" t="s">
        <v>12</v>
      </c>
      <c r="J8" s="8" t="s">
        <v>13</v>
      </c>
      <c r="K8" s="8" t="s">
        <v>14</v>
      </c>
      <c r="L8" s="8" t="s">
        <v>15</v>
      </c>
      <c r="M8" s="8" t="s">
        <v>16</v>
      </c>
      <c r="N8" s="8" t="s">
        <v>17</v>
      </c>
      <c r="O8" s="8" t="s">
        <v>18</v>
      </c>
      <c r="P8" s="8" t="s">
        <v>19</v>
      </c>
    </row>
    <row r="9" spans="3:18" s="1" customFormat="1" ht="34.5" hidden="1" customHeight="1">
      <c r="C9" s="3">
        <v>1</v>
      </c>
      <c r="D9" s="3" t="s">
        <v>20</v>
      </c>
      <c r="E9" s="3" t="s">
        <v>21</v>
      </c>
      <c r="F9" s="4">
        <v>45303</v>
      </c>
      <c r="G9" s="21">
        <f t="shared" ref="G9:G72" si="0">+YEAR(F9)</f>
        <v>2024</v>
      </c>
      <c r="H9" s="3" t="s">
        <v>22</v>
      </c>
      <c r="I9" s="3"/>
      <c r="J9" s="3" t="s">
        <v>23</v>
      </c>
      <c r="K9" s="3" t="s">
        <v>24</v>
      </c>
      <c r="L9" s="3"/>
      <c r="M9" s="3"/>
      <c r="N9" s="5" t="s">
        <v>1</v>
      </c>
      <c r="O9" s="3"/>
      <c r="P9" s="3" t="s">
        <v>25</v>
      </c>
    </row>
    <row r="10" spans="3:18" s="1" customFormat="1" ht="28.8" hidden="1">
      <c r="C10" s="6">
        <f>+C9+1</f>
        <v>2</v>
      </c>
      <c r="D10" s="6" t="s">
        <v>20</v>
      </c>
      <c r="E10" s="6" t="s">
        <v>26</v>
      </c>
      <c r="F10" s="7">
        <v>45307</v>
      </c>
      <c r="G10" s="218">
        <f t="shared" si="0"/>
        <v>2024</v>
      </c>
      <c r="H10" s="6" t="s">
        <v>22</v>
      </c>
      <c r="I10" s="6"/>
      <c r="J10" s="6" t="s">
        <v>27</v>
      </c>
      <c r="K10" s="6" t="s">
        <v>24</v>
      </c>
      <c r="L10" s="6"/>
      <c r="M10" s="6"/>
      <c r="N10" s="5" t="s">
        <v>1</v>
      </c>
      <c r="O10" s="6"/>
      <c r="P10" s="6" t="s">
        <v>28</v>
      </c>
    </row>
    <row r="11" spans="3:18" s="1" customFormat="1" ht="61.5" hidden="1" customHeight="1">
      <c r="C11" s="3">
        <f>+C10+1</f>
        <v>3</v>
      </c>
      <c r="D11" s="3" t="s">
        <v>20</v>
      </c>
      <c r="E11" s="3" t="s">
        <v>29</v>
      </c>
      <c r="F11" s="4">
        <v>45315</v>
      </c>
      <c r="G11" s="21">
        <f t="shared" si="0"/>
        <v>2024</v>
      </c>
      <c r="H11" s="3" t="s">
        <v>30</v>
      </c>
      <c r="I11" s="3"/>
      <c r="J11" s="3" t="s">
        <v>24</v>
      </c>
      <c r="K11" s="3" t="s">
        <v>24</v>
      </c>
      <c r="L11" s="3"/>
      <c r="M11" s="3"/>
      <c r="N11" s="5" t="s">
        <v>1</v>
      </c>
      <c r="O11" s="3"/>
      <c r="P11" s="3" t="s">
        <v>31</v>
      </c>
    </row>
    <row r="12" spans="3:18" s="1" customFormat="1" ht="69" hidden="1" customHeight="1">
      <c r="C12" s="6">
        <f>+C11+1</f>
        <v>4</v>
      </c>
      <c r="D12" s="6" t="s">
        <v>20</v>
      </c>
      <c r="E12" s="6" t="s">
        <v>32</v>
      </c>
      <c r="F12" s="7">
        <v>45306</v>
      </c>
      <c r="G12" s="218">
        <f t="shared" si="0"/>
        <v>2024</v>
      </c>
      <c r="H12" s="6" t="s">
        <v>33</v>
      </c>
      <c r="I12" s="6"/>
      <c r="J12" s="6" t="s">
        <v>27</v>
      </c>
      <c r="K12" s="10" t="s">
        <v>34</v>
      </c>
      <c r="L12" s="10"/>
      <c r="M12" s="10"/>
      <c r="N12" s="5" t="s">
        <v>1</v>
      </c>
      <c r="O12" s="6"/>
      <c r="P12" s="6" t="s">
        <v>35</v>
      </c>
    </row>
    <row r="13" spans="3:18" s="1" customFormat="1" ht="43.2" hidden="1">
      <c r="C13" s="3">
        <f>+C12+1</f>
        <v>5</v>
      </c>
      <c r="D13" s="3" t="s">
        <v>20</v>
      </c>
      <c r="E13" s="3" t="s">
        <v>36</v>
      </c>
      <c r="F13" s="4">
        <v>45314</v>
      </c>
      <c r="G13" s="21">
        <f t="shared" si="0"/>
        <v>2024</v>
      </c>
      <c r="H13" s="3" t="s">
        <v>2606</v>
      </c>
      <c r="I13" s="3" t="s">
        <v>226</v>
      </c>
      <c r="J13" s="3" t="s">
        <v>38</v>
      </c>
      <c r="K13" s="2" t="s">
        <v>39</v>
      </c>
      <c r="L13" s="2"/>
      <c r="M13" s="2"/>
      <c r="N13" s="5" t="s">
        <v>1</v>
      </c>
      <c r="O13" s="3"/>
      <c r="P13" s="3" t="s">
        <v>40</v>
      </c>
    </row>
    <row r="14" spans="3:18" s="1" customFormat="1" ht="216" hidden="1">
      <c r="C14" s="6">
        <f>+C13+1</f>
        <v>6</v>
      </c>
      <c r="D14" s="6" t="s">
        <v>41</v>
      </c>
      <c r="E14" s="6" t="s">
        <v>42</v>
      </c>
      <c r="F14" s="7">
        <v>45302</v>
      </c>
      <c r="G14" s="218">
        <f t="shared" si="0"/>
        <v>2024</v>
      </c>
      <c r="H14" s="6" t="s">
        <v>195</v>
      </c>
      <c r="I14" s="6"/>
      <c r="J14" s="6" t="s">
        <v>44</v>
      </c>
      <c r="K14" s="10" t="s">
        <v>45</v>
      </c>
      <c r="L14" s="10"/>
      <c r="M14" s="10"/>
      <c r="N14" s="5" t="s">
        <v>1</v>
      </c>
      <c r="O14" s="6"/>
      <c r="P14" s="6" t="s">
        <v>46</v>
      </c>
    </row>
    <row r="15" spans="3:18" s="1" customFormat="1" ht="159.75" hidden="1" customHeight="1">
      <c r="C15" s="3">
        <f t="shared" ref="C15:C29" si="1">+C14+1</f>
        <v>7</v>
      </c>
      <c r="D15" s="3" t="s">
        <v>47</v>
      </c>
      <c r="E15" s="3" t="s">
        <v>48</v>
      </c>
      <c r="F15" s="4">
        <v>45306</v>
      </c>
      <c r="G15" s="21">
        <f t="shared" si="0"/>
        <v>2024</v>
      </c>
      <c r="H15" s="3" t="s">
        <v>49</v>
      </c>
      <c r="I15" s="3"/>
      <c r="J15" s="3" t="s">
        <v>50</v>
      </c>
      <c r="K15" s="2" t="s">
        <v>51</v>
      </c>
      <c r="L15" s="3">
        <v>10</v>
      </c>
      <c r="M15" s="2"/>
      <c r="N15" s="5" t="s">
        <v>1</v>
      </c>
      <c r="O15" s="3"/>
      <c r="P15" s="3" t="s">
        <v>52</v>
      </c>
    </row>
    <row r="16" spans="3:18" s="1" customFormat="1" ht="52.5" hidden="1" customHeight="1">
      <c r="C16" s="6">
        <f t="shared" si="1"/>
        <v>8</v>
      </c>
      <c r="D16" s="6" t="s">
        <v>47</v>
      </c>
      <c r="E16" s="6" t="s">
        <v>53</v>
      </c>
      <c r="F16" s="7">
        <v>45315</v>
      </c>
      <c r="G16" s="218">
        <f t="shared" si="0"/>
        <v>2024</v>
      </c>
      <c r="H16" s="6" t="s">
        <v>2596</v>
      </c>
      <c r="I16" s="6"/>
      <c r="J16" s="6" t="s">
        <v>55</v>
      </c>
      <c r="K16" s="6" t="s">
        <v>24</v>
      </c>
      <c r="L16" s="6"/>
      <c r="M16" s="6"/>
      <c r="N16" s="5" t="s">
        <v>1</v>
      </c>
      <c r="O16" s="6"/>
      <c r="P16" s="6" t="s">
        <v>56</v>
      </c>
    </row>
    <row r="17" spans="3:16" s="1" customFormat="1" ht="135.75" hidden="1" customHeight="1">
      <c r="C17" s="3">
        <f t="shared" si="1"/>
        <v>9</v>
      </c>
      <c r="D17" s="3" t="s">
        <v>57</v>
      </c>
      <c r="E17" s="3" t="s">
        <v>58</v>
      </c>
      <c r="F17" s="4">
        <v>45314</v>
      </c>
      <c r="G17" s="21">
        <f t="shared" si="0"/>
        <v>2024</v>
      </c>
      <c r="H17" s="3" t="s">
        <v>76</v>
      </c>
      <c r="I17" s="3"/>
      <c r="J17" s="3" t="s">
        <v>60</v>
      </c>
      <c r="K17" s="3" t="s">
        <v>61</v>
      </c>
      <c r="L17" s="3"/>
      <c r="M17" s="3"/>
      <c r="N17" s="5" t="s">
        <v>1</v>
      </c>
      <c r="O17" s="3"/>
      <c r="P17" s="3" t="s">
        <v>62</v>
      </c>
    </row>
    <row r="18" spans="3:16" s="1" customFormat="1" ht="100.8" hidden="1">
      <c r="C18" s="6">
        <f t="shared" si="1"/>
        <v>10</v>
      </c>
      <c r="D18" s="6" t="s">
        <v>63</v>
      </c>
      <c r="E18" s="6" t="s">
        <v>64</v>
      </c>
      <c r="F18" s="7">
        <v>45315</v>
      </c>
      <c r="G18" s="218">
        <f t="shared" si="0"/>
        <v>2024</v>
      </c>
      <c r="H18" s="6" t="s">
        <v>2603</v>
      </c>
      <c r="I18" s="6"/>
      <c r="J18" s="6" t="s">
        <v>66</v>
      </c>
      <c r="K18" s="6" t="s">
        <v>67</v>
      </c>
      <c r="L18" s="6"/>
      <c r="M18" s="6"/>
      <c r="N18" s="5" t="s">
        <v>1</v>
      </c>
      <c r="O18" s="6"/>
      <c r="P18" s="6" t="s">
        <v>68</v>
      </c>
    </row>
    <row r="19" spans="3:16" s="1" customFormat="1" ht="100.8" hidden="1">
      <c r="C19" s="3">
        <f t="shared" si="1"/>
        <v>11</v>
      </c>
      <c r="D19" s="3" t="s">
        <v>41</v>
      </c>
      <c r="E19" s="3" t="s">
        <v>69</v>
      </c>
      <c r="F19" s="4">
        <v>45489</v>
      </c>
      <c r="G19" s="21">
        <f t="shared" si="0"/>
        <v>2024</v>
      </c>
      <c r="H19" s="3" t="s">
        <v>76</v>
      </c>
      <c r="I19" s="3"/>
      <c r="J19" s="3" t="s">
        <v>71</v>
      </c>
      <c r="K19" s="3" t="s">
        <v>72</v>
      </c>
      <c r="L19" s="3"/>
      <c r="M19" s="3" t="s">
        <v>73</v>
      </c>
      <c r="N19" s="5" t="s">
        <v>1</v>
      </c>
      <c r="O19" s="3"/>
      <c r="P19" s="3" t="s">
        <v>74</v>
      </c>
    </row>
    <row r="20" spans="3:16" s="1" customFormat="1" ht="201.6" hidden="1">
      <c r="C20" s="3">
        <f t="shared" si="1"/>
        <v>12</v>
      </c>
      <c r="D20" s="6" t="s">
        <v>41</v>
      </c>
      <c r="E20" s="6" t="s">
        <v>75</v>
      </c>
      <c r="F20" s="7" t="s">
        <v>24</v>
      </c>
      <c r="G20" s="218" t="e">
        <f t="shared" si="0"/>
        <v>#VALUE!</v>
      </c>
      <c r="H20" s="6" t="s">
        <v>76</v>
      </c>
      <c r="I20" s="6"/>
      <c r="J20" s="6" t="s">
        <v>77</v>
      </c>
      <c r="K20" s="6" t="s">
        <v>78</v>
      </c>
      <c r="L20" s="6"/>
      <c r="M20" s="6" t="s">
        <v>79</v>
      </c>
      <c r="N20" s="71" t="s">
        <v>4</v>
      </c>
      <c r="O20" s="3"/>
      <c r="P20" s="6"/>
    </row>
    <row r="21" spans="3:16" s="1" customFormat="1" ht="96" hidden="1" customHeight="1">
      <c r="C21" s="3">
        <f t="shared" si="1"/>
        <v>13</v>
      </c>
      <c r="D21" s="3" t="s">
        <v>80</v>
      </c>
      <c r="E21" s="3" t="s">
        <v>81</v>
      </c>
      <c r="F21" s="4">
        <v>45320</v>
      </c>
      <c r="G21" s="21">
        <f t="shared" si="0"/>
        <v>2024</v>
      </c>
      <c r="H21" s="3" t="s">
        <v>82</v>
      </c>
      <c r="I21" s="3"/>
      <c r="J21" s="3" t="s">
        <v>83</v>
      </c>
      <c r="K21" s="3" t="s">
        <v>84</v>
      </c>
      <c r="L21" s="3"/>
      <c r="M21" s="3"/>
      <c r="N21" s="5" t="s">
        <v>1</v>
      </c>
      <c r="O21" s="3"/>
      <c r="P21" s="3" t="s">
        <v>85</v>
      </c>
    </row>
    <row r="22" spans="3:16" s="1" customFormat="1" ht="28.8" hidden="1">
      <c r="C22" s="6">
        <f t="shared" si="1"/>
        <v>14</v>
      </c>
      <c r="D22" s="6" t="s">
        <v>86</v>
      </c>
      <c r="E22" s="6" t="s">
        <v>87</v>
      </c>
      <c r="F22" s="7">
        <v>45322</v>
      </c>
      <c r="G22" s="218">
        <f t="shared" si="0"/>
        <v>2024</v>
      </c>
      <c r="H22" s="6" t="s">
        <v>88</v>
      </c>
      <c r="I22" s="6"/>
      <c r="J22" s="6" t="s">
        <v>27</v>
      </c>
      <c r="K22" s="6" t="s">
        <v>89</v>
      </c>
      <c r="L22" s="6"/>
      <c r="M22" s="6" t="s">
        <v>90</v>
      </c>
      <c r="N22" s="5" t="s">
        <v>1</v>
      </c>
      <c r="O22" s="6"/>
      <c r="P22" s="6"/>
    </row>
    <row r="23" spans="3:16" s="1" customFormat="1" ht="197.25" hidden="1" customHeight="1">
      <c r="C23" s="3">
        <f t="shared" si="1"/>
        <v>15</v>
      </c>
      <c r="D23" s="3" t="s">
        <v>91</v>
      </c>
      <c r="E23" s="3" t="s">
        <v>92</v>
      </c>
      <c r="F23" s="4">
        <v>45322</v>
      </c>
      <c r="G23" s="21">
        <f t="shared" si="0"/>
        <v>2024</v>
      </c>
      <c r="H23" s="3" t="s">
        <v>93</v>
      </c>
      <c r="I23" s="3"/>
      <c r="J23" s="3" t="s">
        <v>94</v>
      </c>
      <c r="K23" s="3" t="s">
        <v>95</v>
      </c>
      <c r="L23" s="3">
        <v>150</v>
      </c>
      <c r="M23" s="3" t="s">
        <v>73</v>
      </c>
      <c r="N23" s="5" t="s">
        <v>1</v>
      </c>
      <c r="O23" s="3"/>
      <c r="P23" s="3"/>
    </row>
    <row r="24" spans="3:16" s="1" customFormat="1" ht="115.2" hidden="1">
      <c r="C24" s="3">
        <f t="shared" si="1"/>
        <v>16</v>
      </c>
      <c r="D24" s="6" t="s">
        <v>96</v>
      </c>
      <c r="E24" s="6" t="s">
        <v>97</v>
      </c>
      <c r="F24" s="7">
        <v>45366</v>
      </c>
      <c r="G24" s="218">
        <f t="shared" si="0"/>
        <v>2024</v>
      </c>
      <c r="H24" s="6" t="s">
        <v>76</v>
      </c>
      <c r="I24" s="6"/>
      <c r="J24" s="6"/>
      <c r="K24" s="6" t="s">
        <v>98</v>
      </c>
      <c r="L24" s="6">
        <f>19*5</f>
        <v>95</v>
      </c>
      <c r="M24" s="6" t="s">
        <v>99</v>
      </c>
      <c r="N24" s="71" t="s">
        <v>4</v>
      </c>
      <c r="O24" s="3"/>
      <c r="P24" s="6"/>
    </row>
    <row r="25" spans="3:16" s="1" customFormat="1" ht="82.5" hidden="1" customHeight="1">
      <c r="C25" s="3">
        <f t="shared" si="1"/>
        <v>17</v>
      </c>
      <c r="D25" s="3" t="s">
        <v>86</v>
      </c>
      <c r="E25" s="3" t="s">
        <v>100</v>
      </c>
      <c r="F25" s="4">
        <v>45322</v>
      </c>
      <c r="G25" s="21">
        <f t="shared" si="0"/>
        <v>2024</v>
      </c>
      <c r="H25" s="3" t="s">
        <v>88</v>
      </c>
      <c r="I25" s="3"/>
      <c r="J25" s="3" t="s">
        <v>101</v>
      </c>
      <c r="K25" s="3" t="s">
        <v>102</v>
      </c>
      <c r="L25" s="3"/>
      <c r="M25" s="3"/>
      <c r="N25" s="5" t="s">
        <v>1</v>
      </c>
      <c r="O25" s="6"/>
      <c r="P25" s="3" t="s">
        <v>103</v>
      </c>
    </row>
    <row r="26" spans="3:16" s="1" customFormat="1" ht="72" hidden="1">
      <c r="C26" s="6">
        <f t="shared" si="1"/>
        <v>18</v>
      </c>
      <c r="D26" s="6" t="s">
        <v>20</v>
      </c>
      <c r="E26" s="6" t="s">
        <v>104</v>
      </c>
      <c r="F26" s="7">
        <v>45323</v>
      </c>
      <c r="G26" s="218">
        <f t="shared" si="0"/>
        <v>2024</v>
      </c>
      <c r="H26" s="6" t="s">
        <v>22</v>
      </c>
      <c r="I26" s="6"/>
      <c r="J26" s="6" t="s">
        <v>105</v>
      </c>
      <c r="K26" s="6" t="s">
        <v>106</v>
      </c>
      <c r="L26" s="6"/>
      <c r="M26" s="6"/>
      <c r="N26" s="5" t="s">
        <v>1</v>
      </c>
      <c r="O26" s="2"/>
      <c r="P26" s="6"/>
    </row>
    <row r="27" spans="3:16" s="1" customFormat="1" ht="61.5" hidden="1" customHeight="1">
      <c r="C27" s="3">
        <f t="shared" si="1"/>
        <v>19</v>
      </c>
      <c r="D27" s="3" t="s">
        <v>41</v>
      </c>
      <c r="E27" s="3" t="s">
        <v>107</v>
      </c>
      <c r="F27" s="4">
        <v>45329</v>
      </c>
      <c r="G27" s="21">
        <f t="shared" si="0"/>
        <v>2024</v>
      </c>
      <c r="H27" s="3" t="s">
        <v>108</v>
      </c>
      <c r="I27" s="3"/>
      <c r="J27" s="3" t="s">
        <v>109</v>
      </c>
      <c r="K27" s="3" t="s">
        <v>110</v>
      </c>
      <c r="L27" s="3"/>
      <c r="M27" s="3"/>
      <c r="N27" s="5" t="s">
        <v>1</v>
      </c>
      <c r="O27" s="6"/>
      <c r="P27" s="2" t="s">
        <v>111</v>
      </c>
    </row>
    <row r="28" spans="3:16" s="1" customFormat="1" ht="78" hidden="1" customHeight="1">
      <c r="C28" s="6">
        <f t="shared" si="1"/>
        <v>20</v>
      </c>
      <c r="D28" s="6" t="s">
        <v>112</v>
      </c>
      <c r="E28" s="6" t="s">
        <v>113</v>
      </c>
      <c r="F28" s="7">
        <v>45329</v>
      </c>
      <c r="G28" s="218">
        <f t="shared" si="0"/>
        <v>2024</v>
      </c>
      <c r="H28" s="6" t="s">
        <v>114</v>
      </c>
      <c r="I28" s="6"/>
      <c r="J28" s="6" t="s">
        <v>115</v>
      </c>
      <c r="K28" s="6" t="s">
        <v>116</v>
      </c>
      <c r="L28" s="6"/>
      <c r="M28" s="6"/>
      <c r="N28" s="5" t="s">
        <v>1</v>
      </c>
      <c r="O28" s="32"/>
      <c r="P28" s="6" t="s">
        <v>117</v>
      </c>
    </row>
    <row r="29" spans="3:16" s="1" customFormat="1" ht="129.6" hidden="1">
      <c r="C29" s="3">
        <f t="shared" si="1"/>
        <v>21</v>
      </c>
      <c r="D29" s="3" t="s">
        <v>41</v>
      </c>
      <c r="E29" s="3" t="s">
        <v>118</v>
      </c>
      <c r="F29" s="4">
        <v>45330</v>
      </c>
      <c r="G29" s="21">
        <f t="shared" si="0"/>
        <v>2024</v>
      </c>
      <c r="H29" s="3" t="s">
        <v>119</v>
      </c>
      <c r="I29" s="3"/>
      <c r="J29" s="2" t="s">
        <v>120</v>
      </c>
      <c r="K29" s="3" t="s">
        <v>121</v>
      </c>
      <c r="L29" s="3">
        <v>6.5</v>
      </c>
      <c r="M29" s="3" t="s">
        <v>122</v>
      </c>
      <c r="N29" s="5" t="s">
        <v>1</v>
      </c>
      <c r="O29" s="6"/>
      <c r="P29" s="32"/>
    </row>
    <row r="30" spans="3:16" s="1" customFormat="1" ht="115.2" hidden="1">
      <c r="C30" s="3">
        <f t="shared" ref="C30:C53" si="2">+C29+1</f>
        <v>22</v>
      </c>
      <c r="D30" s="6" t="s">
        <v>41</v>
      </c>
      <c r="E30" s="6" t="s">
        <v>123</v>
      </c>
      <c r="F30" s="7"/>
      <c r="G30" s="218">
        <f t="shared" si="0"/>
        <v>1900</v>
      </c>
      <c r="H30" s="6" t="s">
        <v>76</v>
      </c>
      <c r="I30" s="6"/>
      <c r="J30" s="6" t="s">
        <v>124</v>
      </c>
      <c r="K30" s="6" t="s">
        <v>125</v>
      </c>
      <c r="L30" s="6"/>
      <c r="M30" s="6" t="s">
        <v>73</v>
      </c>
      <c r="N30" s="5" t="s">
        <v>1</v>
      </c>
      <c r="O30" s="19"/>
      <c r="P30" s="6" t="s">
        <v>126</v>
      </c>
    </row>
    <row r="31" spans="3:16" s="1" customFormat="1" ht="57.6" hidden="1">
      <c r="C31" s="3">
        <f t="shared" si="2"/>
        <v>23</v>
      </c>
      <c r="D31" s="17" t="s">
        <v>127</v>
      </c>
      <c r="E31" s="17" t="s">
        <v>128</v>
      </c>
      <c r="F31" s="18"/>
      <c r="G31" s="219">
        <f t="shared" si="0"/>
        <v>1900</v>
      </c>
      <c r="H31" s="17" t="s">
        <v>129</v>
      </c>
      <c r="I31" s="17" t="s">
        <v>130</v>
      </c>
      <c r="J31" s="19"/>
      <c r="K31" s="17" t="s">
        <v>131</v>
      </c>
      <c r="L31" s="17"/>
      <c r="M31" s="17" t="s">
        <v>122</v>
      </c>
      <c r="N31" s="5" t="s">
        <v>1</v>
      </c>
      <c r="O31" s="6"/>
      <c r="P31" s="19" t="s">
        <v>132</v>
      </c>
    </row>
    <row r="32" spans="3:16" s="1" customFormat="1" ht="115.2" hidden="1">
      <c r="C32" s="6">
        <f t="shared" ref="C32:C38" si="3">+C31+1</f>
        <v>24</v>
      </c>
      <c r="D32" s="6" t="s">
        <v>133</v>
      </c>
      <c r="E32" s="6" t="s">
        <v>134</v>
      </c>
      <c r="F32" s="7"/>
      <c r="G32" s="218">
        <f t="shared" si="0"/>
        <v>1900</v>
      </c>
      <c r="H32" s="6" t="s">
        <v>76</v>
      </c>
      <c r="I32" s="6"/>
      <c r="J32" s="6" t="s">
        <v>135</v>
      </c>
      <c r="K32" s="6" t="s">
        <v>136</v>
      </c>
      <c r="L32" s="6"/>
      <c r="M32" s="6"/>
      <c r="N32" s="5" t="s">
        <v>1</v>
      </c>
      <c r="O32" s="2"/>
      <c r="P32" s="6" t="s">
        <v>137</v>
      </c>
    </row>
    <row r="33" spans="3:16" s="1" customFormat="1" ht="129.6" hidden="1">
      <c r="C33" s="17">
        <f t="shared" si="2"/>
        <v>25</v>
      </c>
      <c r="D33" s="3" t="s">
        <v>133</v>
      </c>
      <c r="E33" s="3" t="s">
        <v>138</v>
      </c>
      <c r="F33" s="4">
        <v>45337</v>
      </c>
      <c r="G33" s="21">
        <f t="shared" si="0"/>
        <v>2024</v>
      </c>
      <c r="H33" s="3" t="s">
        <v>139</v>
      </c>
      <c r="I33" s="3"/>
      <c r="J33" s="3" t="s">
        <v>140</v>
      </c>
      <c r="K33" s="3" t="s">
        <v>141</v>
      </c>
      <c r="L33" s="3">
        <v>50</v>
      </c>
      <c r="M33" s="3" t="s">
        <v>73</v>
      </c>
      <c r="N33" s="5" t="s">
        <v>1</v>
      </c>
      <c r="O33" s="6"/>
      <c r="P33" s="2" t="s">
        <v>142</v>
      </c>
    </row>
    <row r="34" spans="3:16" s="1" customFormat="1" ht="39.75" hidden="1" customHeight="1">
      <c r="C34" s="6">
        <f t="shared" si="3"/>
        <v>26</v>
      </c>
      <c r="D34" s="6" t="s">
        <v>86</v>
      </c>
      <c r="E34" s="6" t="s">
        <v>143</v>
      </c>
      <c r="F34" s="7">
        <v>45344</v>
      </c>
      <c r="G34" s="218">
        <f t="shared" si="0"/>
        <v>2024</v>
      </c>
      <c r="H34" s="6" t="s">
        <v>144</v>
      </c>
      <c r="I34" s="6"/>
      <c r="J34" s="6" t="s">
        <v>145</v>
      </c>
      <c r="K34" s="6" t="s">
        <v>146</v>
      </c>
      <c r="L34" s="6"/>
      <c r="M34" s="6" t="s">
        <v>122</v>
      </c>
      <c r="N34" s="5" t="s">
        <v>1</v>
      </c>
      <c r="O34" s="3"/>
      <c r="P34" s="6" t="s">
        <v>147</v>
      </c>
    </row>
    <row r="35" spans="3:16" s="1" customFormat="1" ht="43.2" hidden="1">
      <c r="C35" s="3">
        <f t="shared" si="2"/>
        <v>27</v>
      </c>
      <c r="D35" s="3" t="s">
        <v>86</v>
      </c>
      <c r="E35" s="3" t="s">
        <v>148</v>
      </c>
      <c r="F35" s="4">
        <v>45338</v>
      </c>
      <c r="G35" s="21">
        <f t="shared" si="0"/>
        <v>2024</v>
      </c>
      <c r="H35" s="3" t="s">
        <v>88</v>
      </c>
      <c r="I35" s="3"/>
      <c r="J35" s="3" t="s">
        <v>149</v>
      </c>
      <c r="K35" s="3" t="s">
        <v>150</v>
      </c>
      <c r="L35" s="3"/>
      <c r="M35" s="3" t="s">
        <v>122</v>
      </c>
      <c r="N35" s="5" t="s">
        <v>1</v>
      </c>
      <c r="O35" s="6"/>
      <c r="P35" s="3" t="s">
        <v>151</v>
      </c>
    </row>
    <row r="36" spans="3:16" s="1" customFormat="1" ht="129.6" hidden="1">
      <c r="C36" s="6">
        <f t="shared" si="3"/>
        <v>28</v>
      </c>
      <c r="D36" s="6" t="s">
        <v>41</v>
      </c>
      <c r="E36" s="6" t="s">
        <v>152</v>
      </c>
      <c r="F36" s="7">
        <v>45337</v>
      </c>
      <c r="G36" s="218">
        <f t="shared" si="0"/>
        <v>2024</v>
      </c>
      <c r="H36" s="6" t="s">
        <v>76</v>
      </c>
      <c r="I36" s="6"/>
      <c r="J36" s="6" t="s">
        <v>153</v>
      </c>
      <c r="K36" s="6" t="s">
        <v>154</v>
      </c>
      <c r="L36" s="6">
        <v>30</v>
      </c>
      <c r="M36" s="6" t="s">
        <v>73</v>
      </c>
      <c r="N36" s="5" t="s">
        <v>1</v>
      </c>
      <c r="O36" s="6"/>
      <c r="P36" s="6" t="s">
        <v>155</v>
      </c>
    </row>
    <row r="37" spans="3:16" s="1" customFormat="1" ht="171.75" hidden="1" customHeight="1">
      <c r="C37" s="3">
        <f t="shared" si="2"/>
        <v>29</v>
      </c>
      <c r="D37" s="3" t="s">
        <v>156</v>
      </c>
      <c r="E37" s="3" t="s">
        <v>157</v>
      </c>
      <c r="F37" s="4">
        <v>45337</v>
      </c>
      <c r="G37" s="21">
        <f t="shared" si="0"/>
        <v>2024</v>
      </c>
      <c r="H37" s="3" t="s">
        <v>158</v>
      </c>
      <c r="I37" s="3"/>
      <c r="J37" s="3" t="s">
        <v>24</v>
      </c>
      <c r="K37" s="3" t="s">
        <v>159</v>
      </c>
      <c r="L37" s="3">
        <v>147</v>
      </c>
      <c r="M37" s="3" t="s">
        <v>160</v>
      </c>
      <c r="N37" s="36" t="s">
        <v>3</v>
      </c>
      <c r="O37" s="2"/>
      <c r="P37" s="2"/>
    </row>
    <row r="38" spans="3:16" s="1" customFormat="1" ht="57.6" hidden="1">
      <c r="C38" s="6">
        <f t="shared" si="3"/>
        <v>30</v>
      </c>
      <c r="D38" s="6" t="s">
        <v>161</v>
      </c>
      <c r="E38" s="6" t="s">
        <v>162</v>
      </c>
      <c r="F38" s="7">
        <v>45338</v>
      </c>
      <c r="G38" s="218">
        <f t="shared" si="0"/>
        <v>2024</v>
      </c>
      <c r="H38" s="6" t="s">
        <v>163</v>
      </c>
      <c r="I38" s="6"/>
      <c r="J38" s="6" t="s">
        <v>164</v>
      </c>
      <c r="K38" s="6" t="s">
        <v>165</v>
      </c>
      <c r="L38" s="6">
        <v>20</v>
      </c>
      <c r="M38" s="6" t="s">
        <v>73</v>
      </c>
      <c r="N38" s="5" t="s">
        <v>166</v>
      </c>
      <c r="O38" s="6"/>
      <c r="P38" s="6" t="s">
        <v>167</v>
      </c>
    </row>
    <row r="39" spans="3:16" s="1" customFormat="1" ht="81.75" hidden="1" customHeight="1">
      <c r="C39" s="3">
        <f t="shared" si="2"/>
        <v>31</v>
      </c>
      <c r="D39" s="3" t="s">
        <v>168</v>
      </c>
      <c r="E39" s="3" t="s">
        <v>169</v>
      </c>
      <c r="F39" s="4">
        <v>45342</v>
      </c>
      <c r="G39" s="21">
        <f t="shared" si="0"/>
        <v>2024</v>
      </c>
      <c r="H39" s="3" t="s">
        <v>425</v>
      </c>
      <c r="I39" s="3"/>
      <c r="J39" s="3" t="s">
        <v>171</v>
      </c>
      <c r="K39" s="3" t="s">
        <v>172</v>
      </c>
      <c r="L39" s="3">
        <v>30</v>
      </c>
      <c r="M39" s="3" t="s">
        <v>73</v>
      </c>
      <c r="N39" s="5" t="s">
        <v>1</v>
      </c>
      <c r="O39" s="6"/>
      <c r="P39" s="2" t="s">
        <v>173</v>
      </c>
    </row>
    <row r="40" spans="3:16" s="1" customFormat="1" ht="105.75" hidden="1" customHeight="1">
      <c r="C40" s="6">
        <f t="shared" si="2"/>
        <v>32</v>
      </c>
      <c r="D40" s="6" t="s">
        <v>168</v>
      </c>
      <c r="E40" s="6" t="s">
        <v>174</v>
      </c>
      <c r="F40" s="7">
        <v>45343</v>
      </c>
      <c r="G40" s="218">
        <f t="shared" si="0"/>
        <v>2024</v>
      </c>
      <c r="H40" s="6" t="s">
        <v>425</v>
      </c>
      <c r="I40" s="6"/>
      <c r="J40" s="6" t="s">
        <v>176</v>
      </c>
      <c r="K40" s="6" t="s">
        <v>177</v>
      </c>
      <c r="L40" s="6">
        <v>48.5</v>
      </c>
      <c r="M40" s="6" t="s">
        <v>73</v>
      </c>
      <c r="N40" s="5" t="s">
        <v>1</v>
      </c>
      <c r="O40" s="2"/>
      <c r="P40" s="6" t="s">
        <v>178</v>
      </c>
    </row>
    <row r="41" spans="3:16" s="1" customFormat="1" ht="100.8" hidden="1">
      <c r="C41" s="3">
        <f t="shared" si="2"/>
        <v>33</v>
      </c>
      <c r="D41" s="3" t="s">
        <v>179</v>
      </c>
      <c r="E41" s="3" t="s">
        <v>180</v>
      </c>
      <c r="F41" s="4">
        <v>45342</v>
      </c>
      <c r="G41" s="21">
        <f t="shared" si="0"/>
        <v>2024</v>
      </c>
      <c r="H41" s="3" t="s">
        <v>76</v>
      </c>
      <c r="I41" s="3"/>
      <c r="J41" s="3" t="s">
        <v>181</v>
      </c>
      <c r="K41" s="3" t="s">
        <v>182</v>
      </c>
      <c r="L41" s="3"/>
      <c r="M41" s="3" t="s">
        <v>183</v>
      </c>
      <c r="N41" s="71" t="s">
        <v>4</v>
      </c>
      <c r="O41" s="6"/>
      <c r="P41" s="2"/>
    </row>
    <row r="42" spans="3:16" s="1" customFormat="1" ht="43.2" hidden="1">
      <c r="C42" s="6">
        <f t="shared" si="2"/>
        <v>34</v>
      </c>
      <c r="D42" s="6" t="s">
        <v>168</v>
      </c>
      <c r="E42" s="6" t="s">
        <v>184</v>
      </c>
      <c r="F42" s="7">
        <v>45345</v>
      </c>
      <c r="G42" s="218">
        <f t="shared" si="0"/>
        <v>2024</v>
      </c>
      <c r="H42" s="6" t="s">
        <v>185</v>
      </c>
      <c r="I42" s="6"/>
      <c r="J42" s="6" t="s">
        <v>186</v>
      </c>
      <c r="K42" s="6" t="s">
        <v>187</v>
      </c>
      <c r="L42" s="6"/>
      <c r="M42" s="6" t="s">
        <v>122</v>
      </c>
      <c r="N42" s="5" t="s">
        <v>1</v>
      </c>
      <c r="O42" s="3"/>
      <c r="P42" s="6"/>
    </row>
    <row r="43" spans="3:16" s="1" customFormat="1" ht="100.8" hidden="1">
      <c r="C43" s="3">
        <f t="shared" si="2"/>
        <v>35</v>
      </c>
      <c r="D43" s="3"/>
      <c r="E43" s="3" t="s">
        <v>188</v>
      </c>
      <c r="F43" s="4"/>
      <c r="G43" s="21">
        <f t="shared" si="0"/>
        <v>1900</v>
      </c>
      <c r="H43" s="3" t="s">
        <v>759</v>
      </c>
      <c r="I43" s="3" t="s">
        <v>802</v>
      </c>
      <c r="J43" s="3" t="s">
        <v>190</v>
      </c>
      <c r="K43" s="3" t="s">
        <v>191</v>
      </c>
      <c r="L43" s="3"/>
      <c r="M43" s="3" t="s">
        <v>122</v>
      </c>
      <c r="N43" s="5" t="s">
        <v>166</v>
      </c>
      <c r="O43" s="49"/>
      <c r="P43" s="2" t="s">
        <v>192</v>
      </c>
    </row>
    <row r="44" spans="3:16" s="1" customFormat="1" ht="43.2" hidden="1">
      <c r="C44" s="6">
        <f t="shared" si="2"/>
        <v>36</v>
      </c>
      <c r="D44" s="6" t="s">
        <v>193</v>
      </c>
      <c r="E44" s="6" t="s">
        <v>194</v>
      </c>
      <c r="F44" s="7"/>
      <c r="G44" s="218">
        <f t="shared" si="0"/>
        <v>1900</v>
      </c>
      <c r="H44" s="6" t="s">
        <v>195</v>
      </c>
      <c r="I44" s="6"/>
      <c r="J44" s="6" t="s">
        <v>24</v>
      </c>
      <c r="K44" s="6" t="s">
        <v>196</v>
      </c>
      <c r="L44" s="6">
        <v>120</v>
      </c>
      <c r="M44" s="6" t="s">
        <v>73</v>
      </c>
      <c r="N44" s="5" t="s">
        <v>1</v>
      </c>
      <c r="O44" s="3"/>
      <c r="P44" s="6" t="s">
        <v>197</v>
      </c>
    </row>
    <row r="45" spans="3:16" s="1" customFormat="1" ht="28.8" hidden="1">
      <c r="C45" s="3">
        <f t="shared" si="2"/>
        <v>37</v>
      </c>
      <c r="D45" s="3" t="s">
        <v>198</v>
      </c>
      <c r="E45" s="3" t="s">
        <v>199</v>
      </c>
      <c r="F45" s="4">
        <v>45349</v>
      </c>
      <c r="G45" s="21">
        <f t="shared" si="0"/>
        <v>2024</v>
      </c>
      <c r="H45" s="3" t="s">
        <v>200</v>
      </c>
      <c r="I45" s="3" t="s">
        <v>130</v>
      </c>
      <c r="J45" s="3" t="s">
        <v>24</v>
      </c>
      <c r="K45" s="3" t="s">
        <v>201</v>
      </c>
      <c r="L45" s="3"/>
      <c r="M45" s="3" t="s">
        <v>202</v>
      </c>
      <c r="N45" s="5" t="s">
        <v>1</v>
      </c>
      <c r="O45" s="3"/>
      <c r="P45" s="3" t="s">
        <v>203</v>
      </c>
    </row>
    <row r="46" spans="3:16" s="1" customFormat="1" ht="100.8" hidden="1">
      <c r="C46" s="6">
        <f t="shared" si="2"/>
        <v>38</v>
      </c>
      <c r="D46" s="6" t="s">
        <v>204</v>
      </c>
      <c r="E46" s="6" t="s">
        <v>205</v>
      </c>
      <c r="F46" s="7">
        <v>45350</v>
      </c>
      <c r="G46" s="218">
        <f t="shared" si="0"/>
        <v>2024</v>
      </c>
      <c r="H46" s="6" t="s">
        <v>206</v>
      </c>
      <c r="I46" s="6"/>
      <c r="J46" s="6" t="s">
        <v>24</v>
      </c>
      <c r="K46" s="6" t="s">
        <v>207</v>
      </c>
      <c r="L46" s="6"/>
      <c r="M46" s="6" t="s">
        <v>122</v>
      </c>
      <c r="N46" s="5" t="s">
        <v>166</v>
      </c>
      <c r="O46" s="6"/>
      <c r="P46" s="37" t="s">
        <v>208</v>
      </c>
    </row>
    <row r="47" spans="3:16" s="1" customFormat="1" ht="28.8" hidden="1">
      <c r="C47" s="3">
        <f t="shared" si="2"/>
        <v>39</v>
      </c>
      <c r="D47" s="3" t="s">
        <v>209</v>
      </c>
      <c r="E47" s="3" t="s">
        <v>210</v>
      </c>
      <c r="F47" s="4">
        <v>45358</v>
      </c>
      <c r="G47" s="21">
        <f t="shared" si="0"/>
        <v>2024</v>
      </c>
      <c r="H47" s="3" t="s">
        <v>211</v>
      </c>
      <c r="I47" s="3"/>
      <c r="J47" s="3" t="s">
        <v>212</v>
      </c>
      <c r="K47" s="3" t="s">
        <v>213</v>
      </c>
      <c r="L47" s="2"/>
      <c r="M47" s="3" t="s">
        <v>122</v>
      </c>
      <c r="N47" s="5" t="s">
        <v>1</v>
      </c>
      <c r="O47" s="6"/>
      <c r="P47" s="3" t="s">
        <v>214</v>
      </c>
    </row>
    <row r="48" spans="3:16" s="1" customFormat="1" ht="28.8" hidden="1">
      <c r="C48" s="6">
        <f t="shared" si="2"/>
        <v>40</v>
      </c>
      <c r="D48" s="6" t="s">
        <v>215</v>
      </c>
      <c r="E48" s="6" t="s">
        <v>216</v>
      </c>
      <c r="F48" s="7">
        <v>45364</v>
      </c>
      <c r="G48" s="218">
        <f t="shared" si="0"/>
        <v>2024</v>
      </c>
      <c r="H48" s="6" t="s">
        <v>76</v>
      </c>
      <c r="I48" s="6"/>
      <c r="J48" s="6" t="s">
        <v>218</v>
      </c>
      <c r="K48" s="6" t="s">
        <v>219</v>
      </c>
      <c r="L48" s="6">
        <v>21</v>
      </c>
      <c r="M48" s="6" t="s">
        <v>90</v>
      </c>
      <c r="N48" s="5" t="s">
        <v>1</v>
      </c>
      <c r="O48" s="3"/>
      <c r="P48" s="6" t="s">
        <v>220</v>
      </c>
    </row>
    <row r="49" spans="3:17" s="1" customFormat="1" ht="144" hidden="1">
      <c r="C49" s="3">
        <f t="shared" si="2"/>
        <v>41</v>
      </c>
      <c r="D49" s="6" t="s">
        <v>221</v>
      </c>
      <c r="E49" s="6" t="s">
        <v>222</v>
      </c>
      <c r="F49" s="7">
        <v>45366</v>
      </c>
      <c r="G49" s="218">
        <f t="shared" si="0"/>
        <v>2024</v>
      </c>
      <c r="H49" s="6" t="s">
        <v>2614</v>
      </c>
      <c r="I49" s="6" t="s">
        <v>226</v>
      </c>
      <c r="J49" s="6"/>
      <c r="K49" s="6" t="s">
        <v>223</v>
      </c>
      <c r="L49" s="6"/>
      <c r="M49" s="6" t="s">
        <v>90</v>
      </c>
      <c r="N49" s="71" t="s">
        <v>4</v>
      </c>
      <c r="O49" s="6"/>
      <c r="P49" s="6"/>
    </row>
    <row r="50" spans="3:17" ht="115.2" hidden="1">
      <c r="C50" s="6">
        <f>+C49+1</f>
        <v>42</v>
      </c>
      <c r="D50" s="6" t="s">
        <v>224</v>
      </c>
      <c r="E50" s="6" t="s">
        <v>225</v>
      </c>
      <c r="F50" s="7">
        <v>45366</v>
      </c>
      <c r="G50" s="218">
        <f t="shared" si="0"/>
        <v>2024</v>
      </c>
      <c r="H50" s="6" t="s">
        <v>2455</v>
      </c>
      <c r="I50" s="6"/>
      <c r="J50" s="6"/>
      <c r="K50" s="6" t="s">
        <v>227</v>
      </c>
      <c r="L50" s="6">
        <v>52</v>
      </c>
      <c r="M50" s="6" t="s">
        <v>228</v>
      </c>
      <c r="N50" s="5" t="s">
        <v>1</v>
      </c>
      <c r="P50" s="6" t="s">
        <v>229</v>
      </c>
    </row>
    <row r="51" spans="3:17" ht="115.2" hidden="1">
      <c r="C51" s="3">
        <f t="shared" si="2"/>
        <v>43</v>
      </c>
      <c r="D51" s="3" t="s">
        <v>230</v>
      </c>
      <c r="E51" s="3" t="s">
        <v>231</v>
      </c>
      <c r="F51" s="4">
        <v>45366</v>
      </c>
      <c r="G51" s="21">
        <f t="shared" si="0"/>
        <v>2024</v>
      </c>
      <c r="H51" s="3" t="s">
        <v>76</v>
      </c>
      <c r="I51" s="3"/>
      <c r="J51" s="3" t="s">
        <v>232</v>
      </c>
      <c r="K51" s="3" t="s">
        <v>233</v>
      </c>
      <c r="L51" s="21"/>
      <c r="M51" s="3" t="s">
        <v>73</v>
      </c>
      <c r="N51" s="71" t="s">
        <v>4</v>
      </c>
      <c r="O51" s="25"/>
    </row>
    <row r="52" spans="3:17" ht="96.75" hidden="1" customHeight="1">
      <c r="C52" s="6">
        <f>+C51+1</f>
        <v>44</v>
      </c>
      <c r="D52" s="6" t="s">
        <v>20</v>
      </c>
      <c r="E52" s="6" t="s">
        <v>234</v>
      </c>
      <c r="F52" s="7">
        <v>45365</v>
      </c>
      <c r="G52" s="218">
        <f t="shared" si="0"/>
        <v>2024</v>
      </c>
      <c r="H52" s="6" t="s">
        <v>235</v>
      </c>
      <c r="I52" s="6"/>
      <c r="J52" s="6" t="s">
        <v>236</v>
      </c>
      <c r="K52" s="6" t="s">
        <v>237</v>
      </c>
      <c r="L52" s="6">
        <v>40</v>
      </c>
      <c r="M52" s="6" t="s">
        <v>90</v>
      </c>
      <c r="N52" s="5" t="s">
        <v>1</v>
      </c>
      <c r="O52" s="26"/>
      <c r="P52" s="6" t="s">
        <v>238</v>
      </c>
    </row>
    <row r="53" spans="3:17" hidden="1">
      <c r="C53" s="3">
        <f t="shared" si="2"/>
        <v>45</v>
      </c>
      <c r="D53" s="3" t="s">
        <v>239</v>
      </c>
      <c r="E53" s="3" t="s">
        <v>240</v>
      </c>
      <c r="F53" s="4">
        <v>45365</v>
      </c>
      <c r="G53" s="21">
        <f t="shared" si="0"/>
        <v>2024</v>
      </c>
      <c r="H53" s="3" t="s">
        <v>235</v>
      </c>
      <c r="I53" s="3"/>
      <c r="J53" s="3"/>
      <c r="K53" s="3" t="s">
        <v>241</v>
      </c>
      <c r="L53" s="23">
        <v>61</v>
      </c>
      <c r="M53" s="3" t="s">
        <v>90</v>
      </c>
      <c r="N53" s="5" t="s">
        <v>1</v>
      </c>
      <c r="O53" s="25"/>
      <c r="P53" s="3" t="s">
        <v>242</v>
      </c>
    </row>
    <row r="54" spans="3:17" ht="43.2" hidden="1">
      <c r="C54" s="6">
        <f>+C53+1</f>
        <v>46</v>
      </c>
      <c r="D54" s="6" t="s">
        <v>243</v>
      </c>
      <c r="E54" s="6" t="s">
        <v>244</v>
      </c>
      <c r="F54" s="7">
        <v>45365</v>
      </c>
      <c r="G54" s="218">
        <f t="shared" si="0"/>
        <v>2024</v>
      </c>
      <c r="H54" s="6" t="s">
        <v>235</v>
      </c>
      <c r="I54" s="6"/>
      <c r="J54" s="6"/>
      <c r="K54" s="6" t="s">
        <v>245</v>
      </c>
      <c r="L54" s="6">
        <v>7.4</v>
      </c>
      <c r="M54" s="6" t="s">
        <v>90</v>
      </c>
      <c r="N54" s="5" t="s">
        <v>1</v>
      </c>
      <c r="O54" s="2"/>
      <c r="P54" s="6" t="s">
        <v>246</v>
      </c>
    </row>
    <row r="55" spans="3:17" hidden="1">
      <c r="C55" s="3">
        <f>+C54+1</f>
        <v>47</v>
      </c>
      <c r="D55" s="3" t="s">
        <v>247</v>
      </c>
      <c r="E55" s="3" t="s">
        <v>248</v>
      </c>
      <c r="F55" s="4">
        <v>45365</v>
      </c>
      <c r="G55" s="21">
        <f t="shared" si="0"/>
        <v>2024</v>
      </c>
      <c r="H55" s="3" t="s">
        <v>88</v>
      </c>
      <c r="I55" s="3"/>
      <c r="J55" s="3"/>
      <c r="K55" s="3"/>
      <c r="L55" s="22">
        <v>0.22500000000000001</v>
      </c>
      <c r="M55" s="3"/>
      <c r="N55" s="5" t="s">
        <v>1</v>
      </c>
      <c r="O55" s="6"/>
    </row>
    <row r="56" spans="3:17" ht="58.2" hidden="1" thickBot="1">
      <c r="C56" s="52">
        <f>+C55+1</f>
        <v>48</v>
      </c>
      <c r="D56" s="27" t="s">
        <v>249</v>
      </c>
      <c r="E56" s="27"/>
      <c r="F56" s="28">
        <v>45366</v>
      </c>
      <c r="G56" s="220">
        <f t="shared" si="0"/>
        <v>2024</v>
      </c>
      <c r="H56" s="27"/>
      <c r="I56" s="27"/>
      <c r="J56" s="27"/>
      <c r="K56" s="27" t="s">
        <v>250</v>
      </c>
      <c r="L56" s="27"/>
      <c r="M56" s="27" t="s">
        <v>228</v>
      </c>
      <c r="N56" s="56" t="s">
        <v>3</v>
      </c>
      <c r="O56" s="25"/>
      <c r="P56" s="29"/>
    </row>
    <row r="57" spans="3:17" ht="28.8" hidden="1">
      <c r="C57" s="25">
        <f t="shared" ref="C57:C60" si="4">+C56+1</f>
        <v>49</v>
      </c>
      <c r="D57" s="3" t="s">
        <v>221</v>
      </c>
      <c r="E57" s="3" t="s">
        <v>251</v>
      </c>
      <c r="F57" s="4">
        <v>45366</v>
      </c>
      <c r="G57" s="21">
        <f t="shared" si="0"/>
        <v>2024</v>
      </c>
      <c r="H57" s="3" t="s">
        <v>189</v>
      </c>
      <c r="K57" s="3" t="s">
        <v>252</v>
      </c>
      <c r="M57" s="25" t="s">
        <v>90</v>
      </c>
      <c r="N57" s="5" t="s">
        <v>1</v>
      </c>
      <c r="P57" s="25" t="s">
        <v>253</v>
      </c>
    </row>
    <row r="58" spans="3:17" ht="100.8" hidden="1">
      <c r="C58" s="6">
        <f t="shared" si="4"/>
        <v>50</v>
      </c>
      <c r="D58" s="3" t="s">
        <v>254</v>
      </c>
      <c r="E58" s="3" t="s">
        <v>2034</v>
      </c>
      <c r="F58" s="4">
        <v>45366</v>
      </c>
      <c r="G58" s="21">
        <f t="shared" si="0"/>
        <v>2024</v>
      </c>
      <c r="H58" s="3" t="s">
        <v>256</v>
      </c>
      <c r="I58" s="3" t="s">
        <v>257</v>
      </c>
      <c r="J58" s="3" t="s">
        <v>2080</v>
      </c>
      <c r="K58" s="49" t="s">
        <v>2081</v>
      </c>
      <c r="M58" s="3" t="s">
        <v>258</v>
      </c>
      <c r="N58" s="5" t="s">
        <v>1</v>
      </c>
      <c r="O58" s="7">
        <v>45889</v>
      </c>
      <c r="P58" s="2" t="s">
        <v>2109</v>
      </c>
      <c r="Q58" t="s">
        <v>691</v>
      </c>
    </row>
    <row r="59" spans="3:17" hidden="1">
      <c r="C59" s="24">
        <f t="shared" si="4"/>
        <v>51</v>
      </c>
      <c r="D59" s="3"/>
      <c r="E59" s="3" t="s">
        <v>259</v>
      </c>
      <c r="F59" s="4">
        <v>45366</v>
      </c>
      <c r="G59" s="21">
        <f t="shared" si="0"/>
        <v>2024</v>
      </c>
      <c r="H59" s="6" t="s">
        <v>76</v>
      </c>
      <c r="N59" s="5" t="s">
        <v>1</v>
      </c>
      <c r="O59" s="6"/>
      <c r="P59" s="25" t="s">
        <v>260</v>
      </c>
    </row>
    <row r="60" spans="3:17" ht="28.8" hidden="1">
      <c r="C60" s="6">
        <f t="shared" si="4"/>
        <v>52</v>
      </c>
      <c r="D60" s="25" t="s">
        <v>230</v>
      </c>
      <c r="E60" s="3" t="s">
        <v>261</v>
      </c>
      <c r="F60" s="4">
        <v>45366</v>
      </c>
      <c r="G60" s="21">
        <f t="shared" si="0"/>
        <v>2024</v>
      </c>
      <c r="H60" s="25" t="s">
        <v>76</v>
      </c>
      <c r="I60" s="25"/>
      <c r="K60" s="3" t="s">
        <v>262</v>
      </c>
      <c r="M60" s="25" t="s">
        <v>73</v>
      </c>
      <c r="N60" s="5" t="s">
        <v>1</v>
      </c>
      <c r="O60" s="6"/>
      <c r="P60" s="2" t="s">
        <v>263</v>
      </c>
    </row>
    <row r="61" spans="3:17" hidden="1">
      <c r="C61" s="6">
        <f>+C60+1</f>
        <v>53</v>
      </c>
      <c r="D61" s="6" t="s">
        <v>224</v>
      </c>
      <c r="E61" s="6" t="s">
        <v>264</v>
      </c>
      <c r="F61" s="7">
        <v>45366</v>
      </c>
      <c r="G61" s="218">
        <f t="shared" si="0"/>
        <v>2024</v>
      </c>
      <c r="H61" s="6" t="s">
        <v>265</v>
      </c>
      <c r="I61" s="6" t="s">
        <v>130</v>
      </c>
      <c r="J61" s="6"/>
      <c r="K61" s="6" t="s">
        <v>266</v>
      </c>
      <c r="L61" s="6"/>
      <c r="M61" s="6" t="s">
        <v>122</v>
      </c>
      <c r="N61" s="5" t="s">
        <v>1</v>
      </c>
      <c r="O61" s="24"/>
      <c r="P61" s="6" t="s">
        <v>267</v>
      </c>
    </row>
    <row r="62" spans="3:17" hidden="1">
      <c r="C62" s="25">
        <f t="shared" ref="C62" si="5">+C61+1</f>
        <v>54</v>
      </c>
      <c r="D62" s="3" t="s">
        <v>268</v>
      </c>
      <c r="E62" s="3"/>
      <c r="F62" s="4">
        <v>45366</v>
      </c>
      <c r="G62" s="21">
        <f t="shared" si="0"/>
        <v>2024</v>
      </c>
      <c r="H62" s="25" t="s">
        <v>265</v>
      </c>
      <c r="I62" s="25" t="s">
        <v>130</v>
      </c>
      <c r="N62" s="5" t="s">
        <v>1</v>
      </c>
      <c r="O62" s="24"/>
      <c r="P62" s="25" t="s">
        <v>269</v>
      </c>
    </row>
    <row r="63" spans="3:17" ht="43.2" hidden="1">
      <c r="C63" s="3">
        <f t="shared" ref="C63:C108" si="6">+C62+1</f>
        <v>55</v>
      </c>
      <c r="D63" s="6" t="s">
        <v>270</v>
      </c>
      <c r="E63" s="6" t="s">
        <v>271</v>
      </c>
      <c r="F63" s="7">
        <v>45366</v>
      </c>
      <c r="G63" s="218">
        <f t="shared" si="0"/>
        <v>2024</v>
      </c>
      <c r="H63" s="6" t="s">
        <v>265</v>
      </c>
      <c r="I63" s="6" t="s">
        <v>130</v>
      </c>
      <c r="J63" s="6"/>
      <c r="K63" s="6" t="s">
        <v>272</v>
      </c>
      <c r="L63" s="6"/>
      <c r="M63" s="6" t="s">
        <v>76</v>
      </c>
      <c r="N63" s="71" t="s">
        <v>4</v>
      </c>
      <c r="O63" s="6"/>
      <c r="P63" s="6"/>
    </row>
    <row r="64" spans="3:17" hidden="1">
      <c r="C64" s="24">
        <f t="shared" si="6"/>
        <v>56</v>
      </c>
      <c r="D64" s="3" t="s">
        <v>273</v>
      </c>
      <c r="E64" s="3" t="s">
        <v>274</v>
      </c>
      <c r="F64" s="4">
        <v>45366</v>
      </c>
      <c r="G64" s="21">
        <f t="shared" si="0"/>
        <v>2024</v>
      </c>
      <c r="H64" s="24" t="s">
        <v>275</v>
      </c>
      <c r="I64" s="24"/>
      <c r="M64" s="24" t="s">
        <v>122</v>
      </c>
      <c r="N64" s="5" t="s">
        <v>1</v>
      </c>
      <c r="O64" s="24"/>
    </row>
    <row r="65" spans="3:16" hidden="1">
      <c r="C65" s="6">
        <f t="shared" si="6"/>
        <v>57</v>
      </c>
      <c r="D65" s="6" t="s">
        <v>276</v>
      </c>
      <c r="E65" s="6" t="s">
        <v>277</v>
      </c>
      <c r="F65" s="7">
        <v>45366</v>
      </c>
      <c r="G65" s="218">
        <f t="shared" si="0"/>
        <v>2024</v>
      </c>
      <c r="H65" s="6" t="s">
        <v>130</v>
      </c>
      <c r="I65" s="6"/>
      <c r="J65" s="6"/>
      <c r="K65" s="6" t="s">
        <v>278</v>
      </c>
      <c r="L65" s="6"/>
      <c r="M65" s="6" t="s">
        <v>122</v>
      </c>
      <c r="N65" s="5" t="s">
        <v>1</v>
      </c>
      <c r="O65" s="6"/>
      <c r="P65" s="6" t="s">
        <v>279</v>
      </c>
    </row>
    <row r="66" spans="3:16" ht="28.8" hidden="1">
      <c r="C66" s="24">
        <f t="shared" si="6"/>
        <v>58</v>
      </c>
      <c r="D66" s="6" t="s">
        <v>96</v>
      </c>
      <c r="E66" s="17" t="s">
        <v>280</v>
      </c>
      <c r="F66" s="7">
        <v>45377</v>
      </c>
      <c r="G66" s="218">
        <f t="shared" si="0"/>
        <v>2024</v>
      </c>
      <c r="H66" s="6" t="s">
        <v>195</v>
      </c>
      <c r="I66" s="6"/>
      <c r="J66" s="6"/>
      <c r="K66" s="6" t="s">
        <v>281</v>
      </c>
      <c r="L66" s="6">
        <v>20</v>
      </c>
      <c r="M66" s="6" t="s">
        <v>73</v>
      </c>
      <c r="N66" s="5" t="s">
        <v>1</v>
      </c>
      <c r="O66" s="3"/>
      <c r="P66" s="6" t="s">
        <v>282</v>
      </c>
    </row>
    <row r="67" spans="3:16" hidden="1">
      <c r="C67" s="6">
        <f t="shared" si="6"/>
        <v>59</v>
      </c>
      <c r="D67" s="6"/>
      <c r="E67" s="6" t="s">
        <v>283</v>
      </c>
      <c r="F67" s="7">
        <v>45366</v>
      </c>
      <c r="G67" s="218">
        <f t="shared" si="0"/>
        <v>2024</v>
      </c>
      <c r="H67" s="6" t="s">
        <v>284</v>
      </c>
      <c r="I67" s="6"/>
      <c r="J67" s="6"/>
      <c r="K67" s="6" t="s">
        <v>285</v>
      </c>
      <c r="L67" s="6"/>
      <c r="M67" s="6"/>
      <c r="N67" s="5" t="s">
        <v>1</v>
      </c>
      <c r="O67" s="6"/>
      <c r="P67" s="6" t="s">
        <v>286</v>
      </c>
    </row>
    <row r="68" spans="3:16" hidden="1">
      <c r="C68" s="24">
        <f>+C67+1</f>
        <v>60</v>
      </c>
      <c r="D68" s="3"/>
      <c r="E68" s="3" t="s">
        <v>287</v>
      </c>
      <c r="F68" s="4">
        <v>45366</v>
      </c>
      <c r="G68" s="21">
        <f t="shared" si="0"/>
        <v>2024</v>
      </c>
      <c r="H68" s="24"/>
      <c r="I68" s="24"/>
      <c r="K68" s="24" t="s">
        <v>288</v>
      </c>
      <c r="N68" s="5" t="s">
        <v>1</v>
      </c>
      <c r="O68" s="25"/>
      <c r="P68" s="24" t="s">
        <v>203</v>
      </c>
    </row>
    <row r="69" spans="3:16" ht="28.8" hidden="1">
      <c r="C69" s="6">
        <f t="shared" si="6"/>
        <v>61</v>
      </c>
      <c r="D69" s="6" t="s">
        <v>289</v>
      </c>
      <c r="E69" s="6" t="s">
        <v>290</v>
      </c>
      <c r="F69" s="7">
        <v>45366</v>
      </c>
      <c r="G69" s="218">
        <f t="shared" si="0"/>
        <v>2024</v>
      </c>
      <c r="H69" s="6" t="s">
        <v>290</v>
      </c>
      <c r="I69" s="6" t="s">
        <v>130</v>
      </c>
      <c r="J69" s="6"/>
      <c r="K69" s="6" t="s">
        <v>291</v>
      </c>
      <c r="L69" s="6"/>
      <c r="M69" s="6" t="s">
        <v>122</v>
      </c>
      <c r="N69" s="5" t="s">
        <v>1</v>
      </c>
      <c r="O69" s="6"/>
      <c r="P69" s="24" t="s">
        <v>203</v>
      </c>
    </row>
    <row r="70" spans="3:16" ht="115.2" hidden="1">
      <c r="C70" s="25">
        <f t="shared" si="6"/>
        <v>62</v>
      </c>
      <c r="D70" s="25" t="s">
        <v>254</v>
      </c>
      <c r="E70" s="3" t="s">
        <v>292</v>
      </c>
      <c r="F70" s="4">
        <v>45366</v>
      </c>
      <c r="G70" s="21">
        <f t="shared" si="0"/>
        <v>2024</v>
      </c>
      <c r="H70" s="25" t="s">
        <v>974</v>
      </c>
      <c r="I70" s="25" t="s">
        <v>130</v>
      </c>
      <c r="J70" s="25"/>
      <c r="K70" s="3" t="s">
        <v>293</v>
      </c>
      <c r="L70" s="25"/>
      <c r="M70" s="25"/>
      <c r="N70" s="36" t="s">
        <v>3</v>
      </c>
      <c r="O70" s="25"/>
      <c r="P70" s="26"/>
    </row>
    <row r="71" spans="3:16" ht="28.8" hidden="1">
      <c r="C71" s="6">
        <f>+C70+1</f>
        <v>63</v>
      </c>
      <c r="D71" s="6" t="s">
        <v>230</v>
      </c>
      <c r="E71" s="6" t="s">
        <v>294</v>
      </c>
      <c r="F71" s="7">
        <v>45366</v>
      </c>
      <c r="G71" s="218">
        <f t="shared" si="0"/>
        <v>2024</v>
      </c>
      <c r="H71" s="6" t="s">
        <v>76</v>
      </c>
      <c r="I71" s="6"/>
      <c r="J71" s="6"/>
      <c r="K71" s="6" t="s">
        <v>295</v>
      </c>
      <c r="L71" s="6"/>
      <c r="M71" s="6" t="s">
        <v>79</v>
      </c>
      <c r="N71" s="5" t="s">
        <v>1</v>
      </c>
      <c r="O71" s="6"/>
      <c r="P71" s="6" t="s">
        <v>296</v>
      </c>
    </row>
    <row r="72" spans="3:16" hidden="1">
      <c r="C72" s="24">
        <f t="shared" si="6"/>
        <v>64</v>
      </c>
      <c r="D72" s="24" t="s">
        <v>297</v>
      </c>
      <c r="E72" s="3" t="s">
        <v>298</v>
      </c>
      <c r="F72" s="4">
        <v>45366</v>
      </c>
      <c r="G72" s="21">
        <f t="shared" si="0"/>
        <v>2024</v>
      </c>
      <c r="H72" s="24" t="s">
        <v>76</v>
      </c>
      <c r="I72" s="24"/>
      <c r="K72" s="3" t="s">
        <v>299</v>
      </c>
      <c r="M72" s="24" t="s">
        <v>122</v>
      </c>
      <c r="N72" s="5" t="s">
        <v>1</v>
      </c>
      <c r="O72" s="26"/>
      <c r="P72" s="24" t="s">
        <v>300</v>
      </c>
    </row>
    <row r="73" spans="3:16" ht="43.2" hidden="1">
      <c r="C73" s="6">
        <f>+C72+1</f>
        <v>65</v>
      </c>
      <c r="D73" s="6" t="s">
        <v>86</v>
      </c>
      <c r="E73" s="6" t="s">
        <v>301</v>
      </c>
      <c r="F73" s="7">
        <v>45366</v>
      </c>
      <c r="G73" s="218">
        <f t="shared" ref="G73:G136" si="7">+YEAR(F73)</f>
        <v>2024</v>
      </c>
      <c r="H73" s="6" t="s">
        <v>144</v>
      </c>
      <c r="I73" s="6"/>
      <c r="J73" s="6"/>
      <c r="K73" s="6" t="s">
        <v>302</v>
      </c>
      <c r="L73" s="6">
        <v>16.7</v>
      </c>
      <c r="M73" s="6" t="s">
        <v>122</v>
      </c>
      <c r="N73" s="5" t="s">
        <v>1</v>
      </c>
      <c r="O73" s="6"/>
      <c r="P73" s="6" t="s">
        <v>303</v>
      </c>
    </row>
    <row r="74" spans="3:16" hidden="1">
      <c r="C74" s="25">
        <f t="shared" si="6"/>
        <v>66</v>
      </c>
      <c r="D74" s="25" t="s">
        <v>304</v>
      </c>
      <c r="E74" s="3" t="s">
        <v>305</v>
      </c>
      <c r="F74" s="4">
        <v>45370</v>
      </c>
      <c r="G74" s="21">
        <f t="shared" si="7"/>
        <v>2024</v>
      </c>
      <c r="H74" s="25" t="s">
        <v>306</v>
      </c>
      <c r="I74" s="25"/>
      <c r="J74" s="25" t="s">
        <v>307</v>
      </c>
      <c r="K74" s="3" t="s">
        <v>308</v>
      </c>
      <c r="L74" s="25">
        <v>9.07</v>
      </c>
      <c r="M74" s="25" t="s">
        <v>90</v>
      </c>
      <c r="N74" s="5" t="s">
        <v>1</v>
      </c>
      <c r="P74" s="3" t="s">
        <v>309</v>
      </c>
    </row>
    <row r="75" spans="3:16" ht="80.25" hidden="1" customHeight="1">
      <c r="C75" s="6">
        <f>+C74+1</f>
        <v>67</v>
      </c>
      <c r="D75" s="6" t="s">
        <v>86</v>
      </c>
      <c r="E75" s="6" t="s">
        <v>310</v>
      </c>
      <c r="F75" s="7">
        <v>45370</v>
      </c>
      <c r="G75" s="218">
        <f t="shared" si="7"/>
        <v>2024</v>
      </c>
      <c r="H75" s="6" t="s">
        <v>76</v>
      </c>
      <c r="I75" s="6" t="s">
        <v>1261</v>
      </c>
      <c r="J75" s="6" t="s">
        <v>312</v>
      </c>
      <c r="K75" s="6" t="s">
        <v>313</v>
      </c>
      <c r="L75" s="6">
        <v>18.899999999999999</v>
      </c>
      <c r="M75" s="6" t="s">
        <v>90</v>
      </c>
      <c r="N75" s="5" t="s">
        <v>1</v>
      </c>
      <c r="O75" s="2"/>
      <c r="P75" s="6" t="s">
        <v>314</v>
      </c>
    </row>
    <row r="76" spans="3:16" ht="85.5" hidden="1" customHeight="1">
      <c r="C76" s="25">
        <f t="shared" si="6"/>
        <v>68</v>
      </c>
      <c r="D76" s="25" t="s">
        <v>86</v>
      </c>
      <c r="E76" s="3" t="s">
        <v>315</v>
      </c>
      <c r="F76" s="4">
        <v>45376</v>
      </c>
      <c r="G76" s="21">
        <f t="shared" si="7"/>
        <v>2024</v>
      </c>
      <c r="H76" s="25" t="s">
        <v>1535</v>
      </c>
      <c r="I76" s="25" t="s">
        <v>130</v>
      </c>
      <c r="J76" s="25" t="s">
        <v>317</v>
      </c>
      <c r="K76" s="3" t="s">
        <v>318</v>
      </c>
      <c r="L76" s="25" t="s">
        <v>319</v>
      </c>
      <c r="M76" s="25" t="s">
        <v>122</v>
      </c>
      <c r="N76" s="5" t="s">
        <v>1</v>
      </c>
      <c r="O76" s="3"/>
      <c r="P76" s="25" t="s">
        <v>303</v>
      </c>
    </row>
    <row r="77" spans="3:16" hidden="1">
      <c r="C77" s="6">
        <f>+C76+1</f>
        <v>69</v>
      </c>
      <c r="D77" s="6" t="s">
        <v>320</v>
      </c>
      <c r="E77" s="6" t="s">
        <v>321</v>
      </c>
      <c r="F77" s="7">
        <v>45377</v>
      </c>
      <c r="G77" s="218">
        <f t="shared" si="7"/>
        <v>2024</v>
      </c>
      <c r="H77" s="6" t="s">
        <v>76</v>
      </c>
      <c r="I77" s="6"/>
      <c r="J77" s="6" t="s">
        <v>322</v>
      </c>
      <c r="K77" s="6" t="s">
        <v>323</v>
      </c>
      <c r="L77" s="6">
        <v>24.5</v>
      </c>
      <c r="M77" s="6" t="s">
        <v>90</v>
      </c>
      <c r="N77" s="5" t="s">
        <v>1</v>
      </c>
      <c r="O77" s="6"/>
      <c r="P77" s="6" t="s">
        <v>324</v>
      </c>
    </row>
    <row r="78" spans="3:16" hidden="1">
      <c r="C78" s="25">
        <f t="shared" si="6"/>
        <v>70</v>
      </c>
      <c r="D78" s="25" t="s">
        <v>86</v>
      </c>
      <c r="E78" s="3" t="s">
        <v>325</v>
      </c>
      <c r="F78" s="4">
        <v>45377</v>
      </c>
      <c r="G78" s="21">
        <f t="shared" si="7"/>
        <v>2024</v>
      </c>
      <c r="H78" s="25" t="s">
        <v>76</v>
      </c>
      <c r="I78" s="25"/>
      <c r="J78" s="25" t="s">
        <v>326</v>
      </c>
      <c r="K78" s="3" t="s">
        <v>327</v>
      </c>
      <c r="L78" s="25">
        <v>18.5</v>
      </c>
      <c r="M78" s="25" t="s">
        <v>122</v>
      </c>
      <c r="N78" s="5" t="s">
        <v>1</v>
      </c>
      <c r="P78" s="25" t="s">
        <v>328</v>
      </c>
    </row>
    <row r="79" spans="3:16" ht="28.8" hidden="1">
      <c r="C79" s="6">
        <f>+C78+1</f>
        <v>71</v>
      </c>
      <c r="D79" s="6" t="s">
        <v>329</v>
      </c>
      <c r="E79" s="6" t="s">
        <v>330</v>
      </c>
      <c r="F79" s="7">
        <v>45384</v>
      </c>
      <c r="G79" s="218">
        <f t="shared" si="7"/>
        <v>2024</v>
      </c>
      <c r="H79" s="6" t="s">
        <v>331</v>
      </c>
      <c r="I79" s="6"/>
      <c r="J79" s="6" t="s">
        <v>332</v>
      </c>
      <c r="K79" s="6" t="s">
        <v>333</v>
      </c>
      <c r="L79" s="30">
        <v>5</v>
      </c>
      <c r="M79" s="6" t="s">
        <v>73</v>
      </c>
      <c r="N79" s="5" t="s">
        <v>1</v>
      </c>
      <c r="O79" s="6"/>
      <c r="P79" s="6" t="s">
        <v>334</v>
      </c>
    </row>
    <row r="80" spans="3:16" hidden="1">
      <c r="C80" s="25">
        <f t="shared" si="6"/>
        <v>72</v>
      </c>
      <c r="D80" s="25" t="s">
        <v>335</v>
      </c>
      <c r="E80" s="3" t="s">
        <v>336</v>
      </c>
      <c r="F80" s="4">
        <v>45379</v>
      </c>
      <c r="G80" s="21">
        <f t="shared" si="7"/>
        <v>2024</v>
      </c>
      <c r="H80" s="25" t="s">
        <v>76</v>
      </c>
      <c r="I80" s="25"/>
      <c r="J80" s="25"/>
      <c r="K80" s="3" t="s">
        <v>337</v>
      </c>
      <c r="L80" s="25">
        <v>447.9</v>
      </c>
      <c r="M80" s="25" t="s">
        <v>122</v>
      </c>
      <c r="N80" s="5" t="s">
        <v>1</v>
      </c>
      <c r="P80" s="26"/>
    </row>
    <row r="81" spans="3:16" hidden="1">
      <c r="C81" s="6">
        <f>+C80+1</f>
        <v>73</v>
      </c>
      <c r="D81" s="6" t="s">
        <v>338</v>
      </c>
      <c r="E81" s="6" t="s">
        <v>339</v>
      </c>
      <c r="F81" s="7">
        <v>45383</v>
      </c>
      <c r="G81" s="218">
        <f t="shared" si="7"/>
        <v>2024</v>
      </c>
      <c r="H81" s="6"/>
      <c r="I81" s="6"/>
      <c r="J81" s="6" t="s">
        <v>340</v>
      </c>
      <c r="K81" s="6"/>
      <c r="L81" s="6"/>
      <c r="M81" s="6"/>
      <c r="N81" s="5" t="s">
        <v>1</v>
      </c>
      <c r="O81" s="6"/>
      <c r="P81" s="6" t="s">
        <v>341</v>
      </c>
    </row>
    <row r="82" spans="3:16" ht="85.5" hidden="1" customHeight="1">
      <c r="C82" s="25">
        <f t="shared" si="6"/>
        <v>74</v>
      </c>
      <c r="D82" s="25" t="s">
        <v>342</v>
      </c>
      <c r="E82" s="3" t="s">
        <v>343</v>
      </c>
      <c r="F82" s="33">
        <v>45390</v>
      </c>
      <c r="G82" s="196">
        <f t="shared" si="7"/>
        <v>2024</v>
      </c>
      <c r="H82" s="25" t="s">
        <v>344</v>
      </c>
      <c r="I82" s="25"/>
      <c r="J82" s="3" t="s">
        <v>345</v>
      </c>
      <c r="K82" s="3" t="s">
        <v>346</v>
      </c>
      <c r="L82" s="25">
        <v>160</v>
      </c>
      <c r="M82" s="25" t="s">
        <v>347</v>
      </c>
      <c r="N82" s="71" t="s">
        <v>4</v>
      </c>
    </row>
    <row r="83" spans="3:16" ht="28.8" hidden="1">
      <c r="C83" s="3">
        <f>+C82+1</f>
        <v>75</v>
      </c>
      <c r="D83" s="6" t="s">
        <v>270</v>
      </c>
      <c r="E83" s="6" t="s">
        <v>348</v>
      </c>
      <c r="F83" s="7"/>
      <c r="G83" s="218">
        <f t="shared" si="7"/>
        <v>1900</v>
      </c>
      <c r="H83" s="6"/>
      <c r="I83" s="6"/>
      <c r="J83" s="6"/>
      <c r="K83" s="6" t="s">
        <v>349</v>
      </c>
      <c r="L83" s="6"/>
      <c r="M83" s="6" t="s">
        <v>122</v>
      </c>
      <c r="N83" s="71" t="s">
        <v>4</v>
      </c>
      <c r="O83" s="6"/>
      <c r="P83" s="6"/>
    </row>
    <row r="84" spans="3:16" ht="28.8" hidden="1">
      <c r="C84" s="25">
        <f t="shared" si="6"/>
        <v>76</v>
      </c>
      <c r="D84" s="25" t="s">
        <v>270</v>
      </c>
      <c r="E84" s="3" t="s">
        <v>350</v>
      </c>
      <c r="G84" s="181">
        <f t="shared" si="7"/>
        <v>1900</v>
      </c>
      <c r="K84" s="3" t="s">
        <v>351</v>
      </c>
      <c r="M84" s="25" t="s">
        <v>90</v>
      </c>
      <c r="N84" s="5" t="s">
        <v>1</v>
      </c>
      <c r="O84" s="26"/>
    </row>
    <row r="85" spans="3:16" ht="43.2" hidden="1">
      <c r="C85" s="6">
        <f>+C84+1</f>
        <v>77</v>
      </c>
      <c r="D85" s="25" t="s">
        <v>352</v>
      </c>
      <c r="E85" s="3" t="s">
        <v>353</v>
      </c>
      <c r="F85" s="33">
        <v>45387</v>
      </c>
      <c r="G85" s="196">
        <f t="shared" si="7"/>
        <v>2024</v>
      </c>
      <c r="H85" s="24"/>
      <c r="I85" s="24"/>
      <c r="J85" s="3"/>
      <c r="K85" s="3" t="s">
        <v>354</v>
      </c>
      <c r="L85" s="25">
        <v>29.4</v>
      </c>
      <c r="M85" s="25" t="s">
        <v>355</v>
      </c>
      <c r="N85" s="5" t="s">
        <v>1</v>
      </c>
      <c r="O85" s="37"/>
      <c r="P85" s="2" t="s">
        <v>356</v>
      </c>
    </row>
    <row r="86" spans="3:16" ht="72" hidden="1">
      <c r="C86" s="25">
        <f t="shared" si="6"/>
        <v>78</v>
      </c>
      <c r="D86" s="3" t="s">
        <v>357</v>
      </c>
      <c r="E86" s="3" t="s">
        <v>358</v>
      </c>
      <c r="F86" s="4">
        <v>45322</v>
      </c>
      <c r="G86" s="21">
        <f t="shared" si="7"/>
        <v>2024</v>
      </c>
      <c r="H86" s="3" t="s">
        <v>359</v>
      </c>
      <c r="I86" s="3"/>
      <c r="J86" s="3" t="s">
        <v>360</v>
      </c>
      <c r="K86" s="3" t="s">
        <v>361</v>
      </c>
      <c r="L86" s="3"/>
      <c r="M86" s="3" t="s">
        <v>122</v>
      </c>
      <c r="N86" s="5" t="s">
        <v>1</v>
      </c>
      <c r="O86" s="2"/>
      <c r="P86" s="3" t="s">
        <v>362</v>
      </c>
    </row>
    <row r="87" spans="3:16" ht="43.2" hidden="1">
      <c r="C87" s="6">
        <f>+C86+1</f>
        <v>79</v>
      </c>
      <c r="D87" s="6" t="s">
        <v>342</v>
      </c>
      <c r="E87" s="6" t="s">
        <v>363</v>
      </c>
      <c r="F87" s="7">
        <v>45386</v>
      </c>
      <c r="G87" s="218">
        <f t="shared" si="7"/>
        <v>2024</v>
      </c>
      <c r="H87" s="6" t="s">
        <v>364</v>
      </c>
      <c r="I87" s="6"/>
      <c r="J87" s="6" t="s">
        <v>365</v>
      </c>
      <c r="K87" s="6" t="s">
        <v>366</v>
      </c>
      <c r="L87" s="30"/>
      <c r="M87" s="6" t="s">
        <v>73</v>
      </c>
      <c r="N87" s="5" t="s">
        <v>1</v>
      </c>
      <c r="O87" s="6"/>
      <c r="P87" s="6"/>
    </row>
    <row r="88" spans="3:16" ht="28.8" hidden="1">
      <c r="C88" s="25">
        <f t="shared" si="6"/>
        <v>80</v>
      </c>
      <c r="D88" s="25" t="s">
        <v>20</v>
      </c>
      <c r="E88" s="3" t="s">
        <v>367</v>
      </c>
      <c r="F88" s="31"/>
      <c r="G88" s="57">
        <f t="shared" si="7"/>
        <v>1900</v>
      </c>
      <c r="H88" s="24" t="s">
        <v>367</v>
      </c>
      <c r="I88" s="24"/>
      <c r="J88" s="3"/>
      <c r="K88" s="3" t="s">
        <v>368</v>
      </c>
      <c r="L88" s="25"/>
      <c r="M88" s="25" t="s">
        <v>122</v>
      </c>
      <c r="N88" s="5" t="s">
        <v>1</v>
      </c>
      <c r="O88" s="24"/>
    </row>
    <row r="89" spans="3:16" hidden="1">
      <c r="C89" s="6">
        <f>+C88+1</f>
        <v>81</v>
      </c>
      <c r="D89" s="6" t="s">
        <v>369</v>
      </c>
      <c r="E89" s="6" t="s">
        <v>370</v>
      </c>
      <c r="F89" s="7">
        <v>45385</v>
      </c>
      <c r="G89" s="218">
        <f t="shared" si="7"/>
        <v>2024</v>
      </c>
      <c r="H89" s="6"/>
      <c r="I89" s="6"/>
      <c r="J89" s="6" t="s">
        <v>371</v>
      </c>
      <c r="K89" s="6" t="s">
        <v>372</v>
      </c>
      <c r="L89" s="30">
        <v>6.7</v>
      </c>
      <c r="M89" s="6" t="s">
        <v>122</v>
      </c>
      <c r="N89" s="5" t="s">
        <v>1</v>
      </c>
      <c r="O89" s="26"/>
      <c r="P89" s="6" t="s">
        <v>373</v>
      </c>
    </row>
    <row r="90" spans="3:16" ht="28.8" hidden="1">
      <c r="C90" s="25">
        <f>+C89+1</f>
        <v>82</v>
      </c>
      <c r="D90" s="25" t="s">
        <v>329</v>
      </c>
      <c r="E90" s="3" t="s">
        <v>374</v>
      </c>
      <c r="F90" s="33">
        <v>45391</v>
      </c>
      <c r="G90" s="196">
        <f t="shared" si="7"/>
        <v>2024</v>
      </c>
      <c r="H90" s="25" t="s">
        <v>375</v>
      </c>
      <c r="I90" s="24"/>
      <c r="J90" s="3" t="s">
        <v>376</v>
      </c>
      <c r="K90" s="3" t="s">
        <v>377</v>
      </c>
      <c r="L90" s="25"/>
      <c r="M90" s="25" t="s">
        <v>122</v>
      </c>
      <c r="N90" s="5" t="s">
        <v>1</v>
      </c>
      <c r="O90" s="25"/>
    </row>
    <row r="91" spans="3:16" ht="43.2" hidden="1">
      <c r="C91" s="3">
        <f t="shared" si="6"/>
        <v>83</v>
      </c>
      <c r="D91" s="6" t="s">
        <v>329</v>
      </c>
      <c r="E91" s="6" t="s">
        <v>378</v>
      </c>
      <c r="F91" s="7"/>
      <c r="G91" s="218">
        <f t="shared" si="7"/>
        <v>1900</v>
      </c>
      <c r="H91" s="6" t="s">
        <v>2615</v>
      </c>
      <c r="I91" s="6" t="s">
        <v>1918</v>
      </c>
      <c r="J91" s="6"/>
      <c r="K91" s="6" t="s">
        <v>379</v>
      </c>
      <c r="L91" s="30">
        <v>29.4</v>
      </c>
      <c r="M91" s="6" t="s">
        <v>79</v>
      </c>
      <c r="N91" s="71" t="s">
        <v>4</v>
      </c>
      <c r="P91" s="6"/>
    </row>
    <row r="92" spans="3:16" ht="28.8" hidden="1">
      <c r="C92" s="25">
        <f>+C91+1</f>
        <v>84</v>
      </c>
      <c r="D92" s="25" t="s">
        <v>380</v>
      </c>
      <c r="E92" s="3" t="s">
        <v>381</v>
      </c>
      <c r="F92" s="33">
        <v>45390</v>
      </c>
      <c r="G92" s="196">
        <f t="shared" si="7"/>
        <v>2024</v>
      </c>
      <c r="H92" s="25" t="s">
        <v>2615</v>
      </c>
      <c r="I92" s="25" t="s">
        <v>1918</v>
      </c>
      <c r="J92" s="3"/>
      <c r="K92" s="3" t="s">
        <v>382</v>
      </c>
      <c r="L92" s="34">
        <v>2</v>
      </c>
      <c r="M92" s="25" t="s">
        <v>383</v>
      </c>
      <c r="N92" s="36" t="s">
        <v>3</v>
      </c>
      <c r="P92" s="1" t="s">
        <v>384</v>
      </c>
    </row>
    <row r="93" spans="3:16" ht="72" hidden="1">
      <c r="C93" s="6">
        <f t="shared" si="6"/>
        <v>85</v>
      </c>
      <c r="D93" s="6" t="s">
        <v>385</v>
      </c>
      <c r="E93" s="6" t="s">
        <v>386</v>
      </c>
      <c r="F93" s="7"/>
      <c r="G93" s="218">
        <f t="shared" si="7"/>
        <v>1900</v>
      </c>
      <c r="H93" s="6" t="s">
        <v>206</v>
      </c>
      <c r="I93" s="6"/>
      <c r="J93" s="6"/>
      <c r="K93" s="6" t="s">
        <v>387</v>
      </c>
      <c r="L93" s="30"/>
      <c r="M93" s="6" t="s">
        <v>73</v>
      </c>
      <c r="N93" s="5" t="s">
        <v>1</v>
      </c>
      <c r="O93" s="25"/>
      <c r="P93" s="6"/>
    </row>
    <row r="94" spans="3:16" hidden="1">
      <c r="C94" s="25">
        <f t="shared" si="6"/>
        <v>86</v>
      </c>
      <c r="D94" s="25" t="s">
        <v>86</v>
      </c>
      <c r="E94" s="3" t="s">
        <v>388</v>
      </c>
      <c r="F94" s="31">
        <v>45390</v>
      </c>
      <c r="G94" s="57">
        <f t="shared" si="7"/>
        <v>2024</v>
      </c>
      <c r="H94" s="24" t="s">
        <v>76</v>
      </c>
      <c r="I94" s="24"/>
      <c r="J94" s="3"/>
      <c r="K94" s="25" t="s">
        <v>333</v>
      </c>
      <c r="L94" s="34">
        <v>1639</v>
      </c>
      <c r="M94" s="25" t="s">
        <v>122</v>
      </c>
      <c r="N94" s="5" t="s">
        <v>1</v>
      </c>
      <c r="O94" s="26"/>
      <c r="P94" t="s">
        <v>389</v>
      </c>
    </row>
    <row r="95" spans="3:16" ht="28.8" hidden="1">
      <c r="C95" s="6">
        <f t="shared" si="6"/>
        <v>87</v>
      </c>
      <c r="D95" s="6" t="s">
        <v>390</v>
      </c>
      <c r="E95" s="6" t="s">
        <v>391</v>
      </c>
      <c r="F95" s="7">
        <v>45397</v>
      </c>
      <c r="G95" s="218">
        <f t="shared" si="7"/>
        <v>2024</v>
      </c>
      <c r="H95" s="6" t="s">
        <v>375</v>
      </c>
      <c r="I95" s="6"/>
      <c r="J95" s="6"/>
      <c r="K95" s="6" t="s">
        <v>392</v>
      </c>
      <c r="L95" s="30"/>
      <c r="M95" s="6" t="s">
        <v>393</v>
      </c>
      <c r="N95" s="5" t="s">
        <v>1</v>
      </c>
      <c r="O95" s="26"/>
      <c r="P95" s="6" t="s">
        <v>394</v>
      </c>
    </row>
    <row r="96" spans="3:16" ht="99" hidden="1" customHeight="1">
      <c r="C96" s="25">
        <f t="shared" si="6"/>
        <v>88</v>
      </c>
      <c r="D96" s="25" t="s">
        <v>395</v>
      </c>
      <c r="E96" s="3" t="s">
        <v>396</v>
      </c>
      <c r="F96" s="33">
        <v>45401</v>
      </c>
      <c r="G96" s="196">
        <f t="shared" si="7"/>
        <v>2024</v>
      </c>
      <c r="H96" s="25" t="s">
        <v>397</v>
      </c>
      <c r="I96" s="24"/>
      <c r="J96" s="3" t="s">
        <v>398</v>
      </c>
      <c r="K96" s="3" t="s">
        <v>399</v>
      </c>
      <c r="L96" s="25">
        <f>6.6*5</f>
        <v>33</v>
      </c>
      <c r="M96" s="25" t="s">
        <v>400</v>
      </c>
      <c r="N96" s="5" t="s">
        <v>1</v>
      </c>
      <c r="O96" s="1"/>
      <c r="P96" s="26" t="s">
        <v>401</v>
      </c>
    </row>
    <row r="97" spans="3:16" ht="43.2" hidden="1">
      <c r="C97" s="6">
        <f t="shared" si="6"/>
        <v>89</v>
      </c>
      <c r="D97" s="6" t="s">
        <v>96</v>
      </c>
      <c r="E97" s="6" t="s">
        <v>402</v>
      </c>
      <c r="F97" s="7">
        <v>45401</v>
      </c>
      <c r="G97" s="218">
        <f t="shared" si="7"/>
        <v>2024</v>
      </c>
      <c r="H97" s="6" t="s">
        <v>1002</v>
      </c>
      <c r="I97" s="6" t="s">
        <v>1261</v>
      </c>
      <c r="J97" s="6" t="s">
        <v>404</v>
      </c>
      <c r="K97" s="6" t="s">
        <v>405</v>
      </c>
      <c r="L97" s="30">
        <v>50</v>
      </c>
      <c r="M97" s="6" t="s">
        <v>400</v>
      </c>
      <c r="N97" s="5" t="s">
        <v>1</v>
      </c>
      <c r="O97" s="2"/>
      <c r="P97" s="37" t="s">
        <v>406</v>
      </c>
    </row>
    <row r="98" spans="3:16" ht="144" hidden="1">
      <c r="C98" s="48">
        <f t="shared" si="6"/>
        <v>90</v>
      </c>
      <c r="D98" s="25" t="s">
        <v>96</v>
      </c>
      <c r="E98" s="3" t="s">
        <v>407</v>
      </c>
      <c r="F98" s="33">
        <v>45401</v>
      </c>
      <c r="G98" s="196">
        <f t="shared" si="7"/>
        <v>2024</v>
      </c>
      <c r="H98" s="25" t="s">
        <v>408</v>
      </c>
      <c r="I98" s="25"/>
      <c r="J98" s="3" t="s">
        <v>409</v>
      </c>
      <c r="K98" s="3" t="s">
        <v>410</v>
      </c>
      <c r="L98" s="25">
        <v>50</v>
      </c>
      <c r="M98" s="25" t="s">
        <v>400</v>
      </c>
      <c r="N98" s="5" t="s">
        <v>1</v>
      </c>
      <c r="O98" s="24"/>
      <c r="P98" s="2" t="s">
        <v>411</v>
      </c>
    </row>
    <row r="99" spans="3:16" ht="28.8" hidden="1">
      <c r="C99" s="6">
        <f t="shared" si="6"/>
        <v>91</v>
      </c>
      <c r="D99" s="6" t="s">
        <v>320</v>
      </c>
      <c r="E99" s="6" t="s">
        <v>412</v>
      </c>
      <c r="F99" s="7">
        <v>45401</v>
      </c>
      <c r="G99" s="218">
        <f t="shared" si="7"/>
        <v>2024</v>
      </c>
      <c r="H99" s="6" t="s">
        <v>76</v>
      </c>
      <c r="I99" s="6"/>
      <c r="J99" s="6"/>
      <c r="K99" s="6" t="s">
        <v>413</v>
      </c>
      <c r="L99" s="30">
        <v>130</v>
      </c>
      <c r="M99" s="6"/>
      <c r="N99" s="5" t="s">
        <v>1</v>
      </c>
      <c r="O99" s="2"/>
      <c r="P99" s="6" t="s">
        <v>414</v>
      </c>
    </row>
    <row r="100" spans="3:16" hidden="1">
      <c r="C100" s="25">
        <f t="shared" si="6"/>
        <v>92</v>
      </c>
      <c r="D100" s="25" t="s">
        <v>415</v>
      </c>
      <c r="E100" s="3"/>
      <c r="F100" s="33">
        <v>45401</v>
      </c>
      <c r="G100" s="196">
        <f t="shared" si="7"/>
        <v>2024</v>
      </c>
      <c r="H100" s="25" t="s">
        <v>416</v>
      </c>
      <c r="I100" s="25"/>
      <c r="J100" s="3"/>
      <c r="K100" s="3"/>
      <c r="L100" s="25">
        <v>126</v>
      </c>
      <c r="M100" s="25"/>
      <c r="N100" s="5" t="s">
        <v>1</v>
      </c>
      <c r="O100" s="2"/>
      <c r="P100" s="24" t="s">
        <v>417</v>
      </c>
    </row>
    <row r="101" spans="3:16" ht="28.8" hidden="1">
      <c r="C101" s="25">
        <f t="shared" si="6"/>
        <v>93</v>
      </c>
      <c r="D101" s="25" t="s">
        <v>96</v>
      </c>
      <c r="E101" s="3" t="s">
        <v>418</v>
      </c>
      <c r="F101" s="33">
        <v>45415</v>
      </c>
      <c r="G101" s="196">
        <f t="shared" si="7"/>
        <v>2024</v>
      </c>
      <c r="H101" s="25" t="s">
        <v>418</v>
      </c>
      <c r="I101" s="25"/>
      <c r="J101" s="3" t="s">
        <v>419</v>
      </c>
      <c r="K101" s="3"/>
      <c r="L101" s="25"/>
      <c r="M101" s="25" t="s">
        <v>122</v>
      </c>
      <c r="N101" s="5" t="s">
        <v>1</v>
      </c>
      <c r="P101" s="26" t="s">
        <v>420</v>
      </c>
    </row>
    <row r="102" spans="3:16" hidden="1">
      <c r="C102" s="25">
        <f t="shared" si="6"/>
        <v>94</v>
      </c>
      <c r="D102" s="25" t="s">
        <v>320</v>
      </c>
      <c r="E102" s="3" t="s">
        <v>421</v>
      </c>
      <c r="F102" s="33">
        <v>45419</v>
      </c>
      <c r="G102" s="196">
        <f t="shared" si="7"/>
        <v>2024</v>
      </c>
      <c r="H102" s="25" t="s">
        <v>367</v>
      </c>
      <c r="I102" s="25"/>
      <c r="J102" s="3"/>
      <c r="K102" s="3" t="s">
        <v>422</v>
      </c>
      <c r="M102" s="25" t="s">
        <v>122</v>
      </c>
      <c r="N102" s="5" t="s">
        <v>1</v>
      </c>
      <c r="O102" s="1"/>
      <c r="P102" s="25" t="s">
        <v>423</v>
      </c>
    </row>
    <row r="103" spans="3:16" hidden="1">
      <c r="C103" s="25">
        <f t="shared" si="6"/>
        <v>95</v>
      </c>
      <c r="D103" s="25" t="s">
        <v>96</v>
      </c>
      <c r="E103" s="3" t="s">
        <v>424</v>
      </c>
      <c r="F103" s="33">
        <v>45419</v>
      </c>
      <c r="G103" s="196">
        <f t="shared" si="7"/>
        <v>2024</v>
      </c>
      <c r="H103" s="24" t="s">
        <v>425</v>
      </c>
      <c r="J103" s="3" t="s">
        <v>426</v>
      </c>
      <c r="K103" s="3" t="s">
        <v>427</v>
      </c>
      <c r="N103" s="11" t="s">
        <v>1</v>
      </c>
      <c r="O103" s="2"/>
    </row>
    <row r="104" spans="3:16" hidden="1">
      <c r="C104" s="25">
        <f t="shared" si="6"/>
        <v>96</v>
      </c>
      <c r="D104" s="25" t="s">
        <v>96</v>
      </c>
      <c r="E104" s="3" t="s">
        <v>428</v>
      </c>
      <c r="F104" s="33">
        <v>45419</v>
      </c>
      <c r="G104" s="196">
        <f t="shared" si="7"/>
        <v>2024</v>
      </c>
      <c r="H104" s="25" t="s">
        <v>425</v>
      </c>
      <c r="J104" s="3" t="s">
        <v>429</v>
      </c>
      <c r="K104" s="3" t="s">
        <v>427</v>
      </c>
      <c r="N104" s="11" t="s">
        <v>1</v>
      </c>
      <c r="O104" s="3"/>
    </row>
    <row r="105" spans="3:16" ht="123.75" hidden="1" customHeight="1">
      <c r="C105" s="25">
        <f t="shared" si="6"/>
        <v>97</v>
      </c>
      <c r="D105" s="3" t="s">
        <v>430</v>
      </c>
      <c r="E105" s="3" t="s">
        <v>431</v>
      </c>
      <c r="F105" s="33">
        <v>45425</v>
      </c>
      <c r="G105" s="196">
        <f t="shared" si="7"/>
        <v>2024</v>
      </c>
      <c r="H105" s="25" t="s">
        <v>432</v>
      </c>
      <c r="I105" s="25"/>
      <c r="J105" s="3"/>
      <c r="K105" s="3" t="s">
        <v>433</v>
      </c>
      <c r="M105" s="25" t="s">
        <v>122</v>
      </c>
      <c r="N105" s="36" t="s">
        <v>3</v>
      </c>
      <c r="O105" s="26"/>
    </row>
    <row r="106" spans="3:16" hidden="1">
      <c r="C106" s="25">
        <f t="shared" si="6"/>
        <v>98</v>
      </c>
      <c r="D106" s="3" t="s">
        <v>434</v>
      </c>
      <c r="E106" s="3" t="s">
        <v>424</v>
      </c>
      <c r="F106" s="33">
        <v>45425</v>
      </c>
      <c r="G106" s="196">
        <f t="shared" si="7"/>
        <v>2024</v>
      </c>
      <c r="H106" s="25" t="s">
        <v>425</v>
      </c>
      <c r="I106" s="25"/>
      <c r="J106" s="3"/>
      <c r="K106" s="3" t="s">
        <v>435</v>
      </c>
      <c r="M106" s="25" t="s">
        <v>122</v>
      </c>
      <c r="N106" s="71" t="s">
        <v>4</v>
      </c>
      <c r="O106" s="26"/>
    </row>
    <row r="107" spans="3:16" hidden="1">
      <c r="C107" s="25">
        <f t="shared" si="6"/>
        <v>99</v>
      </c>
      <c r="D107" s="25" t="s">
        <v>436</v>
      </c>
      <c r="E107" s="3" t="s">
        <v>437</v>
      </c>
      <c r="F107" s="33">
        <v>45425</v>
      </c>
      <c r="G107" s="196">
        <f t="shared" si="7"/>
        <v>2024</v>
      </c>
      <c r="H107" s="25" t="s">
        <v>425</v>
      </c>
      <c r="I107" s="25"/>
      <c r="J107" s="38" t="s">
        <v>438</v>
      </c>
      <c r="K107" s="3" t="s">
        <v>439</v>
      </c>
      <c r="M107" s="25" t="s">
        <v>122</v>
      </c>
      <c r="N107" s="71" t="s">
        <v>4</v>
      </c>
    </row>
    <row r="108" spans="3:16" hidden="1">
      <c r="C108" s="25">
        <f t="shared" si="6"/>
        <v>100</v>
      </c>
      <c r="D108" s="25" t="s">
        <v>440</v>
      </c>
      <c r="E108" s="3" t="s">
        <v>441</v>
      </c>
      <c r="F108" s="33">
        <v>45432</v>
      </c>
      <c r="G108" s="196">
        <f t="shared" si="7"/>
        <v>2024</v>
      </c>
      <c r="H108" s="25" t="s">
        <v>442</v>
      </c>
      <c r="I108" s="25"/>
      <c r="M108" s="25" t="s">
        <v>393</v>
      </c>
      <c r="N108" s="5" t="s">
        <v>1</v>
      </c>
      <c r="O108" s="26"/>
      <c r="P108" s="25" t="s">
        <v>443</v>
      </c>
    </row>
    <row r="109" spans="3:16" ht="28.8" hidden="1">
      <c r="C109" s="25">
        <f t="shared" ref="C109:C233" si="8">+C108+1</f>
        <v>101</v>
      </c>
      <c r="D109" s="25" t="s">
        <v>444</v>
      </c>
      <c r="E109" s="3" t="s">
        <v>445</v>
      </c>
      <c r="F109" s="33">
        <v>45436</v>
      </c>
      <c r="G109" s="196">
        <f t="shared" si="7"/>
        <v>2024</v>
      </c>
      <c r="H109" s="24" t="s">
        <v>446</v>
      </c>
      <c r="K109" s="3" t="s">
        <v>447</v>
      </c>
      <c r="M109" s="25" t="s">
        <v>393</v>
      </c>
      <c r="N109" s="5" t="s">
        <v>1</v>
      </c>
      <c r="O109" s="26"/>
      <c r="P109" s="26" t="s">
        <v>448</v>
      </c>
    </row>
    <row r="110" spans="3:16" ht="129.6" hidden="1">
      <c r="C110" s="48">
        <f t="shared" si="8"/>
        <v>102</v>
      </c>
      <c r="D110" s="25" t="s">
        <v>444</v>
      </c>
      <c r="E110" s="3" t="s">
        <v>449</v>
      </c>
      <c r="F110" s="33">
        <v>45436</v>
      </c>
      <c r="G110" s="196">
        <f t="shared" si="7"/>
        <v>2024</v>
      </c>
      <c r="H110" s="25" t="s">
        <v>33</v>
      </c>
      <c r="I110" s="25"/>
      <c r="J110" s="3" t="s">
        <v>450</v>
      </c>
      <c r="K110" s="3" t="s">
        <v>451</v>
      </c>
      <c r="M110" s="25" t="s">
        <v>393</v>
      </c>
      <c r="N110" s="5" t="s">
        <v>1</v>
      </c>
      <c r="P110" s="26" t="s">
        <v>452</v>
      </c>
    </row>
    <row r="111" spans="3:16" ht="28.8" hidden="1">
      <c r="C111" s="25">
        <f t="shared" si="8"/>
        <v>103</v>
      </c>
      <c r="D111" s="25" t="s">
        <v>453</v>
      </c>
      <c r="E111" s="3" t="s">
        <v>454</v>
      </c>
      <c r="F111" s="33">
        <v>45436</v>
      </c>
      <c r="G111" s="196">
        <f t="shared" si="7"/>
        <v>2024</v>
      </c>
      <c r="H111" s="24" t="s">
        <v>76</v>
      </c>
      <c r="J111" s="3" t="s">
        <v>455</v>
      </c>
      <c r="K111" s="3" t="s">
        <v>456</v>
      </c>
      <c r="L111" s="25">
        <v>253.6</v>
      </c>
      <c r="M111" s="25" t="s">
        <v>122</v>
      </c>
      <c r="N111" s="5" t="s">
        <v>1</v>
      </c>
      <c r="O111" s="26"/>
      <c r="P111" s="1" t="s">
        <v>457</v>
      </c>
    </row>
    <row r="112" spans="3:16" ht="43.2" hidden="1">
      <c r="C112" s="25">
        <f t="shared" si="8"/>
        <v>104</v>
      </c>
      <c r="D112" s="25" t="s">
        <v>458</v>
      </c>
      <c r="E112" s="3" t="s">
        <v>459</v>
      </c>
      <c r="F112" s="33">
        <v>45436</v>
      </c>
      <c r="G112" s="196">
        <f t="shared" si="7"/>
        <v>2024</v>
      </c>
      <c r="H112" s="25" t="s">
        <v>2605</v>
      </c>
      <c r="I112" s="25" t="s">
        <v>130</v>
      </c>
      <c r="K112" s="3" t="s">
        <v>461</v>
      </c>
      <c r="M112" s="25" t="s">
        <v>122</v>
      </c>
      <c r="N112" s="5" t="s">
        <v>1</v>
      </c>
      <c r="O112" s="26"/>
      <c r="P112" s="2" t="s">
        <v>462</v>
      </c>
    </row>
    <row r="113" spans="3:16" hidden="1">
      <c r="C113" s="25">
        <f t="shared" si="8"/>
        <v>105</v>
      </c>
      <c r="D113" s="25" t="s">
        <v>463</v>
      </c>
      <c r="E113" s="3" t="s">
        <v>464</v>
      </c>
      <c r="F113" s="33">
        <v>45436</v>
      </c>
      <c r="G113" s="196">
        <f t="shared" si="7"/>
        <v>2024</v>
      </c>
      <c r="H113" s="24" t="s">
        <v>206</v>
      </c>
      <c r="K113" s="3" t="s">
        <v>465</v>
      </c>
      <c r="M113" s="25" t="s">
        <v>122</v>
      </c>
      <c r="N113" s="5" t="s">
        <v>1</v>
      </c>
      <c r="O113" s="3"/>
      <c r="P113" s="24" t="s">
        <v>466</v>
      </c>
    </row>
    <row r="114" spans="3:16" ht="28.8" hidden="1">
      <c r="C114" s="25">
        <f t="shared" si="8"/>
        <v>106</v>
      </c>
      <c r="D114" s="25" t="s">
        <v>467</v>
      </c>
      <c r="E114" s="3" t="s">
        <v>468</v>
      </c>
      <c r="F114" s="33">
        <v>45446</v>
      </c>
      <c r="G114" s="196">
        <f t="shared" si="7"/>
        <v>2024</v>
      </c>
      <c r="H114" s="25" t="s">
        <v>469</v>
      </c>
      <c r="K114" s="3" t="s">
        <v>470</v>
      </c>
      <c r="M114" s="25" t="s">
        <v>122</v>
      </c>
      <c r="N114" s="5" t="s">
        <v>1</v>
      </c>
      <c r="P114" s="2" t="s">
        <v>471</v>
      </c>
    </row>
    <row r="115" spans="3:16" ht="63.75" hidden="1" customHeight="1">
      <c r="C115" s="25">
        <f t="shared" si="8"/>
        <v>107</v>
      </c>
      <c r="D115" s="25" t="s">
        <v>472</v>
      </c>
      <c r="E115" s="3" t="s">
        <v>473</v>
      </c>
      <c r="F115" s="33">
        <v>45446</v>
      </c>
      <c r="G115" s="196">
        <f t="shared" si="7"/>
        <v>2024</v>
      </c>
      <c r="H115" s="25" t="s">
        <v>474</v>
      </c>
      <c r="J115" s="3" t="s">
        <v>475</v>
      </c>
      <c r="K115" s="3" t="s">
        <v>476</v>
      </c>
      <c r="L115" s="25">
        <v>3.8</v>
      </c>
      <c r="M115" s="25" t="s">
        <v>477</v>
      </c>
      <c r="N115" s="5" t="s">
        <v>1</v>
      </c>
      <c r="O115" s="2"/>
      <c r="P115" s="2" t="s">
        <v>478</v>
      </c>
    </row>
    <row r="116" spans="3:16" hidden="1">
      <c r="C116" s="25">
        <f t="shared" si="8"/>
        <v>108</v>
      </c>
      <c r="D116" s="25" t="s">
        <v>479</v>
      </c>
      <c r="E116" s="3" t="s">
        <v>480</v>
      </c>
      <c r="F116" s="31">
        <v>45440</v>
      </c>
      <c r="G116" s="57">
        <f t="shared" si="7"/>
        <v>2024</v>
      </c>
      <c r="H116" s="24" t="s">
        <v>480</v>
      </c>
      <c r="J116" s="3" t="s">
        <v>481</v>
      </c>
      <c r="K116" s="3"/>
      <c r="M116" s="25" t="s">
        <v>477</v>
      </c>
      <c r="N116" s="5" t="s">
        <v>1</v>
      </c>
      <c r="O116" s="25"/>
      <c r="P116" t="s">
        <v>482</v>
      </c>
    </row>
    <row r="117" spans="3:16" ht="28.8" hidden="1">
      <c r="C117" s="25">
        <f t="shared" si="8"/>
        <v>109</v>
      </c>
      <c r="D117" s="25" t="s">
        <v>96</v>
      </c>
      <c r="E117" s="3" t="s">
        <v>483</v>
      </c>
      <c r="F117" s="33">
        <v>45441</v>
      </c>
      <c r="G117" s="196">
        <f t="shared" si="7"/>
        <v>2024</v>
      </c>
      <c r="H117" s="25" t="s">
        <v>76</v>
      </c>
      <c r="I117" s="25"/>
      <c r="K117" s="3" t="s">
        <v>484</v>
      </c>
      <c r="L117" s="24">
        <v>40</v>
      </c>
      <c r="M117" s="25" t="s">
        <v>73</v>
      </c>
      <c r="N117" s="5" t="s">
        <v>1</v>
      </c>
      <c r="O117" s="1"/>
      <c r="P117" s="1" t="s">
        <v>485</v>
      </c>
    </row>
    <row r="118" spans="3:16" ht="43.2" hidden="1">
      <c r="C118" s="25">
        <f t="shared" si="8"/>
        <v>110</v>
      </c>
      <c r="D118" s="25" t="s">
        <v>329</v>
      </c>
      <c r="E118" s="3" t="s">
        <v>486</v>
      </c>
      <c r="F118" s="33">
        <v>45441</v>
      </c>
      <c r="G118" s="196">
        <f t="shared" si="7"/>
        <v>2024</v>
      </c>
      <c r="H118" s="25" t="s">
        <v>487</v>
      </c>
      <c r="I118" s="25"/>
      <c r="J118" s="2" t="s">
        <v>488</v>
      </c>
      <c r="K118" s="3" t="s">
        <v>489</v>
      </c>
      <c r="L118" s="25">
        <v>21</v>
      </c>
      <c r="M118" s="25" t="s">
        <v>73</v>
      </c>
      <c r="N118" s="5" t="s">
        <v>1</v>
      </c>
      <c r="P118" s="2" t="s">
        <v>490</v>
      </c>
    </row>
    <row r="119" spans="3:16" ht="115.2" hidden="1">
      <c r="C119" s="48">
        <f t="shared" si="8"/>
        <v>111</v>
      </c>
      <c r="D119" s="25" t="s">
        <v>444</v>
      </c>
      <c r="E119" s="3" t="s">
        <v>491</v>
      </c>
      <c r="F119" s="33">
        <v>45447</v>
      </c>
      <c r="G119" s="196">
        <f t="shared" si="7"/>
        <v>2024</v>
      </c>
      <c r="H119" s="25" t="s">
        <v>33</v>
      </c>
      <c r="K119" s="3" t="s">
        <v>492</v>
      </c>
      <c r="M119" s="25" t="s">
        <v>493</v>
      </c>
      <c r="N119" s="5" t="s">
        <v>1</v>
      </c>
      <c r="P119" s="3" t="s">
        <v>494</v>
      </c>
    </row>
    <row r="120" spans="3:16" ht="86.4" hidden="1">
      <c r="C120" s="25">
        <f t="shared" si="8"/>
        <v>112</v>
      </c>
      <c r="D120" s="25" t="s">
        <v>495</v>
      </c>
      <c r="E120" s="3" t="s">
        <v>496</v>
      </c>
      <c r="F120" s="33">
        <v>45447</v>
      </c>
      <c r="G120" s="196">
        <f t="shared" si="7"/>
        <v>2024</v>
      </c>
      <c r="H120" s="25" t="s">
        <v>226</v>
      </c>
      <c r="K120" s="3" t="s">
        <v>497</v>
      </c>
      <c r="M120" s="25" t="s">
        <v>493</v>
      </c>
      <c r="N120" s="5" t="s">
        <v>1</v>
      </c>
      <c r="P120" s="26" t="s">
        <v>498</v>
      </c>
    </row>
    <row r="121" spans="3:16" ht="28.8" hidden="1">
      <c r="C121" s="25">
        <f t="shared" si="8"/>
        <v>113</v>
      </c>
      <c r="D121" s="25" t="s">
        <v>499</v>
      </c>
      <c r="E121" s="3" t="s">
        <v>500</v>
      </c>
      <c r="F121" s="33">
        <v>45449</v>
      </c>
      <c r="G121" s="196">
        <f t="shared" si="7"/>
        <v>2024</v>
      </c>
      <c r="H121" s="25" t="s">
        <v>76</v>
      </c>
      <c r="I121" s="25"/>
      <c r="K121" s="3" t="s">
        <v>501</v>
      </c>
      <c r="M121" s="25" t="s">
        <v>393</v>
      </c>
      <c r="N121" s="5" t="s">
        <v>1</v>
      </c>
      <c r="O121" s="26"/>
      <c r="P121" s="26" t="s">
        <v>502</v>
      </c>
    </row>
    <row r="122" spans="3:16" hidden="1">
      <c r="C122" s="25">
        <f t="shared" si="8"/>
        <v>114</v>
      </c>
      <c r="D122" s="25" t="s">
        <v>503</v>
      </c>
      <c r="F122" s="31">
        <v>45449</v>
      </c>
      <c r="G122" s="57">
        <f t="shared" si="7"/>
        <v>2024</v>
      </c>
      <c r="H122" s="25" t="s">
        <v>226</v>
      </c>
      <c r="J122" s="24" t="s">
        <v>504</v>
      </c>
      <c r="N122" s="5" t="s">
        <v>1</v>
      </c>
      <c r="O122" s="2"/>
      <c r="P122" t="s">
        <v>505</v>
      </c>
    </row>
    <row r="123" spans="3:16" ht="57.6" hidden="1">
      <c r="C123" s="48">
        <f t="shared" si="8"/>
        <v>115</v>
      </c>
      <c r="D123" s="25" t="s">
        <v>506</v>
      </c>
      <c r="E123" s="3" t="s">
        <v>507</v>
      </c>
      <c r="F123" s="33">
        <v>45450</v>
      </c>
      <c r="G123" s="196">
        <f t="shared" si="7"/>
        <v>2024</v>
      </c>
      <c r="H123" s="25" t="s">
        <v>508</v>
      </c>
      <c r="I123" s="25"/>
      <c r="K123" s="3" t="s">
        <v>509</v>
      </c>
      <c r="M123" s="25" t="s">
        <v>393</v>
      </c>
      <c r="N123" s="5" t="s">
        <v>1</v>
      </c>
      <c r="O123" s="53"/>
      <c r="P123" s="26" t="s">
        <v>510</v>
      </c>
    </row>
    <row r="124" spans="3:16" ht="129.6" hidden="1">
      <c r="C124" s="25">
        <f>+C123+1</f>
        <v>116</v>
      </c>
      <c r="D124" s="25" t="s">
        <v>270</v>
      </c>
      <c r="E124" s="3" t="s">
        <v>511</v>
      </c>
      <c r="F124" s="33">
        <v>45453</v>
      </c>
      <c r="G124" s="196">
        <f t="shared" si="7"/>
        <v>2024</v>
      </c>
      <c r="H124" s="25" t="s">
        <v>512</v>
      </c>
      <c r="I124" s="25"/>
      <c r="K124" s="3" t="s">
        <v>513</v>
      </c>
      <c r="M124" s="25" t="s">
        <v>122</v>
      </c>
      <c r="N124" s="71" t="s">
        <v>4</v>
      </c>
      <c r="O124" s="26"/>
    </row>
    <row r="125" spans="3:16" ht="28.8" hidden="1">
      <c r="C125" s="25">
        <f t="shared" si="8"/>
        <v>117</v>
      </c>
      <c r="D125" s="25" t="s">
        <v>514</v>
      </c>
      <c r="E125" s="3" t="s">
        <v>234</v>
      </c>
      <c r="F125" s="33">
        <v>45453</v>
      </c>
      <c r="G125" s="196">
        <f t="shared" si="7"/>
        <v>2024</v>
      </c>
      <c r="H125" s="24" t="s">
        <v>189</v>
      </c>
      <c r="K125" s="3" t="s">
        <v>515</v>
      </c>
      <c r="L125" s="47">
        <v>2500</v>
      </c>
      <c r="M125" s="25" t="s">
        <v>122</v>
      </c>
      <c r="N125" s="5" t="s">
        <v>1</v>
      </c>
      <c r="P125" s="26" t="s">
        <v>516</v>
      </c>
    </row>
    <row r="126" spans="3:16" hidden="1">
      <c r="C126" s="25">
        <f t="shared" si="8"/>
        <v>118</v>
      </c>
      <c r="D126" s="25" t="s">
        <v>198</v>
      </c>
      <c r="E126" s="3" t="s">
        <v>517</v>
      </c>
      <c r="F126" s="33">
        <v>45457</v>
      </c>
      <c r="G126" s="196">
        <f t="shared" si="7"/>
        <v>2024</v>
      </c>
      <c r="H126" s="25" t="s">
        <v>518</v>
      </c>
      <c r="I126" s="25"/>
      <c r="K126" s="3" t="s">
        <v>519</v>
      </c>
      <c r="L126" s="39">
        <v>2.061096</v>
      </c>
      <c r="M126" s="24" t="s">
        <v>520</v>
      </c>
      <c r="N126" s="5" t="s">
        <v>1</v>
      </c>
      <c r="O126" s="2"/>
    </row>
    <row r="127" spans="3:16" ht="28.8" hidden="1">
      <c r="C127" s="25">
        <f t="shared" si="8"/>
        <v>119</v>
      </c>
      <c r="D127" s="25" t="s">
        <v>463</v>
      </c>
      <c r="E127" s="3" t="s">
        <v>464</v>
      </c>
      <c r="F127" s="33">
        <v>45453</v>
      </c>
      <c r="G127" s="196">
        <f t="shared" si="7"/>
        <v>2024</v>
      </c>
      <c r="H127" s="25" t="s">
        <v>206</v>
      </c>
      <c r="I127" s="25"/>
      <c r="J127" s="25" t="s">
        <v>521</v>
      </c>
      <c r="K127" s="3" t="s">
        <v>522</v>
      </c>
      <c r="M127" s="25" t="s">
        <v>73</v>
      </c>
      <c r="N127" s="5" t="s">
        <v>1</v>
      </c>
      <c r="O127" s="2"/>
      <c r="P127" s="26" t="s">
        <v>523</v>
      </c>
    </row>
    <row r="128" spans="3:16" ht="100.8" hidden="1">
      <c r="C128" s="25">
        <f t="shared" si="8"/>
        <v>120</v>
      </c>
      <c r="D128" s="25" t="s">
        <v>524</v>
      </c>
      <c r="E128" s="3" t="s">
        <v>525</v>
      </c>
      <c r="F128" s="33">
        <v>45457</v>
      </c>
      <c r="G128" s="196">
        <f t="shared" si="7"/>
        <v>2024</v>
      </c>
      <c r="H128" s="25" t="s">
        <v>820</v>
      </c>
      <c r="I128" s="25" t="s">
        <v>802</v>
      </c>
      <c r="K128" s="3" t="s">
        <v>526</v>
      </c>
      <c r="M128" s="25" t="s">
        <v>73</v>
      </c>
      <c r="N128" s="5" t="s">
        <v>1</v>
      </c>
      <c r="P128" s="26" t="s">
        <v>527</v>
      </c>
    </row>
    <row r="129" spans="3:16" ht="28.8" hidden="1">
      <c r="C129" s="25">
        <f t="shared" si="8"/>
        <v>121</v>
      </c>
      <c r="D129" s="25" t="s">
        <v>444</v>
      </c>
      <c r="E129" s="3" t="s">
        <v>528</v>
      </c>
      <c r="F129" s="33">
        <v>45460</v>
      </c>
      <c r="G129" s="196">
        <f t="shared" si="7"/>
        <v>2024</v>
      </c>
      <c r="H129" s="25" t="s">
        <v>529</v>
      </c>
      <c r="I129" s="25"/>
      <c r="K129" s="3" t="s">
        <v>530</v>
      </c>
      <c r="M129" s="25" t="s">
        <v>90</v>
      </c>
      <c r="N129" s="5" t="s">
        <v>1</v>
      </c>
      <c r="O129" s="1"/>
      <c r="P129" s="3" t="s">
        <v>531</v>
      </c>
    </row>
    <row r="130" spans="3:16" ht="72" hidden="1">
      <c r="C130" s="25">
        <f t="shared" si="8"/>
        <v>122</v>
      </c>
      <c r="D130" s="25" t="s">
        <v>532</v>
      </c>
      <c r="E130" s="3" t="s">
        <v>533</v>
      </c>
      <c r="F130" s="33">
        <v>45460</v>
      </c>
      <c r="G130" s="196">
        <f t="shared" si="7"/>
        <v>2024</v>
      </c>
      <c r="H130" s="25" t="s">
        <v>534</v>
      </c>
      <c r="K130" s="3" t="s">
        <v>535</v>
      </c>
      <c r="L130" s="25">
        <v>0.8</v>
      </c>
      <c r="M130" s="25" t="s">
        <v>122</v>
      </c>
      <c r="N130" s="36" t="s">
        <v>3</v>
      </c>
      <c r="O130" s="1"/>
    </row>
    <row r="131" spans="3:16" ht="57.6" hidden="1">
      <c r="C131" s="25">
        <f t="shared" si="8"/>
        <v>123</v>
      </c>
      <c r="D131" s="25" t="s">
        <v>96</v>
      </c>
      <c r="E131" s="3" t="s">
        <v>536</v>
      </c>
      <c r="F131" s="33">
        <v>45464</v>
      </c>
      <c r="G131" s="196">
        <f t="shared" si="7"/>
        <v>2024</v>
      </c>
      <c r="H131" s="25" t="s">
        <v>76</v>
      </c>
      <c r="I131" s="25"/>
      <c r="J131" s="3" t="s">
        <v>537</v>
      </c>
      <c r="K131" s="3" t="s">
        <v>538</v>
      </c>
      <c r="L131" s="25">
        <f>5*5.5</f>
        <v>27.5</v>
      </c>
      <c r="M131" s="25" t="s">
        <v>73</v>
      </c>
      <c r="N131" s="5" t="s">
        <v>1</v>
      </c>
      <c r="O131" s="1"/>
    </row>
    <row r="132" spans="3:16" ht="72" hidden="1">
      <c r="C132" s="25">
        <f t="shared" si="8"/>
        <v>124</v>
      </c>
      <c r="D132" s="25" t="s">
        <v>96</v>
      </c>
      <c r="E132" s="3" t="s">
        <v>539</v>
      </c>
      <c r="F132" s="33">
        <v>45461</v>
      </c>
      <c r="G132" s="196">
        <f t="shared" si="7"/>
        <v>2024</v>
      </c>
      <c r="H132" s="25" t="s">
        <v>446</v>
      </c>
      <c r="I132" s="25"/>
      <c r="J132" s="3" t="s">
        <v>540</v>
      </c>
      <c r="K132" s="3" t="s">
        <v>541</v>
      </c>
      <c r="L132" s="25">
        <v>20</v>
      </c>
      <c r="M132" s="25" t="s">
        <v>73</v>
      </c>
      <c r="N132" s="5" t="s">
        <v>1</v>
      </c>
      <c r="O132" s="33">
        <v>45643</v>
      </c>
      <c r="P132" s="26" t="s">
        <v>542</v>
      </c>
    </row>
    <row r="133" spans="3:16" ht="43.2" hidden="1">
      <c r="C133" s="25">
        <f t="shared" si="8"/>
        <v>125</v>
      </c>
      <c r="D133" s="25" t="s">
        <v>198</v>
      </c>
      <c r="E133" s="3" t="s">
        <v>543</v>
      </c>
      <c r="F133" s="33">
        <v>45467</v>
      </c>
      <c r="G133" s="196">
        <f t="shared" si="7"/>
        <v>2024</v>
      </c>
      <c r="H133" s="25" t="s">
        <v>2616</v>
      </c>
      <c r="I133" s="25" t="s">
        <v>872</v>
      </c>
      <c r="K133" s="3" t="s">
        <v>545</v>
      </c>
      <c r="M133" s="25" t="s">
        <v>73</v>
      </c>
      <c r="N133" s="5" t="s">
        <v>1</v>
      </c>
      <c r="P133" s="2" t="s">
        <v>546</v>
      </c>
    </row>
    <row r="134" spans="3:16" hidden="1">
      <c r="C134" s="25">
        <f t="shared" si="8"/>
        <v>126</v>
      </c>
      <c r="D134" s="25" t="s">
        <v>198</v>
      </c>
      <c r="E134" s="3" t="s">
        <v>547</v>
      </c>
      <c r="F134" s="33">
        <v>45461</v>
      </c>
      <c r="G134" s="196">
        <f t="shared" si="7"/>
        <v>2024</v>
      </c>
      <c r="H134" s="25" t="s">
        <v>548</v>
      </c>
      <c r="I134" s="25"/>
      <c r="J134" s="25" t="s">
        <v>549</v>
      </c>
      <c r="K134" s="3" t="s">
        <v>550</v>
      </c>
      <c r="L134" s="25">
        <v>159</v>
      </c>
      <c r="N134" s="5" t="s">
        <v>1</v>
      </c>
      <c r="O134" s="26"/>
      <c r="P134" s="25" t="s">
        <v>551</v>
      </c>
    </row>
    <row r="135" spans="3:16" hidden="1">
      <c r="C135" s="40">
        <f t="shared" si="8"/>
        <v>127</v>
      </c>
      <c r="D135" s="41" t="s">
        <v>552</v>
      </c>
      <c r="E135" s="42"/>
      <c r="F135" s="42"/>
      <c r="G135" s="221">
        <f t="shared" si="7"/>
        <v>1900</v>
      </c>
      <c r="H135" s="45" t="s">
        <v>553</v>
      </c>
      <c r="I135" s="42"/>
      <c r="J135" s="42"/>
      <c r="K135" s="45" t="s">
        <v>554</v>
      </c>
      <c r="L135" s="42"/>
      <c r="M135" s="42"/>
      <c r="N135" s="44" t="s">
        <v>3</v>
      </c>
      <c r="O135" s="2"/>
      <c r="P135" s="43"/>
    </row>
    <row r="136" spans="3:16" hidden="1">
      <c r="C136" s="25">
        <f t="shared" si="8"/>
        <v>128</v>
      </c>
      <c r="D136" s="25" t="s">
        <v>434</v>
      </c>
      <c r="E136" s="24" t="s">
        <v>555</v>
      </c>
      <c r="F136" s="33">
        <v>45461</v>
      </c>
      <c r="G136" s="196">
        <f t="shared" si="7"/>
        <v>2024</v>
      </c>
      <c r="H136" s="24" t="s">
        <v>226</v>
      </c>
      <c r="K136" s="3" t="s">
        <v>556</v>
      </c>
      <c r="M136" s="25" t="s">
        <v>73</v>
      </c>
      <c r="N136" s="5" t="s">
        <v>1</v>
      </c>
      <c r="O136" s="33">
        <v>45643</v>
      </c>
      <c r="P136" s="26" t="s">
        <v>542</v>
      </c>
    </row>
    <row r="137" spans="3:16" ht="110.25" hidden="1" customHeight="1">
      <c r="C137" s="25">
        <f t="shared" si="8"/>
        <v>129</v>
      </c>
      <c r="D137" s="25" t="s">
        <v>390</v>
      </c>
      <c r="E137" s="25" t="s">
        <v>557</v>
      </c>
      <c r="F137" s="33">
        <v>45474</v>
      </c>
      <c r="G137" s="196">
        <f t="shared" ref="G137:G200" si="9">+YEAR(F137)</f>
        <v>2024</v>
      </c>
      <c r="H137" s="25" t="s">
        <v>189</v>
      </c>
      <c r="J137" s="25" t="s">
        <v>558</v>
      </c>
      <c r="K137" s="55" t="s">
        <v>559</v>
      </c>
      <c r="M137" s="25" t="s">
        <v>493</v>
      </c>
      <c r="N137" s="71" t="s">
        <v>4</v>
      </c>
    </row>
    <row r="138" spans="3:16" ht="28.8" hidden="1">
      <c r="C138" s="25">
        <f t="shared" si="8"/>
        <v>130</v>
      </c>
      <c r="D138" s="25" t="s">
        <v>96</v>
      </c>
      <c r="E138" s="46" t="s">
        <v>560</v>
      </c>
      <c r="F138" s="33">
        <v>45468</v>
      </c>
      <c r="G138" s="196">
        <f t="shared" si="9"/>
        <v>2024</v>
      </c>
      <c r="H138" s="25" t="s">
        <v>76</v>
      </c>
      <c r="I138" s="25"/>
      <c r="J138" s="3" t="s">
        <v>561</v>
      </c>
      <c r="K138" s="3" t="s">
        <v>562</v>
      </c>
      <c r="M138" s="25" t="s">
        <v>73</v>
      </c>
      <c r="N138" s="5" t="s">
        <v>1</v>
      </c>
      <c r="O138" s="2"/>
      <c r="P138" s="1" t="s">
        <v>563</v>
      </c>
    </row>
    <row r="139" spans="3:16" ht="43.2" hidden="1">
      <c r="C139" s="25">
        <f t="shared" si="8"/>
        <v>131</v>
      </c>
      <c r="D139" s="25" t="s">
        <v>198</v>
      </c>
      <c r="E139" s="25" t="s">
        <v>564</v>
      </c>
      <c r="F139" s="33">
        <v>45469</v>
      </c>
      <c r="G139" s="196">
        <f t="shared" si="9"/>
        <v>2024</v>
      </c>
      <c r="H139" s="25" t="s">
        <v>548</v>
      </c>
      <c r="I139" s="25"/>
      <c r="K139" s="3" t="s">
        <v>565</v>
      </c>
      <c r="M139" s="25" t="s">
        <v>566</v>
      </c>
      <c r="N139" s="5" t="s">
        <v>1</v>
      </c>
    </row>
    <row r="140" spans="3:16" hidden="1">
      <c r="C140" s="25">
        <f t="shared" si="8"/>
        <v>132</v>
      </c>
      <c r="D140" s="25" t="s">
        <v>96</v>
      </c>
      <c r="E140" s="24" t="s">
        <v>567</v>
      </c>
      <c r="F140" s="33">
        <v>45474</v>
      </c>
      <c r="G140" s="196">
        <f t="shared" si="9"/>
        <v>2024</v>
      </c>
      <c r="H140" s="25" t="s">
        <v>568</v>
      </c>
      <c r="I140" s="25"/>
      <c r="J140" s="25" t="s">
        <v>569</v>
      </c>
      <c r="K140" s="3" t="s">
        <v>570</v>
      </c>
      <c r="M140" s="24" t="s">
        <v>73</v>
      </c>
      <c r="N140" s="5" t="s">
        <v>1</v>
      </c>
      <c r="O140" s="1"/>
      <c r="P140" t="s">
        <v>571</v>
      </c>
    </row>
    <row r="141" spans="3:16" hidden="1">
      <c r="C141" s="48">
        <f t="shared" si="8"/>
        <v>133</v>
      </c>
      <c r="D141" s="25" t="s">
        <v>96</v>
      </c>
      <c r="E141" s="24" t="s">
        <v>572</v>
      </c>
      <c r="F141" s="31">
        <v>45478</v>
      </c>
      <c r="G141" s="57">
        <f t="shared" si="9"/>
        <v>2024</v>
      </c>
      <c r="H141" s="25" t="s">
        <v>573</v>
      </c>
      <c r="I141" s="25"/>
      <c r="J141" s="25" t="s">
        <v>574</v>
      </c>
      <c r="K141" s="3" t="s">
        <v>575</v>
      </c>
      <c r="M141" s="25" t="s">
        <v>576</v>
      </c>
      <c r="N141" s="5" t="s">
        <v>1</v>
      </c>
      <c r="O141" s="55"/>
      <c r="P141" t="s">
        <v>577</v>
      </c>
    </row>
    <row r="142" spans="3:16" ht="57.6" hidden="1">
      <c r="C142" s="25">
        <f>+C141+1</f>
        <v>134</v>
      </c>
      <c r="D142" s="25" t="s">
        <v>578</v>
      </c>
      <c r="E142" s="25" t="s">
        <v>579</v>
      </c>
      <c r="F142" s="33">
        <v>45523</v>
      </c>
      <c r="G142" s="196">
        <f t="shared" si="9"/>
        <v>2024</v>
      </c>
      <c r="H142" s="25" t="s">
        <v>580</v>
      </c>
      <c r="I142" s="25"/>
      <c r="J142" s="3" t="s">
        <v>581</v>
      </c>
      <c r="K142" s="3" t="s">
        <v>582</v>
      </c>
      <c r="M142" s="25" t="s">
        <v>90</v>
      </c>
      <c r="N142" s="5" t="s">
        <v>1</v>
      </c>
      <c r="O142" s="26"/>
      <c r="P142" s="26" t="s">
        <v>583</v>
      </c>
    </row>
    <row r="143" spans="3:16" ht="28.8" hidden="1">
      <c r="C143" s="25">
        <f t="shared" si="8"/>
        <v>135</v>
      </c>
      <c r="D143" s="25" t="s">
        <v>304</v>
      </c>
      <c r="E143" s="25" t="s">
        <v>584</v>
      </c>
      <c r="G143" s="181">
        <f t="shared" si="9"/>
        <v>1900</v>
      </c>
      <c r="H143" s="25" t="s">
        <v>76</v>
      </c>
      <c r="I143" s="25"/>
      <c r="J143" s="3" t="s">
        <v>585</v>
      </c>
      <c r="N143" s="5" t="s">
        <v>1</v>
      </c>
      <c r="O143" s="2"/>
      <c r="P143" s="2" t="s">
        <v>586</v>
      </c>
    </row>
    <row r="144" spans="3:16" ht="100.8" hidden="1">
      <c r="C144" s="25">
        <f t="shared" si="8"/>
        <v>136</v>
      </c>
      <c r="D144" s="25" t="s">
        <v>96</v>
      </c>
      <c r="E144" s="25" t="s">
        <v>459</v>
      </c>
      <c r="F144" s="33">
        <v>45498</v>
      </c>
      <c r="G144" s="196">
        <f t="shared" si="9"/>
        <v>2024</v>
      </c>
      <c r="H144" s="25" t="s">
        <v>2605</v>
      </c>
      <c r="I144" s="25" t="s">
        <v>130</v>
      </c>
      <c r="J144" s="3" t="s">
        <v>587</v>
      </c>
      <c r="K144" s="49" t="s">
        <v>588</v>
      </c>
      <c r="M144" s="24"/>
      <c r="N144" s="71" t="s">
        <v>4</v>
      </c>
    </row>
    <row r="145" spans="3:18" ht="57.6" hidden="1">
      <c r="C145" s="25">
        <f t="shared" si="8"/>
        <v>137</v>
      </c>
      <c r="E145" s="25" t="s">
        <v>589</v>
      </c>
      <c r="F145" s="33">
        <v>45503</v>
      </c>
      <c r="G145" s="196">
        <f t="shared" si="9"/>
        <v>2024</v>
      </c>
      <c r="H145" s="25" t="s">
        <v>590</v>
      </c>
      <c r="I145" s="25"/>
      <c r="K145" s="3" t="s">
        <v>591</v>
      </c>
      <c r="M145" s="24"/>
      <c r="N145" s="36" t="s">
        <v>3</v>
      </c>
    </row>
    <row r="146" spans="3:18" ht="28.8" hidden="1">
      <c r="C146" s="25">
        <f t="shared" si="8"/>
        <v>138</v>
      </c>
      <c r="D146" s="3" t="s">
        <v>592</v>
      </c>
      <c r="E146" s="25" t="s">
        <v>593</v>
      </c>
      <c r="F146" s="33">
        <v>45503</v>
      </c>
      <c r="G146" s="196">
        <f t="shared" si="9"/>
        <v>2024</v>
      </c>
      <c r="H146" s="25" t="s">
        <v>442</v>
      </c>
      <c r="I146" s="25"/>
      <c r="J146" s="1" t="s">
        <v>594</v>
      </c>
      <c r="K146" s="49" t="s">
        <v>595</v>
      </c>
      <c r="N146" s="5" t="s">
        <v>1</v>
      </c>
      <c r="O146" s="1"/>
      <c r="P146" s="53" t="s">
        <v>596</v>
      </c>
    </row>
    <row r="147" spans="3:18" ht="28.8" hidden="1">
      <c r="C147" s="25">
        <f t="shared" si="8"/>
        <v>139</v>
      </c>
      <c r="D147" s="25" t="s">
        <v>297</v>
      </c>
      <c r="E147" s="25" t="s">
        <v>597</v>
      </c>
      <c r="F147" s="33">
        <v>45503</v>
      </c>
      <c r="G147" s="196">
        <f t="shared" si="9"/>
        <v>2024</v>
      </c>
      <c r="H147" s="25" t="s">
        <v>598</v>
      </c>
      <c r="I147" s="25"/>
      <c r="J147" s="1" t="s">
        <v>599</v>
      </c>
      <c r="K147" s="49" t="s">
        <v>600</v>
      </c>
      <c r="N147" s="5" t="s">
        <v>1</v>
      </c>
      <c r="P147" s="26" t="s">
        <v>601</v>
      </c>
    </row>
    <row r="148" spans="3:18" hidden="1">
      <c r="C148" s="25">
        <f t="shared" si="8"/>
        <v>140</v>
      </c>
      <c r="D148" s="24" t="s">
        <v>329</v>
      </c>
      <c r="E148" s="25" t="s">
        <v>602</v>
      </c>
      <c r="F148" s="33">
        <v>45503</v>
      </c>
      <c r="G148" s="196">
        <f t="shared" si="9"/>
        <v>2024</v>
      </c>
      <c r="H148" s="25" t="s">
        <v>76</v>
      </c>
      <c r="I148" s="25"/>
      <c r="K148" s="24" t="s">
        <v>603</v>
      </c>
      <c r="M148" s="24"/>
      <c r="N148" s="5" t="s">
        <v>1</v>
      </c>
    </row>
    <row r="149" spans="3:18" hidden="1">
      <c r="C149" s="25">
        <f t="shared" si="8"/>
        <v>141</v>
      </c>
      <c r="D149" s="24" t="s">
        <v>604</v>
      </c>
      <c r="F149" s="33">
        <v>45503</v>
      </c>
      <c r="G149" s="196">
        <f t="shared" si="9"/>
        <v>2024</v>
      </c>
      <c r="H149" s="26" t="s">
        <v>605</v>
      </c>
      <c r="I149" s="26"/>
      <c r="J149" s="24" t="s">
        <v>606</v>
      </c>
      <c r="N149" s="5" t="s">
        <v>1</v>
      </c>
      <c r="O149" s="26"/>
      <c r="P149" s="2" t="s">
        <v>607</v>
      </c>
    </row>
    <row r="150" spans="3:18" ht="28.8" hidden="1">
      <c r="C150" s="25">
        <f t="shared" si="8"/>
        <v>142</v>
      </c>
      <c r="D150" s="25" t="s">
        <v>20</v>
      </c>
      <c r="E150" s="26"/>
      <c r="F150" s="33">
        <v>45506</v>
      </c>
      <c r="G150" s="196">
        <f t="shared" si="9"/>
        <v>2024</v>
      </c>
      <c r="H150" s="3" t="s">
        <v>608</v>
      </c>
      <c r="I150" s="3"/>
      <c r="J150" s="25" t="s">
        <v>609</v>
      </c>
      <c r="K150" s="2" t="s">
        <v>610</v>
      </c>
      <c r="L150" s="26"/>
      <c r="M150" s="26"/>
      <c r="N150" s="5" t="s">
        <v>1</v>
      </c>
      <c r="O150" s="25"/>
      <c r="P150" s="2" t="s">
        <v>611</v>
      </c>
      <c r="Q150" s="26"/>
      <c r="R150" s="26"/>
    </row>
    <row r="151" spans="3:18" hidden="1">
      <c r="C151" s="25">
        <f t="shared" si="8"/>
        <v>143</v>
      </c>
      <c r="D151" s="24" t="s">
        <v>612</v>
      </c>
      <c r="E151" s="25" t="s">
        <v>613</v>
      </c>
      <c r="F151" s="33">
        <v>45503</v>
      </c>
      <c r="G151" s="196">
        <f t="shared" si="9"/>
        <v>2024</v>
      </c>
      <c r="H151" s="24" t="s">
        <v>76</v>
      </c>
      <c r="I151" s="24"/>
      <c r="K151" t="s">
        <v>614</v>
      </c>
      <c r="N151" s="5" t="s">
        <v>1</v>
      </c>
      <c r="O151" s="25"/>
    </row>
    <row r="152" spans="3:18" ht="28.8" hidden="1">
      <c r="C152" s="25">
        <f t="shared" si="8"/>
        <v>144</v>
      </c>
      <c r="D152" s="25" t="s">
        <v>96</v>
      </c>
      <c r="E152" s="25" t="s">
        <v>615</v>
      </c>
      <c r="F152" s="33">
        <v>45503</v>
      </c>
      <c r="G152" s="196">
        <f t="shared" si="9"/>
        <v>2024</v>
      </c>
      <c r="H152" s="25" t="s">
        <v>446</v>
      </c>
      <c r="J152" s="26" t="s">
        <v>616</v>
      </c>
      <c r="K152" s="26" t="s">
        <v>603</v>
      </c>
      <c r="N152" s="5" t="s">
        <v>1</v>
      </c>
      <c r="O152" s="53"/>
      <c r="P152" s="1" t="s">
        <v>617</v>
      </c>
    </row>
    <row r="153" spans="3:18" ht="28.8" hidden="1">
      <c r="C153" s="25">
        <f t="shared" si="8"/>
        <v>145</v>
      </c>
      <c r="D153" s="25" t="s">
        <v>96</v>
      </c>
      <c r="E153" s="25" t="s">
        <v>618</v>
      </c>
      <c r="F153" s="33">
        <v>45503</v>
      </c>
      <c r="G153" s="196">
        <f t="shared" si="9"/>
        <v>2024</v>
      </c>
      <c r="H153" s="24" t="s">
        <v>226</v>
      </c>
      <c r="J153" s="1" t="s">
        <v>619</v>
      </c>
      <c r="N153" s="5" t="s">
        <v>1</v>
      </c>
      <c r="O153" s="49"/>
      <c r="P153" s="1" t="s">
        <v>620</v>
      </c>
    </row>
    <row r="154" spans="3:18" ht="57.6" hidden="1">
      <c r="C154" s="25">
        <f t="shared" si="8"/>
        <v>146</v>
      </c>
      <c r="D154" s="25" t="s">
        <v>198</v>
      </c>
      <c r="E154" s="25" t="s">
        <v>621</v>
      </c>
      <c r="F154" s="33">
        <v>45505</v>
      </c>
      <c r="G154" s="196">
        <f t="shared" si="9"/>
        <v>2024</v>
      </c>
      <c r="H154" s="25" t="s">
        <v>622</v>
      </c>
      <c r="I154" s="25"/>
      <c r="J154" s="26" t="s">
        <v>623</v>
      </c>
      <c r="K154" s="26"/>
      <c r="L154" s="26"/>
      <c r="M154" s="26"/>
      <c r="N154" s="5" t="s">
        <v>1</v>
      </c>
      <c r="O154" s="49"/>
      <c r="P154" s="1" t="s">
        <v>624</v>
      </c>
    </row>
    <row r="155" spans="3:18" ht="57.6" hidden="1">
      <c r="C155" s="25">
        <f t="shared" si="8"/>
        <v>147</v>
      </c>
      <c r="D155" s="25" t="s">
        <v>625</v>
      </c>
      <c r="E155" s="25" t="s">
        <v>626</v>
      </c>
      <c r="F155" s="33">
        <v>45503</v>
      </c>
      <c r="G155" s="196">
        <f t="shared" si="9"/>
        <v>2024</v>
      </c>
      <c r="H155" s="25" t="s">
        <v>76</v>
      </c>
      <c r="I155" s="25"/>
      <c r="J155" s="1" t="s">
        <v>627</v>
      </c>
      <c r="K155" s="2" t="s">
        <v>628</v>
      </c>
      <c r="L155" s="26"/>
      <c r="M155" s="25"/>
      <c r="N155" s="5" t="s">
        <v>1</v>
      </c>
      <c r="P155" s="26"/>
    </row>
    <row r="156" spans="3:18" hidden="1">
      <c r="C156" s="25">
        <f t="shared" si="8"/>
        <v>148</v>
      </c>
      <c r="D156" s="24" t="s">
        <v>629</v>
      </c>
      <c r="E156" s="25" t="s">
        <v>630</v>
      </c>
      <c r="F156" s="31">
        <v>45512</v>
      </c>
      <c r="G156" s="57">
        <f t="shared" si="9"/>
        <v>2024</v>
      </c>
      <c r="H156" s="25" t="s">
        <v>76</v>
      </c>
      <c r="I156" s="25"/>
      <c r="K156" t="s">
        <v>631</v>
      </c>
      <c r="N156" s="5" t="s">
        <v>1</v>
      </c>
      <c r="P156" t="s">
        <v>632</v>
      </c>
    </row>
    <row r="157" spans="3:18" ht="72" hidden="1">
      <c r="C157" s="25">
        <f t="shared" si="8"/>
        <v>149</v>
      </c>
      <c r="D157" s="25" t="s">
        <v>633</v>
      </c>
      <c r="E157" s="25" t="s">
        <v>634</v>
      </c>
      <c r="F157" s="33">
        <v>45512</v>
      </c>
      <c r="G157" s="196">
        <f t="shared" si="9"/>
        <v>2024</v>
      </c>
      <c r="H157" s="25" t="s">
        <v>33</v>
      </c>
      <c r="I157" s="25"/>
      <c r="J157" s="53" t="s">
        <v>635</v>
      </c>
      <c r="K157" s="1" t="s">
        <v>636</v>
      </c>
      <c r="M157" s="24"/>
      <c r="N157" s="9" t="s">
        <v>1</v>
      </c>
      <c r="O157" s="1"/>
      <c r="P157" s="26" t="s">
        <v>637</v>
      </c>
    </row>
    <row r="158" spans="3:18" ht="43.2" hidden="1">
      <c r="C158" s="25">
        <f t="shared" si="8"/>
        <v>150</v>
      </c>
      <c r="D158" s="25" t="s">
        <v>633</v>
      </c>
      <c r="E158" s="25" t="s">
        <v>638</v>
      </c>
      <c r="F158" s="33">
        <v>45512</v>
      </c>
      <c r="G158" s="196">
        <f t="shared" si="9"/>
        <v>2024</v>
      </c>
      <c r="H158" s="25" t="s">
        <v>33</v>
      </c>
      <c r="K158" s="1" t="s">
        <v>639</v>
      </c>
      <c r="M158" s="24"/>
      <c r="N158" s="71" t="s">
        <v>4</v>
      </c>
      <c r="O158" s="2"/>
    </row>
    <row r="159" spans="3:18" ht="57.6" hidden="1">
      <c r="C159" s="25">
        <f t="shared" si="8"/>
        <v>151</v>
      </c>
      <c r="D159" s="25" t="s">
        <v>640</v>
      </c>
      <c r="E159" s="25" t="s">
        <v>641</v>
      </c>
      <c r="F159" s="33">
        <v>45516</v>
      </c>
      <c r="G159" s="196">
        <f t="shared" si="9"/>
        <v>2024</v>
      </c>
      <c r="H159" s="25" t="s">
        <v>76</v>
      </c>
      <c r="I159" s="25"/>
      <c r="K159" s="1" t="s">
        <v>642</v>
      </c>
      <c r="M159" s="24"/>
      <c r="N159" s="5" t="s">
        <v>1</v>
      </c>
      <c r="O159" s="1"/>
      <c r="P159" s="2" t="s">
        <v>643</v>
      </c>
    </row>
    <row r="160" spans="3:18" ht="72" hidden="1">
      <c r="C160" s="25">
        <f t="shared" si="8"/>
        <v>152</v>
      </c>
      <c r="D160" s="25" t="s">
        <v>644</v>
      </c>
      <c r="E160" s="25" t="s">
        <v>645</v>
      </c>
      <c r="F160" s="33">
        <v>45520</v>
      </c>
      <c r="G160" s="196">
        <f t="shared" si="9"/>
        <v>2024</v>
      </c>
      <c r="H160" s="25" t="s">
        <v>646</v>
      </c>
      <c r="I160" s="25"/>
      <c r="J160" s="3" t="s">
        <v>647</v>
      </c>
      <c r="K160" s="2" t="s">
        <v>648</v>
      </c>
      <c r="L160" s="25">
        <v>180</v>
      </c>
      <c r="M160" s="25" t="s">
        <v>73</v>
      </c>
      <c r="N160" s="5" t="s">
        <v>1</v>
      </c>
      <c r="O160" s="26"/>
    </row>
    <row r="161" spans="2:16" ht="43.2" hidden="1">
      <c r="C161" s="25">
        <f t="shared" si="8"/>
        <v>153</v>
      </c>
      <c r="D161" s="25" t="s">
        <v>320</v>
      </c>
      <c r="E161" s="25" t="s">
        <v>649</v>
      </c>
      <c r="F161" s="33">
        <v>45520</v>
      </c>
      <c r="G161" s="196">
        <f t="shared" si="9"/>
        <v>2024</v>
      </c>
      <c r="H161" s="25" t="s">
        <v>650</v>
      </c>
      <c r="I161" s="25"/>
      <c r="J161" s="3" t="s">
        <v>651</v>
      </c>
      <c r="K161" s="2" t="s">
        <v>652</v>
      </c>
      <c r="L161" s="25">
        <v>422</v>
      </c>
      <c r="M161" s="24"/>
      <c r="N161" s="5" t="s">
        <v>1</v>
      </c>
    </row>
    <row r="162" spans="2:16" ht="28.8" hidden="1">
      <c r="C162" s="25">
        <f t="shared" si="8"/>
        <v>154</v>
      </c>
      <c r="D162" s="25" t="s">
        <v>633</v>
      </c>
      <c r="E162" s="25" t="s">
        <v>633</v>
      </c>
      <c r="F162" s="33">
        <v>45520</v>
      </c>
      <c r="G162" s="196">
        <f t="shared" si="9"/>
        <v>2024</v>
      </c>
      <c r="H162" s="25" t="s">
        <v>653</v>
      </c>
      <c r="I162" s="25"/>
      <c r="J162" s="25" t="s">
        <v>654</v>
      </c>
      <c r="K162" s="2" t="s">
        <v>655</v>
      </c>
      <c r="M162" s="24"/>
      <c r="N162" s="5" t="s">
        <v>1</v>
      </c>
      <c r="O162" s="1"/>
      <c r="P162" s="2" t="s">
        <v>656</v>
      </c>
    </row>
    <row r="163" spans="2:16" ht="57.6" hidden="1">
      <c r="C163" s="25">
        <f t="shared" si="8"/>
        <v>155</v>
      </c>
      <c r="D163" s="25" t="s">
        <v>657</v>
      </c>
      <c r="E163" s="25" t="s">
        <v>658</v>
      </c>
      <c r="F163" s="33">
        <v>45520</v>
      </c>
      <c r="G163" s="196">
        <f t="shared" si="9"/>
        <v>2024</v>
      </c>
      <c r="H163" s="25" t="s">
        <v>375</v>
      </c>
      <c r="I163" s="25"/>
      <c r="K163" s="2" t="s">
        <v>659</v>
      </c>
      <c r="M163" s="24"/>
      <c r="N163" s="5" t="s">
        <v>1</v>
      </c>
    </row>
    <row r="164" spans="2:16" ht="28.8" hidden="1">
      <c r="C164" s="25">
        <f t="shared" si="8"/>
        <v>156</v>
      </c>
      <c r="D164" s="25" t="s">
        <v>660</v>
      </c>
      <c r="E164" s="25" t="s">
        <v>661</v>
      </c>
      <c r="F164" s="33">
        <v>45520</v>
      </c>
      <c r="G164" s="196">
        <f t="shared" si="9"/>
        <v>2024</v>
      </c>
      <c r="H164" s="25" t="s">
        <v>662</v>
      </c>
      <c r="I164" s="25"/>
      <c r="K164" s="2" t="s">
        <v>663</v>
      </c>
      <c r="M164" s="24"/>
      <c r="N164" s="5" t="s">
        <v>1</v>
      </c>
      <c r="P164" s="1" t="s">
        <v>664</v>
      </c>
    </row>
    <row r="165" spans="2:16" ht="28.8" hidden="1">
      <c r="C165" s="25">
        <f t="shared" si="8"/>
        <v>157</v>
      </c>
      <c r="D165" s="25" t="s">
        <v>665</v>
      </c>
      <c r="E165" s="25" t="s">
        <v>198</v>
      </c>
      <c r="F165" s="33">
        <v>45527</v>
      </c>
      <c r="G165" s="196">
        <f t="shared" si="9"/>
        <v>2024</v>
      </c>
      <c r="H165" s="25" t="s">
        <v>76</v>
      </c>
      <c r="I165" s="25"/>
      <c r="K165" s="2" t="s">
        <v>666</v>
      </c>
      <c r="L165" s="39">
        <v>4</v>
      </c>
      <c r="M165" s="24"/>
      <c r="N165" s="5" t="s">
        <v>1</v>
      </c>
      <c r="P165" s="55" t="s">
        <v>667</v>
      </c>
    </row>
    <row r="166" spans="2:16" ht="72" hidden="1">
      <c r="C166" s="25">
        <f t="shared" si="8"/>
        <v>158</v>
      </c>
      <c r="D166" s="25" t="s">
        <v>668</v>
      </c>
      <c r="F166" s="33">
        <v>45525</v>
      </c>
      <c r="G166" s="196">
        <f t="shared" si="9"/>
        <v>2024</v>
      </c>
      <c r="H166" s="25" t="s">
        <v>669</v>
      </c>
      <c r="I166" s="25"/>
      <c r="K166" s="2" t="s">
        <v>670</v>
      </c>
      <c r="M166" s="24"/>
      <c r="N166" s="5" t="s">
        <v>1</v>
      </c>
      <c r="P166" s="26" t="s">
        <v>671</v>
      </c>
    </row>
    <row r="167" spans="2:16" ht="57.6" hidden="1">
      <c r="C167" s="25">
        <f t="shared" si="8"/>
        <v>159</v>
      </c>
      <c r="D167" s="25" t="s">
        <v>672</v>
      </c>
      <c r="E167" s="25" t="s">
        <v>673</v>
      </c>
      <c r="F167" s="33">
        <v>45527</v>
      </c>
      <c r="G167" s="196">
        <f t="shared" si="9"/>
        <v>2024</v>
      </c>
      <c r="H167" s="25" t="s">
        <v>674</v>
      </c>
      <c r="I167" s="25"/>
      <c r="J167" s="3" t="s">
        <v>675</v>
      </c>
      <c r="K167" s="2" t="s">
        <v>676</v>
      </c>
      <c r="M167" s="24"/>
      <c r="N167" s="71" t="s">
        <v>4</v>
      </c>
    </row>
    <row r="168" spans="2:16" hidden="1">
      <c r="C168" s="25">
        <f t="shared" si="8"/>
        <v>160</v>
      </c>
      <c r="D168" s="25" t="s">
        <v>677</v>
      </c>
      <c r="F168" s="33">
        <v>45527</v>
      </c>
      <c r="G168" s="196">
        <f t="shared" si="9"/>
        <v>2024</v>
      </c>
      <c r="H168" s="25" t="s">
        <v>2615</v>
      </c>
      <c r="I168" s="25" t="s">
        <v>1918</v>
      </c>
      <c r="K168" s="2" t="s">
        <v>679</v>
      </c>
      <c r="M168" s="24"/>
      <c r="N168" s="5" t="s">
        <v>1</v>
      </c>
      <c r="O168" s="1"/>
      <c r="P168" s="2" t="s">
        <v>680</v>
      </c>
    </row>
    <row r="169" spans="2:16" ht="28.8" hidden="1">
      <c r="C169" s="25">
        <f t="shared" si="8"/>
        <v>161</v>
      </c>
      <c r="D169" s="25" t="s">
        <v>681</v>
      </c>
      <c r="E169" s="3" t="s">
        <v>682</v>
      </c>
      <c r="F169" s="33">
        <v>45527</v>
      </c>
      <c r="G169" s="196">
        <f t="shared" si="9"/>
        <v>2024</v>
      </c>
      <c r="H169" s="25" t="s">
        <v>608</v>
      </c>
      <c r="I169" s="25"/>
      <c r="J169" s="3" t="s">
        <v>683</v>
      </c>
      <c r="K169" s="2" t="s">
        <v>684</v>
      </c>
      <c r="L169" s="25">
        <v>13.8</v>
      </c>
      <c r="M169" s="25" t="s">
        <v>393</v>
      </c>
      <c r="N169" s="5" t="s">
        <v>1</v>
      </c>
      <c r="O169" s="2"/>
    </row>
    <row r="170" spans="2:16" ht="43.2" hidden="1">
      <c r="C170" s="25">
        <f t="shared" si="8"/>
        <v>162</v>
      </c>
      <c r="D170" s="25" t="s">
        <v>685</v>
      </c>
      <c r="F170" s="33">
        <v>45524</v>
      </c>
      <c r="G170" s="196">
        <f t="shared" si="9"/>
        <v>2024</v>
      </c>
      <c r="H170" s="25" t="s">
        <v>206</v>
      </c>
      <c r="I170" s="25"/>
      <c r="J170" s="25" t="s">
        <v>686</v>
      </c>
      <c r="K170" s="2" t="s">
        <v>687</v>
      </c>
      <c r="L170" s="25">
        <v>124.5</v>
      </c>
      <c r="M170" s="24"/>
      <c r="N170" s="5" t="s">
        <v>1</v>
      </c>
    </row>
    <row r="171" spans="2:16" ht="201.6" hidden="1">
      <c r="C171" s="25">
        <f t="shared" si="8"/>
        <v>163</v>
      </c>
      <c r="D171" s="25" t="s">
        <v>688</v>
      </c>
      <c r="F171" s="33">
        <v>45524</v>
      </c>
      <c r="G171" s="196">
        <f t="shared" si="9"/>
        <v>2024</v>
      </c>
      <c r="H171" s="25" t="s">
        <v>689</v>
      </c>
      <c r="I171" s="25"/>
      <c r="K171" s="2" t="s">
        <v>690</v>
      </c>
      <c r="M171" s="24"/>
      <c r="N171" s="36" t="s">
        <v>3</v>
      </c>
      <c r="O171" s="33">
        <v>45638</v>
      </c>
    </row>
    <row r="172" spans="2:16" ht="273.60000000000002" hidden="1">
      <c r="B172" s="26" t="s">
        <v>691</v>
      </c>
      <c r="C172" s="25">
        <f>+C171+1</f>
        <v>164</v>
      </c>
      <c r="D172" s="25" t="s">
        <v>692</v>
      </c>
      <c r="E172" s="25" t="s">
        <v>693</v>
      </c>
      <c r="F172" s="33">
        <v>45530</v>
      </c>
      <c r="G172" s="196">
        <f t="shared" si="9"/>
        <v>2024</v>
      </c>
      <c r="H172" s="25" t="s">
        <v>694</v>
      </c>
      <c r="I172" s="25" t="s">
        <v>226</v>
      </c>
      <c r="K172" s="2" t="s">
        <v>3167</v>
      </c>
      <c r="M172" s="24"/>
      <c r="N172" s="71" t="s">
        <v>4</v>
      </c>
    </row>
    <row r="173" spans="2:16" ht="230.4" hidden="1">
      <c r="C173" s="25">
        <f t="shared" si="8"/>
        <v>165</v>
      </c>
      <c r="D173" s="25" t="s">
        <v>695</v>
      </c>
      <c r="E173" s="25" t="s">
        <v>696</v>
      </c>
      <c r="F173" s="33">
        <v>45527</v>
      </c>
      <c r="G173" s="196">
        <f t="shared" si="9"/>
        <v>2024</v>
      </c>
      <c r="H173" s="25" t="s">
        <v>697</v>
      </c>
      <c r="K173" s="2" t="s">
        <v>698</v>
      </c>
      <c r="M173" s="24"/>
      <c r="N173" s="36" t="s">
        <v>3</v>
      </c>
      <c r="O173" s="33">
        <v>45638</v>
      </c>
    </row>
    <row r="174" spans="2:16" ht="57.6" hidden="1">
      <c r="C174" s="25">
        <f t="shared" si="8"/>
        <v>166</v>
      </c>
      <c r="D174" s="25" t="s">
        <v>699</v>
      </c>
      <c r="E174" s="25" t="s">
        <v>700</v>
      </c>
      <c r="F174" s="33">
        <v>45530</v>
      </c>
      <c r="G174" s="196">
        <f t="shared" si="9"/>
        <v>2024</v>
      </c>
      <c r="H174" s="25" t="s">
        <v>701</v>
      </c>
      <c r="J174" s="3" t="s">
        <v>702</v>
      </c>
      <c r="K174" s="2" t="s">
        <v>703</v>
      </c>
      <c r="L174" s="33" t="s">
        <v>704</v>
      </c>
      <c r="M174" s="25" t="s">
        <v>705</v>
      </c>
      <c r="N174" s="71" t="s">
        <v>4</v>
      </c>
      <c r="O174" s="1"/>
    </row>
    <row r="175" spans="2:16" ht="43.2" hidden="1">
      <c r="C175" s="25">
        <f>+C174+1</f>
        <v>167</v>
      </c>
      <c r="E175" s="25" t="s">
        <v>706</v>
      </c>
      <c r="F175" s="33">
        <v>45534</v>
      </c>
      <c r="G175" s="196">
        <f t="shared" si="9"/>
        <v>2024</v>
      </c>
      <c r="H175" s="25" t="s">
        <v>707</v>
      </c>
      <c r="I175" s="25"/>
      <c r="K175" s="2" t="s">
        <v>708</v>
      </c>
      <c r="M175" s="24"/>
      <c r="N175" s="36" t="s">
        <v>3</v>
      </c>
      <c r="O175" s="26"/>
    </row>
    <row r="176" spans="2:16" ht="28.8" hidden="1" outlineLevel="1">
      <c r="C176" s="25">
        <f t="shared" si="8"/>
        <v>168</v>
      </c>
      <c r="D176" s="25" t="s">
        <v>709</v>
      </c>
      <c r="E176" s="25" t="s">
        <v>369</v>
      </c>
      <c r="F176" s="33">
        <v>45534</v>
      </c>
      <c r="G176" s="196">
        <f t="shared" si="9"/>
        <v>2024</v>
      </c>
      <c r="H176" s="25" t="s">
        <v>608</v>
      </c>
      <c r="I176" s="25"/>
      <c r="K176" s="2" t="s">
        <v>710</v>
      </c>
      <c r="M176" s="24"/>
      <c r="N176" s="5" t="s">
        <v>1</v>
      </c>
      <c r="P176" s="1" t="s">
        <v>711</v>
      </c>
    </row>
    <row r="177" spans="3:16" hidden="1" collapsed="1">
      <c r="C177" s="25">
        <f t="shared" si="8"/>
        <v>169</v>
      </c>
      <c r="D177" s="25" t="s">
        <v>270</v>
      </c>
      <c r="F177" s="31">
        <v>45534</v>
      </c>
      <c r="G177" s="57">
        <f t="shared" si="9"/>
        <v>2024</v>
      </c>
      <c r="H177" s="24" t="s">
        <v>712</v>
      </c>
      <c r="I177" s="24"/>
      <c r="K177" s="2" t="s">
        <v>713</v>
      </c>
      <c r="M177" s="24"/>
      <c r="N177" s="5" t="s">
        <v>1</v>
      </c>
      <c r="P177" t="s">
        <v>714</v>
      </c>
    </row>
    <row r="178" spans="3:16" hidden="1">
      <c r="C178" s="25">
        <f t="shared" si="8"/>
        <v>170</v>
      </c>
      <c r="D178" s="25" t="s">
        <v>709</v>
      </c>
      <c r="F178" s="31">
        <v>45534</v>
      </c>
      <c r="G178" s="57">
        <f t="shared" si="9"/>
        <v>2024</v>
      </c>
      <c r="H178" s="24" t="s">
        <v>622</v>
      </c>
      <c r="I178" s="24"/>
      <c r="K178" s="2" t="s">
        <v>713</v>
      </c>
      <c r="M178" s="24"/>
      <c r="N178" s="5" t="s">
        <v>1</v>
      </c>
      <c r="O178" s="61"/>
    </row>
    <row r="179" spans="3:16" ht="28.8" hidden="1">
      <c r="C179" s="25">
        <f t="shared" si="8"/>
        <v>171</v>
      </c>
      <c r="D179" s="25" t="s">
        <v>715</v>
      </c>
      <c r="E179" s="25" t="s">
        <v>716</v>
      </c>
      <c r="F179" s="33">
        <v>45537</v>
      </c>
      <c r="G179" s="196">
        <f t="shared" si="9"/>
        <v>2024</v>
      </c>
      <c r="H179" s="25" t="s">
        <v>716</v>
      </c>
      <c r="I179" s="25" t="s">
        <v>872</v>
      </c>
      <c r="J179" s="25" t="s">
        <v>717</v>
      </c>
      <c r="K179" s="2" t="s">
        <v>718</v>
      </c>
      <c r="L179" s="25">
        <v>250</v>
      </c>
      <c r="M179" s="25" t="s">
        <v>90</v>
      </c>
      <c r="N179" s="5" t="s">
        <v>1</v>
      </c>
      <c r="P179" s="26" t="s">
        <v>719</v>
      </c>
    </row>
    <row r="180" spans="3:16" ht="144" hidden="1">
      <c r="C180" s="25">
        <f t="shared" si="8"/>
        <v>172</v>
      </c>
      <c r="D180" s="25" t="s">
        <v>720</v>
      </c>
      <c r="E180" s="25" t="s">
        <v>720</v>
      </c>
      <c r="F180" s="33">
        <v>45541</v>
      </c>
      <c r="G180" s="196">
        <f t="shared" si="9"/>
        <v>2024</v>
      </c>
      <c r="H180" s="25" t="s">
        <v>425</v>
      </c>
      <c r="I180" s="25"/>
      <c r="K180" s="2" t="s">
        <v>721</v>
      </c>
      <c r="N180" s="5" t="s">
        <v>1</v>
      </c>
      <c r="O180" s="33">
        <v>45691</v>
      </c>
    </row>
    <row r="181" spans="3:16" ht="43.2" hidden="1">
      <c r="C181" s="25">
        <f t="shared" si="8"/>
        <v>173</v>
      </c>
      <c r="D181" s="25" t="s">
        <v>722</v>
      </c>
      <c r="E181" s="25" t="s">
        <v>723</v>
      </c>
      <c r="F181" s="33">
        <v>45541</v>
      </c>
      <c r="G181" s="196">
        <f t="shared" si="9"/>
        <v>2024</v>
      </c>
      <c r="H181" s="25" t="s">
        <v>724</v>
      </c>
      <c r="I181" s="25"/>
      <c r="K181" s="2" t="s">
        <v>725</v>
      </c>
      <c r="N181" s="36" t="s">
        <v>3</v>
      </c>
    </row>
    <row r="182" spans="3:16" ht="43.2" hidden="1">
      <c r="C182" s="25">
        <f t="shared" si="8"/>
        <v>174</v>
      </c>
      <c r="D182" s="25" t="s">
        <v>726</v>
      </c>
      <c r="E182" s="25" t="s">
        <v>727</v>
      </c>
      <c r="F182" s="33">
        <v>45541</v>
      </c>
      <c r="G182" s="196">
        <f t="shared" si="9"/>
        <v>2024</v>
      </c>
      <c r="H182" s="3" t="s">
        <v>728</v>
      </c>
      <c r="I182" s="3"/>
      <c r="J182" s="49" t="s">
        <v>729</v>
      </c>
      <c r="K182" s="2" t="s">
        <v>730</v>
      </c>
      <c r="L182" s="25">
        <v>5</v>
      </c>
      <c r="M182" s="25"/>
      <c r="N182" s="5" t="s">
        <v>1</v>
      </c>
      <c r="P182" s="25"/>
    </row>
    <row r="183" spans="3:16" hidden="1">
      <c r="C183" s="25">
        <f t="shared" si="8"/>
        <v>175</v>
      </c>
      <c r="D183" s="25" t="s">
        <v>731</v>
      </c>
      <c r="E183" s="25" t="s">
        <v>732</v>
      </c>
      <c r="F183" s="33">
        <v>45541</v>
      </c>
      <c r="G183" s="196">
        <f t="shared" si="9"/>
        <v>2024</v>
      </c>
      <c r="H183" s="25" t="s">
        <v>590</v>
      </c>
      <c r="I183" s="25"/>
      <c r="J183" s="25"/>
      <c r="K183" s="53" t="s">
        <v>733</v>
      </c>
      <c r="L183" s="25"/>
      <c r="M183" s="25"/>
      <c r="N183" s="5" t="s">
        <v>1</v>
      </c>
      <c r="P183" s="25" t="s">
        <v>734</v>
      </c>
    </row>
    <row r="184" spans="3:16" hidden="1">
      <c r="C184" s="25">
        <f t="shared" si="8"/>
        <v>176</v>
      </c>
      <c r="D184" s="25" t="s">
        <v>735</v>
      </c>
      <c r="E184" s="25" t="s">
        <v>736</v>
      </c>
      <c r="F184" s="33">
        <v>45541</v>
      </c>
      <c r="G184" s="196">
        <f t="shared" si="9"/>
        <v>2024</v>
      </c>
      <c r="H184" s="25" t="s">
        <v>737</v>
      </c>
      <c r="I184" s="25"/>
      <c r="J184" s="49" t="s">
        <v>738</v>
      </c>
      <c r="K184" s="53" t="s">
        <v>739</v>
      </c>
      <c r="L184" s="25">
        <v>1</v>
      </c>
      <c r="M184" s="25"/>
      <c r="N184" s="5" t="s">
        <v>1</v>
      </c>
      <c r="O184" s="5"/>
      <c r="P184" s="53" t="s">
        <v>740</v>
      </c>
    </row>
    <row r="185" spans="3:16" ht="57.6" hidden="1">
      <c r="C185" s="25">
        <f t="shared" si="8"/>
        <v>177</v>
      </c>
      <c r="D185" s="25" t="s">
        <v>741</v>
      </c>
      <c r="E185" s="25" t="s">
        <v>742</v>
      </c>
      <c r="F185" s="33">
        <v>45541</v>
      </c>
      <c r="G185" s="196">
        <f t="shared" si="9"/>
        <v>2024</v>
      </c>
      <c r="H185" s="25" t="s">
        <v>743</v>
      </c>
      <c r="I185" s="25"/>
      <c r="J185" s="49" t="s">
        <v>744</v>
      </c>
      <c r="K185" s="53"/>
      <c r="L185" s="25">
        <v>45</v>
      </c>
      <c r="M185" s="25"/>
      <c r="N185" s="5" t="s">
        <v>1</v>
      </c>
      <c r="O185" s="5"/>
      <c r="P185" s="49" t="s">
        <v>745</v>
      </c>
    </row>
    <row r="186" spans="3:16" ht="28.8" hidden="1">
      <c r="C186" s="25">
        <f t="shared" si="8"/>
        <v>178</v>
      </c>
      <c r="D186" s="25" t="s">
        <v>746</v>
      </c>
      <c r="E186" s="3" t="s">
        <v>747</v>
      </c>
      <c r="F186" s="33">
        <v>45544</v>
      </c>
      <c r="G186" s="196">
        <f t="shared" si="9"/>
        <v>2024</v>
      </c>
      <c r="H186" s="25" t="s">
        <v>33</v>
      </c>
      <c r="I186" s="25"/>
      <c r="J186" s="53" t="s">
        <v>748</v>
      </c>
      <c r="K186" s="53"/>
      <c r="L186" s="25">
        <v>70</v>
      </c>
      <c r="M186" s="25"/>
      <c r="N186" s="5" t="s">
        <v>1</v>
      </c>
      <c r="O186" s="5"/>
      <c r="P186" s="49" t="s">
        <v>749</v>
      </c>
    </row>
    <row r="187" spans="3:16" hidden="1">
      <c r="C187" s="25">
        <f t="shared" si="8"/>
        <v>179</v>
      </c>
      <c r="D187" s="25" t="s">
        <v>750</v>
      </c>
      <c r="E187" s="25" t="s">
        <v>751</v>
      </c>
      <c r="F187" s="33">
        <v>45544</v>
      </c>
      <c r="G187" s="196">
        <f t="shared" si="9"/>
        <v>2024</v>
      </c>
      <c r="H187" s="25" t="s">
        <v>206</v>
      </c>
      <c r="I187" s="25"/>
      <c r="J187" s="49" t="s">
        <v>752</v>
      </c>
      <c r="K187" s="53" t="s">
        <v>753</v>
      </c>
      <c r="L187" s="25">
        <v>255</v>
      </c>
      <c r="M187" s="25"/>
      <c r="N187" s="36" t="s">
        <v>3</v>
      </c>
      <c r="P187" s="53" t="s">
        <v>754</v>
      </c>
    </row>
    <row r="188" spans="3:16" ht="86.4" hidden="1">
      <c r="C188" s="25">
        <f t="shared" si="8"/>
        <v>180</v>
      </c>
      <c r="D188" s="25" t="s">
        <v>467</v>
      </c>
      <c r="E188" s="25" t="s">
        <v>755</v>
      </c>
      <c r="F188" s="33">
        <v>45544</v>
      </c>
      <c r="G188" s="196">
        <f t="shared" si="9"/>
        <v>2024</v>
      </c>
      <c r="H188" s="25" t="s">
        <v>76</v>
      </c>
      <c r="I188" s="25" t="s">
        <v>1261</v>
      </c>
      <c r="J188" s="25"/>
      <c r="K188" s="49" t="s">
        <v>756</v>
      </c>
      <c r="L188" s="25"/>
      <c r="M188" s="25"/>
      <c r="N188" s="71" t="s">
        <v>4</v>
      </c>
      <c r="O188" s="62"/>
      <c r="P188" s="25"/>
    </row>
    <row r="189" spans="3:16" ht="43.2" hidden="1">
      <c r="C189" s="25">
        <f t="shared" si="8"/>
        <v>181</v>
      </c>
      <c r="D189" s="25" t="s">
        <v>757</v>
      </c>
      <c r="E189" s="25" t="s">
        <v>758</v>
      </c>
      <c r="F189" s="33">
        <v>45546</v>
      </c>
      <c r="G189" s="196">
        <f t="shared" si="9"/>
        <v>2024</v>
      </c>
      <c r="H189" s="25" t="s">
        <v>759</v>
      </c>
      <c r="I189" s="25"/>
      <c r="J189" s="25"/>
      <c r="K189" s="49" t="s">
        <v>760</v>
      </c>
      <c r="L189" s="25"/>
      <c r="M189" s="25"/>
      <c r="N189" s="71" t="s">
        <v>4</v>
      </c>
      <c r="O189" s="62"/>
      <c r="P189" s="25"/>
    </row>
    <row r="190" spans="3:16" ht="28.8" hidden="1">
      <c r="C190" s="25">
        <f t="shared" si="8"/>
        <v>182</v>
      </c>
      <c r="D190" s="25" t="s">
        <v>761</v>
      </c>
      <c r="E190" s="25" t="s">
        <v>454</v>
      </c>
      <c r="F190" s="33">
        <v>45548</v>
      </c>
      <c r="G190" s="196">
        <f t="shared" si="9"/>
        <v>2024</v>
      </c>
      <c r="H190" s="25" t="s">
        <v>76</v>
      </c>
      <c r="I190" s="25"/>
      <c r="J190" s="53" t="s">
        <v>762</v>
      </c>
      <c r="K190" s="49" t="s">
        <v>763</v>
      </c>
      <c r="L190" s="47">
        <v>2349</v>
      </c>
      <c r="M190" s="25"/>
      <c r="N190" s="71" t="s">
        <v>4</v>
      </c>
      <c r="O190" s="62"/>
      <c r="P190" s="25"/>
    </row>
    <row r="191" spans="3:16" ht="43.2" hidden="1">
      <c r="C191" s="25">
        <f t="shared" si="8"/>
        <v>183</v>
      </c>
      <c r="D191" s="25" t="s">
        <v>764</v>
      </c>
      <c r="E191" s="25" t="s">
        <v>765</v>
      </c>
      <c r="F191" s="33">
        <v>45548</v>
      </c>
      <c r="G191" s="196">
        <f t="shared" si="9"/>
        <v>2024</v>
      </c>
      <c r="H191" s="25" t="s">
        <v>766</v>
      </c>
      <c r="I191" s="25"/>
      <c r="K191" s="49" t="s">
        <v>767</v>
      </c>
      <c r="N191" s="71" t="s">
        <v>4</v>
      </c>
      <c r="O191" s="62"/>
    </row>
    <row r="192" spans="3:16" ht="74.25" hidden="1" customHeight="1">
      <c r="C192" s="25">
        <f t="shared" si="8"/>
        <v>184</v>
      </c>
      <c r="D192" s="25" t="s">
        <v>270</v>
      </c>
      <c r="E192" s="25" t="s">
        <v>768</v>
      </c>
      <c r="F192" s="33">
        <v>45551</v>
      </c>
      <c r="G192" s="196">
        <f t="shared" si="9"/>
        <v>2024</v>
      </c>
      <c r="H192" s="25"/>
      <c r="K192" s="49" t="s">
        <v>769</v>
      </c>
      <c r="N192" s="71" t="s">
        <v>4</v>
      </c>
      <c r="O192" s="62"/>
    </row>
    <row r="193" spans="2:16" ht="43.2" hidden="1">
      <c r="C193" s="25">
        <f t="shared" si="8"/>
        <v>185</v>
      </c>
      <c r="D193" s="25" t="s">
        <v>770</v>
      </c>
      <c r="E193" s="25" t="s">
        <v>771</v>
      </c>
      <c r="F193" s="33">
        <v>45560</v>
      </c>
      <c r="G193" s="196">
        <f t="shared" si="9"/>
        <v>2024</v>
      </c>
      <c r="H193" s="25" t="s">
        <v>772</v>
      </c>
      <c r="I193" s="25"/>
      <c r="J193" s="25" t="s">
        <v>773</v>
      </c>
      <c r="K193" s="49" t="s">
        <v>774</v>
      </c>
      <c r="L193" s="34">
        <v>11.218999999999999</v>
      </c>
      <c r="N193" s="71" t="s">
        <v>4</v>
      </c>
      <c r="O193" s="62"/>
    </row>
    <row r="194" spans="2:16" ht="86.4" hidden="1">
      <c r="B194">
        <v>0</v>
      </c>
      <c r="C194" s="25">
        <f t="shared" si="8"/>
        <v>186</v>
      </c>
      <c r="D194" s="25" t="s">
        <v>297</v>
      </c>
      <c r="E194" s="25" t="s">
        <v>775</v>
      </c>
      <c r="F194" s="33">
        <v>45560</v>
      </c>
      <c r="G194" s="196">
        <f t="shared" si="9"/>
        <v>2024</v>
      </c>
      <c r="H194" s="25" t="s">
        <v>776</v>
      </c>
      <c r="I194" s="25"/>
      <c r="K194" s="49" t="s">
        <v>777</v>
      </c>
      <c r="N194" s="5" t="s">
        <v>1</v>
      </c>
      <c r="O194" s="5"/>
    </row>
    <row r="195" spans="2:16" ht="28.8" hidden="1">
      <c r="C195" s="25">
        <f t="shared" si="8"/>
        <v>187</v>
      </c>
      <c r="D195" s="25" t="s">
        <v>612</v>
      </c>
      <c r="E195" s="25" t="s">
        <v>778</v>
      </c>
      <c r="F195" s="33">
        <v>45558</v>
      </c>
      <c r="G195" s="196">
        <f t="shared" si="9"/>
        <v>2024</v>
      </c>
      <c r="H195" s="25" t="s">
        <v>779</v>
      </c>
      <c r="I195" s="25"/>
      <c r="J195" s="49" t="s">
        <v>780</v>
      </c>
      <c r="K195" s="2" t="s">
        <v>781</v>
      </c>
      <c r="L195" s="25">
        <v>50</v>
      </c>
      <c r="N195" s="5" t="s">
        <v>1</v>
      </c>
      <c r="O195" s="5"/>
    </row>
    <row r="196" spans="2:16" ht="129.6" hidden="1">
      <c r="C196" s="25">
        <f t="shared" si="8"/>
        <v>188</v>
      </c>
      <c r="D196" s="25" t="s">
        <v>782</v>
      </c>
      <c r="E196" s="25" t="s">
        <v>783</v>
      </c>
      <c r="F196" s="33">
        <v>45558</v>
      </c>
      <c r="G196" s="196">
        <f t="shared" si="9"/>
        <v>2024</v>
      </c>
      <c r="H196" s="25" t="s">
        <v>779</v>
      </c>
      <c r="I196" s="25"/>
      <c r="J196" s="49" t="s">
        <v>784</v>
      </c>
      <c r="K196" s="2" t="s">
        <v>785</v>
      </c>
      <c r="L196" s="25"/>
      <c r="N196" s="5" t="s">
        <v>1</v>
      </c>
      <c r="O196" s="5"/>
      <c r="P196" s="1" t="s">
        <v>786</v>
      </c>
    </row>
    <row r="197" spans="2:16" ht="72" hidden="1">
      <c r="C197" s="25">
        <f t="shared" si="8"/>
        <v>189</v>
      </c>
      <c r="D197" s="25" t="s">
        <v>787</v>
      </c>
      <c r="E197" s="25" t="s">
        <v>788</v>
      </c>
      <c r="F197" s="33">
        <v>45553</v>
      </c>
      <c r="G197" s="196">
        <f t="shared" si="9"/>
        <v>2024</v>
      </c>
      <c r="H197" s="25" t="s">
        <v>789</v>
      </c>
      <c r="I197" s="25"/>
      <c r="J197" s="49" t="s">
        <v>790</v>
      </c>
      <c r="K197" s="2" t="s">
        <v>791</v>
      </c>
      <c r="L197" s="25">
        <v>65</v>
      </c>
      <c r="N197" s="5" t="s">
        <v>1</v>
      </c>
      <c r="O197" s="5"/>
      <c r="P197" s="2" t="s">
        <v>792</v>
      </c>
    </row>
    <row r="198" spans="2:16" ht="72" hidden="1">
      <c r="C198" s="25">
        <f t="shared" si="8"/>
        <v>190</v>
      </c>
      <c r="D198" s="3" t="s">
        <v>793</v>
      </c>
      <c r="E198" s="25" t="s">
        <v>794</v>
      </c>
      <c r="F198" s="33">
        <v>45553</v>
      </c>
      <c r="G198" s="196">
        <f t="shared" si="9"/>
        <v>2024</v>
      </c>
      <c r="H198" s="25" t="s">
        <v>76</v>
      </c>
      <c r="I198" s="25"/>
      <c r="J198" s="49" t="s">
        <v>795</v>
      </c>
      <c r="K198" s="2" t="s">
        <v>796</v>
      </c>
      <c r="N198" s="71" t="s">
        <v>4</v>
      </c>
      <c r="O198" s="62"/>
    </row>
    <row r="199" spans="2:16" ht="72" hidden="1">
      <c r="C199" s="25">
        <f t="shared" si="8"/>
        <v>191</v>
      </c>
      <c r="D199" s="25" t="s">
        <v>270</v>
      </c>
      <c r="E199" s="25" t="s">
        <v>797</v>
      </c>
      <c r="F199" s="33">
        <v>45553</v>
      </c>
      <c r="G199" s="196">
        <f t="shared" si="9"/>
        <v>2024</v>
      </c>
      <c r="H199" s="25" t="s">
        <v>76</v>
      </c>
      <c r="I199" s="25"/>
      <c r="J199" s="49" t="s">
        <v>798</v>
      </c>
      <c r="K199" s="2" t="s">
        <v>799</v>
      </c>
      <c r="L199" s="25">
        <v>300</v>
      </c>
      <c r="N199" s="5" t="s">
        <v>1</v>
      </c>
      <c r="O199" s="5"/>
      <c r="P199" s="1" t="s">
        <v>800</v>
      </c>
    </row>
    <row r="200" spans="2:16" ht="230.4" hidden="1">
      <c r="C200" s="25">
        <f t="shared" si="8"/>
        <v>192</v>
      </c>
      <c r="D200" s="25" t="s">
        <v>782</v>
      </c>
      <c r="E200" s="25" t="s">
        <v>801</v>
      </c>
      <c r="F200" s="33">
        <v>45567</v>
      </c>
      <c r="G200" s="233">
        <f t="shared" si="9"/>
        <v>2024</v>
      </c>
      <c r="H200" s="25" t="s">
        <v>801</v>
      </c>
      <c r="I200" s="25" t="s">
        <v>802</v>
      </c>
      <c r="K200" s="2" t="s">
        <v>2933</v>
      </c>
      <c r="N200" s="66" t="s">
        <v>1</v>
      </c>
      <c r="O200" s="63">
        <v>45769</v>
      </c>
      <c r="P200" s="2" t="s">
        <v>2908</v>
      </c>
    </row>
    <row r="201" spans="2:16" ht="57.6" hidden="1">
      <c r="C201" s="48">
        <f t="shared" si="8"/>
        <v>193</v>
      </c>
      <c r="D201" s="25" t="s">
        <v>803</v>
      </c>
      <c r="G201" s="181">
        <f t="shared" ref="G201:G264" si="10">+YEAR(F201)</f>
        <v>1900</v>
      </c>
      <c r="H201" s="25" t="s">
        <v>804</v>
      </c>
      <c r="I201" s="25"/>
      <c r="J201" s="49" t="s">
        <v>805</v>
      </c>
      <c r="K201" s="2" t="s">
        <v>806</v>
      </c>
      <c r="N201" s="5" t="s">
        <v>1</v>
      </c>
      <c r="O201" s="62"/>
    </row>
    <row r="202" spans="2:16" hidden="1">
      <c r="C202" s="25">
        <f t="shared" si="8"/>
        <v>194</v>
      </c>
      <c r="D202" s="25" t="s">
        <v>807</v>
      </c>
      <c r="E202" s="38" t="s">
        <v>808</v>
      </c>
      <c r="F202" s="33">
        <v>45572</v>
      </c>
      <c r="G202" s="196">
        <f t="shared" si="10"/>
        <v>2024</v>
      </c>
      <c r="H202" s="25" t="s">
        <v>809</v>
      </c>
      <c r="I202" s="25"/>
      <c r="N202" s="5" t="s">
        <v>1</v>
      </c>
      <c r="O202" s="5"/>
      <c r="P202" s="26" t="s">
        <v>810</v>
      </c>
    </row>
    <row r="203" spans="2:16" hidden="1">
      <c r="C203" s="25">
        <f t="shared" si="8"/>
        <v>195</v>
      </c>
      <c r="D203" s="25" t="s">
        <v>369</v>
      </c>
      <c r="E203" s="25" t="s">
        <v>811</v>
      </c>
      <c r="F203" s="33">
        <v>45572</v>
      </c>
      <c r="G203" s="196">
        <f t="shared" si="10"/>
        <v>2024</v>
      </c>
      <c r="H203" s="25" t="s">
        <v>809</v>
      </c>
      <c r="I203" s="25"/>
      <c r="K203" s="2" t="s">
        <v>812</v>
      </c>
      <c r="N203" s="5" t="s">
        <v>1</v>
      </c>
      <c r="O203" s="5"/>
      <c r="P203" t="s">
        <v>813</v>
      </c>
    </row>
    <row r="204" spans="2:16" ht="43.2" hidden="1">
      <c r="C204" s="25">
        <f t="shared" si="8"/>
        <v>196</v>
      </c>
      <c r="D204" s="25" t="s">
        <v>814</v>
      </c>
      <c r="E204" s="3" t="s">
        <v>815</v>
      </c>
      <c r="F204" s="33">
        <v>45568</v>
      </c>
      <c r="G204" s="196">
        <f t="shared" si="10"/>
        <v>2024</v>
      </c>
      <c r="H204" s="25" t="s">
        <v>425</v>
      </c>
      <c r="J204" s="2" t="s">
        <v>816</v>
      </c>
      <c r="K204" s="2" t="s">
        <v>817</v>
      </c>
      <c r="N204" s="5" t="s">
        <v>1</v>
      </c>
      <c r="O204" s="5"/>
      <c r="P204" s="1" t="s">
        <v>818</v>
      </c>
    </row>
    <row r="205" spans="2:16" ht="28.8" hidden="1">
      <c r="C205" s="25">
        <f t="shared" si="8"/>
        <v>197</v>
      </c>
      <c r="D205" s="25" t="s">
        <v>819</v>
      </c>
      <c r="E205" s="25" t="s">
        <v>820</v>
      </c>
      <c r="G205" s="181">
        <f t="shared" si="10"/>
        <v>1900</v>
      </c>
      <c r="H205" s="25" t="s">
        <v>724</v>
      </c>
      <c r="I205" s="25"/>
      <c r="J205" s="26" t="s">
        <v>821</v>
      </c>
      <c r="K205" s="2" t="s">
        <v>822</v>
      </c>
      <c r="N205" s="5" t="s">
        <v>1</v>
      </c>
      <c r="O205" s="5"/>
    </row>
    <row r="206" spans="2:16" hidden="1">
      <c r="C206" s="25">
        <f t="shared" si="8"/>
        <v>198</v>
      </c>
      <c r="D206" s="25" t="s">
        <v>823</v>
      </c>
      <c r="E206" s="24" t="s">
        <v>824</v>
      </c>
      <c r="F206" s="31">
        <v>45575</v>
      </c>
      <c r="G206" s="57">
        <f t="shared" si="10"/>
        <v>2024</v>
      </c>
      <c r="H206" s="25" t="s">
        <v>76</v>
      </c>
      <c r="I206" s="25"/>
      <c r="L206" s="24">
        <v>28</v>
      </c>
      <c r="N206" s="5" t="s">
        <v>1</v>
      </c>
      <c r="O206" s="5"/>
    </row>
    <row r="207" spans="2:16" hidden="1">
      <c r="C207" s="25">
        <f t="shared" si="8"/>
        <v>199</v>
      </c>
      <c r="D207" s="25" t="s">
        <v>825</v>
      </c>
      <c r="E207" s="24" t="s">
        <v>826</v>
      </c>
      <c r="F207" s="31">
        <v>45575</v>
      </c>
      <c r="G207" s="57">
        <f t="shared" si="10"/>
        <v>2024</v>
      </c>
      <c r="H207" s="24" t="s">
        <v>367</v>
      </c>
      <c r="I207" s="24"/>
      <c r="K207" s="2" t="s">
        <v>827</v>
      </c>
      <c r="L207" s="57">
        <v>8.2279999999999998</v>
      </c>
      <c r="N207" s="5" t="s">
        <v>1</v>
      </c>
      <c r="O207" s="5"/>
    </row>
    <row r="208" spans="2:16" hidden="1">
      <c r="C208" s="25">
        <f t="shared" si="8"/>
        <v>200</v>
      </c>
      <c r="D208" s="25" t="s">
        <v>828</v>
      </c>
      <c r="F208" s="31">
        <v>45575</v>
      </c>
      <c r="G208" s="57">
        <f t="shared" si="10"/>
        <v>2024</v>
      </c>
      <c r="H208" s="25" t="s">
        <v>306</v>
      </c>
      <c r="I208" s="25"/>
      <c r="N208" s="5" t="s">
        <v>1</v>
      </c>
      <c r="O208" s="5"/>
    </row>
    <row r="209" spans="3:16" ht="115.2" hidden="1">
      <c r="C209" s="48">
        <f t="shared" si="8"/>
        <v>201</v>
      </c>
      <c r="D209" s="25" t="s">
        <v>198</v>
      </c>
      <c r="E209" s="25" t="s">
        <v>829</v>
      </c>
      <c r="F209" s="33">
        <v>45575</v>
      </c>
      <c r="G209" s="196">
        <f t="shared" si="10"/>
        <v>2024</v>
      </c>
      <c r="H209" s="25" t="s">
        <v>306</v>
      </c>
      <c r="I209" s="25"/>
      <c r="K209" s="1" t="s">
        <v>830</v>
      </c>
      <c r="N209" s="5" t="s">
        <v>1</v>
      </c>
      <c r="O209" s="62"/>
    </row>
    <row r="210" spans="3:16" hidden="1">
      <c r="C210" s="25">
        <f t="shared" si="8"/>
        <v>202</v>
      </c>
      <c r="D210" s="25" t="s">
        <v>831</v>
      </c>
      <c r="F210" s="31">
        <v>45582</v>
      </c>
      <c r="G210" s="57">
        <f t="shared" si="10"/>
        <v>2024</v>
      </c>
      <c r="H210" s="24" t="s">
        <v>832</v>
      </c>
      <c r="I210" s="24"/>
      <c r="N210" s="5" t="s">
        <v>1</v>
      </c>
      <c r="O210" s="5"/>
    </row>
    <row r="211" spans="3:16" ht="28.8" hidden="1">
      <c r="C211" s="25">
        <f t="shared" si="8"/>
        <v>203</v>
      </c>
      <c r="D211" s="25" t="s">
        <v>47</v>
      </c>
      <c r="E211" s="25" t="s">
        <v>833</v>
      </c>
      <c r="F211" s="33">
        <v>45582</v>
      </c>
      <c r="G211" s="196">
        <f t="shared" si="10"/>
        <v>2024</v>
      </c>
      <c r="H211" s="25" t="s">
        <v>779</v>
      </c>
      <c r="I211" s="25"/>
      <c r="J211" s="25" t="s">
        <v>834</v>
      </c>
      <c r="K211" s="2" t="s">
        <v>835</v>
      </c>
      <c r="N211" s="5" t="s">
        <v>1</v>
      </c>
      <c r="O211" s="5"/>
      <c r="P211" s="1" t="s">
        <v>836</v>
      </c>
    </row>
    <row r="212" spans="3:16" ht="112.5" hidden="1" customHeight="1">
      <c r="C212" s="25">
        <f t="shared" si="8"/>
        <v>204</v>
      </c>
      <c r="D212" s="25" t="s">
        <v>837</v>
      </c>
      <c r="E212" s="25" t="s">
        <v>838</v>
      </c>
      <c r="F212" s="33">
        <v>45583</v>
      </c>
      <c r="G212" s="196">
        <f t="shared" si="10"/>
        <v>2024</v>
      </c>
      <c r="H212" s="25" t="s">
        <v>425</v>
      </c>
      <c r="I212" s="25" t="s">
        <v>839</v>
      </c>
      <c r="J212" s="26"/>
      <c r="K212" s="1" t="s">
        <v>840</v>
      </c>
      <c r="N212" s="71" t="s">
        <v>4</v>
      </c>
      <c r="O212" s="62"/>
    </row>
    <row r="213" spans="3:16" ht="43.2" hidden="1">
      <c r="C213" s="25">
        <f t="shared" si="8"/>
        <v>205</v>
      </c>
      <c r="D213" s="25" t="s">
        <v>514</v>
      </c>
      <c r="E213" s="25" t="s">
        <v>841</v>
      </c>
      <c r="F213" s="33">
        <v>45583</v>
      </c>
      <c r="G213" s="196">
        <f t="shared" si="10"/>
        <v>2024</v>
      </c>
      <c r="H213" s="25" t="s">
        <v>789</v>
      </c>
      <c r="I213" s="25"/>
      <c r="J213" s="26"/>
      <c r="K213" s="26"/>
      <c r="L213" s="26"/>
      <c r="M213" s="26"/>
      <c r="N213" s="5" t="s">
        <v>1</v>
      </c>
      <c r="O213" s="5"/>
      <c r="P213" s="2" t="s">
        <v>842</v>
      </c>
    </row>
    <row r="214" spans="3:16" hidden="1">
      <c r="C214" s="25">
        <f t="shared" si="8"/>
        <v>206</v>
      </c>
      <c r="D214" s="25" t="s">
        <v>843</v>
      </c>
      <c r="E214" s="24" t="s">
        <v>844</v>
      </c>
      <c r="F214" s="31">
        <v>45583</v>
      </c>
      <c r="G214" s="57">
        <f t="shared" si="10"/>
        <v>2024</v>
      </c>
      <c r="H214" s="24" t="s">
        <v>845</v>
      </c>
      <c r="I214" s="24"/>
      <c r="N214" s="5" t="s">
        <v>1</v>
      </c>
      <c r="O214" s="5"/>
      <c r="P214" t="s">
        <v>846</v>
      </c>
    </row>
    <row r="215" spans="3:16" hidden="1">
      <c r="C215" s="25">
        <f t="shared" si="8"/>
        <v>207</v>
      </c>
      <c r="D215" s="25" t="s">
        <v>847</v>
      </c>
      <c r="E215" s="24" t="s">
        <v>848</v>
      </c>
      <c r="F215" s="31">
        <v>45583</v>
      </c>
      <c r="G215" s="57">
        <f t="shared" si="10"/>
        <v>2024</v>
      </c>
      <c r="H215" s="24" t="s">
        <v>849</v>
      </c>
      <c r="I215" s="24"/>
      <c r="J215" t="s">
        <v>850</v>
      </c>
      <c r="N215" s="5" t="s">
        <v>1</v>
      </c>
      <c r="O215" s="5"/>
      <c r="P215" t="s">
        <v>851</v>
      </c>
    </row>
    <row r="216" spans="3:16" ht="72" hidden="1">
      <c r="C216" s="25">
        <f t="shared" si="8"/>
        <v>208</v>
      </c>
      <c r="D216" s="25" t="s">
        <v>444</v>
      </c>
      <c r="E216" s="25" t="s">
        <v>852</v>
      </c>
      <c r="F216" s="33">
        <v>45583</v>
      </c>
      <c r="G216" s="196">
        <f t="shared" si="10"/>
        <v>2024</v>
      </c>
      <c r="H216" s="25" t="s">
        <v>130</v>
      </c>
      <c r="K216" s="1" t="s">
        <v>853</v>
      </c>
      <c r="N216" s="5" t="s">
        <v>1</v>
      </c>
      <c r="O216" s="62"/>
    </row>
    <row r="217" spans="3:16" ht="28.8" hidden="1">
      <c r="C217" s="25">
        <f t="shared" si="8"/>
        <v>209</v>
      </c>
      <c r="D217" s="25" t="s">
        <v>444</v>
      </c>
      <c r="E217" s="25" t="s">
        <v>854</v>
      </c>
      <c r="F217" s="31">
        <v>45583</v>
      </c>
      <c r="G217" s="57">
        <f t="shared" si="10"/>
        <v>2024</v>
      </c>
      <c r="H217" s="25" t="s">
        <v>76</v>
      </c>
      <c r="K217" s="1" t="s">
        <v>855</v>
      </c>
      <c r="N217" s="5" t="s">
        <v>1</v>
      </c>
      <c r="O217" s="5"/>
    </row>
    <row r="218" spans="3:16" ht="43.2" hidden="1">
      <c r="C218" s="25">
        <f t="shared" si="8"/>
        <v>210</v>
      </c>
      <c r="D218" s="25" t="s">
        <v>856</v>
      </c>
      <c r="E218" s="25" t="s">
        <v>857</v>
      </c>
      <c r="F218" s="33">
        <v>45587</v>
      </c>
      <c r="G218" s="196">
        <f t="shared" si="10"/>
        <v>2024</v>
      </c>
      <c r="H218" s="25" t="s">
        <v>76</v>
      </c>
      <c r="I218" s="25"/>
      <c r="J218" s="26" t="s">
        <v>858</v>
      </c>
      <c r="K218" s="26"/>
      <c r="L218" s="26"/>
      <c r="N218" s="5" t="s">
        <v>1</v>
      </c>
      <c r="O218" s="5"/>
      <c r="P218" s="1" t="s">
        <v>859</v>
      </c>
    </row>
    <row r="219" spans="3:16" ht="100.8" hidden="1">
      <c r="C219" s="25">
        <f t="shared" si="8"/>
        <v>211</v>
      </c>
      <c r="D219" s="25" t="s">
        <v>467</v>
      </c>
      <c r="E219" s="25" t="s">
        <v>860</v>
      </c>
      <c r="F219" s="33">
        <v>45593</v>
      </c>
      <c r="G219" s="196">
        <f t="shared" si="10"/>
        <v>2024</v>
      </c>
      <c r="H219" s="25" t="s">
        <v>861</v>
      </c>
      <c r="I219" s="25"/>
      <c r="J219" s="26" t="s">
        <v>862</v>
      </c>
      <c r="K219" s="2" t="s">
        <v>863</v>
      </c>
      <c r="L219" s="60" t="s">
        <v>864</v>
      </c>
      <c r="N219" s="71" t="s">
        <v>4</v>
      </c>
      <c r="O219" s="62"/>
    </row>
    <row r="220" spans="3:16" ht="28.8" hidden="1">
      <c r="C220" s="25">
        <f t="shared" si="8"/>
        <v>212</v>
      </c>
      <c r="D220" s="25" t="s">
        <v>434</v>
      </c>
      <c r="E220" s="25" t="s">
        <v>865</v>
      </c>
      <c r="F220" s="33">
        <v>45593</v>
      </c>
      <c r="G220" s="196">
        <f t="shared" si="10"/>
        <v>2024</v>
      </c>
      <c r="H220" s="25" t="s">
        <v>2604</v>
      </c>
      <c r="I220" s="25" t="s">
        <v>872</v>
      </c>
      <c r="N220" s="5" t="s">
        <v>1</v>
      </c>
      <c r="O220" s="5"/>
      <c r="P220" s="1" t="s">
        <v>867</v>
      </c>
    </row>
    <row r="221" spans="3:16" hidden="1">
      <c r="C221" s="25">
        <f t="shared" si="8"/>
        <v>213</v>
      </c>
      <c r="D221" s="25" t="s">
        <v>811</v>
      </c>
      <c r="F221" s="33">
        <v>45593</v>
      </c>
      <c r="G221" s="196">
        <f t="shared" si="10"/>
        <v>2024</v>
      </c>
      <c r="H221" s="25" t="s">
        <v>76</v>
      </c>
      <c r="I221" s="25" t="s">
        <v>1261</v>
      </c>
      <c r="J221" s="26"/>
      <c r="K221" s="2" t="s">
        <v>868</v>
      </c>
      <c r="N221" s="5" t="s">
        <v>1</v>
      </c>
      <c r="O221" s="5"/>
      <c r="P221" s="26" t="s">
        <v>869</v>
      </c>
    </row>
    <row r="222" spans="3:16" ht="213" hidden="1" customHeight="1">
      <c r="C222" s="25">
        <f t="shared" si="8"/>
        <v>214</v>
      </c>
      <c r="D222" s="25" t="s">
        <v>96</v>
      </c>
      <c r="E222" s="25" t="s">
        <v>870</v>
      </c>
      <c r="F222" s="33">
        <v>45597</v>
      </c>
      <c r="G222" s="196">
        <f t="shared" si="10"/>
        <v>2024</v>
      </c>
      <c r="H222" s="25" t="s">
        <v>871</v>
      </c>
      <c r="I222" s="25" t="s">
        <v>872</v>
      </c>
      <c r="J222" s="2" t="s">
        <v>873</v>
      </c>
      <c r="K222" s="2" t="s">
        <v>874</v>
      </c>
      <c r="N222" s="71" t="s">
        <v>4</v>
      </c>
      <c r="O222" s="62"/>
    </row>
    <row r="223" spans="3:16" ht="28.8" hidden="1">
      <c r="C223" s="25">
        <f t="shared" si="8"/>
        <v>215</v>
      </c>
      <c r="D223" s="25" t="s">
        <v>434</v>
      </c>
      <c r="E223" s="25" t="s">
        <v>875</v>
      </c>
      <c r="F223" s="33">
        <v>45597</v>
      </c>
      <c r="G223" s="196">
        <f t="shared" si="10"/>
        <v>2024</v>
      </c>
      <c r="H223" s="25" t="s">
        <v>2573</v>
      </c>
      <c r="I223" s="25" t="s">
        <v>1261</v>
      </c>
      <c r="K223" s="2" t="s">
        <v>877</v>
      </c>
      <c r="M223" s="64"/>
      <c r="N223" s="5" t="s">
        <v>1</v>
      </c>
      <c r="O223" s="33">
        <v>45670</v>
      </c>
      <c r="P223" s="26" t="s">
        <v>878</v>
      </c>
    </row>
    <row r="224" spans="3:16" ht="43.2" hidden="1">
      <c r="C224" s="25">
        <f t="shared" si="8"/>
        <v>216</v>
      </c>
      <c r="D224" s="25" t="s">
        <v>782</v>
      </c>
      <c r="E224" s="25" t="s">
        <v>879</v>
      </c>
      <c r="F224" s="33">
        <v>45594</v>
      </c>
      <c r="G224" s="196">
        <f t="shared" si="10"/>
        <v>2024</v>
      </c>
      <c r="H224" s="25" t="s">
        <v>880</v>
      </c>
      <c r="I224" s="25"/>
      <c r="J224" s="53" t="s">
        <v>881</v>
      </c>
      <c r="K224" s="1" t="s">
        <v>882</v>
      </c>
      <c r="N224" s="5" t="s">
        <v>1</v>
      </c>
      <c r="O224" s="62"/>
    </row>
    <row r="225" spans="3:16" hidden="1">
      <c r="C225" s="25">
        <f t="shared" si="8"/>
        <v>217</v>
      </c>
      <c r="D225" s="25" t="s">
        <v>47</v>
      </c>
      <c r="E225" s="25" t="s">
        <v>833</v>
      </c>
      <c r="G225" s="181">
        <f t="shared" si="10"/>
        <v>1900</v>
      </c>
      <c r="H225" s="25" t="s">
        <v>779</v>
      </c>
      <c r="N225" s="5" t="s">
        <v>1</v>
      </c>
    </row>
    <row r="226" spans="3:16" ht="43.2" hidden="1">
      <c r="C226" s="25">
        <f t="shared" si="8"/>
        <v>218</v>
      </c>
      <c r="D226" s="25" t="s">
        <v>883</v>
      </c>
      <c r="E226" s="26"/>
      <c r="F226" s="26"/>
      <c r="G226" s="222">
        <f t="shared" si="10"/>
        <v>1900</v>
      </c>
      <c r="H226" s="25" t="s">
        <v>884</v>
      </c>
      <c r="I226" s="25"/>
      <c r="J226" s="2" t="s">
        <v>885</v>
      </c>
      <c r="N226" s="5" t="s">
        <v>1</v>
      </c>
    </row>
    <row r="227" spans="3:16" ht="57.6" hidden="1">
      <c r="C227" s="25">
        <f t="shared" si="8"/>
        <v>219</v>
      </c>
      <c r="D227" s="25" t="s">
        <v>886</v>
      </c>
      <c r="E227" s="25" t="s">
        <v>887</v>
      </c>
      <c r="F227" s="33">
        <v>45594</v>
      </c>
      <c r="G227" s="196">
        <f t="shared" si="10"/>
        <v>2024</v>
      </c>
      <c r="H227" s="25" t="s">
        <v>888</v>
      </c>
      <c r="I227" s="25"/>
      <c r="K227" s="1" t="s">
        <v>889</v>
      </c>
      <c r="N227" s="71" t="s">
        <v>4</v>
      </c>
      <c r="O227" s="62"/>
    </row>
    <row r="228" spans="3:16" hidden="1">
      <c r="C228" s="25">
        <f t="shared" si="8"/>
        <v>220</v>
      </c>
      <c r="D228" s="25" t="s">
        <v>890</v>
      </c>
      <c r="E228" s="25" t="s">
        <v>891</v>
      </c>
      <c r="F228" s="31">
        <v>45594</v>
      </c>
      <c r="G228" s="57">
        <f t="shared" si="10"/>
        <v>2024</v>
      </c>
      <c r="H228" s="25" t="s">
        <v>226</v>
      </c>
      <c r="K228" t="s">
        <v>892</v>
      </c>
      <c r="N228" s="5" t="s">
        <v>1</v>
      </c>
      <c r="O228" s="5"/>
      <c r="P228" t="s">
        <v>893</v>
      </c>
    </row>
    <row r="229" spans="3:16" ht="57.6" hidden="1">
      <c r="C229" s="25">
        <f t="shared" si="8"/>
        <v>221</v>
      </c>
      <c r="D229" s="25" t="s">
        <v>894</v>
      </c>
      <c r="E229" s="25" t="s">
        <v>895</v>
      </c>
      <c r="F229" s="33">
        <v>45600</v>
      </c>
      <c r="G229" s="196">
        <f t="shared" si="10"/>
        <v>2024</v>
      </c>
      <c r="H229" s="25" t="s">
        <v>2613</v>
      </c>
      <c r="I229" s="25" t="s">
        <v>130</v>
      </c>
      <c r="J229" s="2" t="s">
        <v>896</v>
      </c>
      <c r="K229" s="2" t="s">
        <v>897</v>
      </c>
      <c r="N229" s="71" t="s">
        <v>4</v>
      </c>
      <c r="O229" s="62"/>
    </row>
    <row r="230" spans="3:16" ht="43.2" hidden="1">
      <c r="C230" s="25">
        <f t="shared" si="8"/>
        <v>222</v>
      </c>
      <c r="D230" s="25" t="s">
        <v>444</v>
      </c>
      <c r="E230" s="25" t="s">
        <v>898</v>
      </c>
      <c r="F230" s="33">
        <v>45608</v>
      </c>
      <c r="G230" s="196">
        <f t="shared" si="10"/>
        <v>2024</v>
      </c>
      <c r="H230" s="25" t="s">
        <v>130</v>
      </c>
      <c r="J230" s="1" t="s">
        <v>899</v>
      </c>
      <c r="K230" s="2" t="s">
        <v>900</v>
      </c>
      <c r="N230" s="5" t="s">
        <v>1</v>
      </c>
      <c r="O230" s="63">
        <v>45639</v>
      </c>
      <c r="P230" s="26" t="s">
        <v>901</v>
      </c>
    </row>
    <row r="231" spans="3:16" ht="28.8" hidden="1">
      <c r="C231" s="25">
        <f t="shared" si="8"/>
        <v>223</v>
      </c>
      <c r="D231" s="25" t="s">
        <v>444</v>
      </c>
      <c r="E231" s="25" t="s">
        <v>902</v>
      </c>
      <c r="F231" s="33">
        <v>45604</v>
      </c>
      <c r="G231" s="196">
        <f t="shared" si="10"/>
        <v>2024</v>
      </c>
      <c r="H231" s="25"/>
      <c r="J231" s="26" t="s">
        <v>903</v>
      </c>
      <c r="K231" s="2" t="s">
        <v>904</v>
      </c>
      <c r="N231" s="5" t="s">
        <v>1</v>
      </c>
      <c r="O231" s="63">
        <v>45670</v>
      </c>
      <c r="P231" s="26" t="s">
        <v>905</v>
      </c>
    </row>
    <row r="232" spans="3:16" ht="195" hidden="1" customHeight="1">
      <c r="C232" s="25">
        <f t="shared" si="8"/>
        <v>224</v>
      </c>
      <c r="D232" s="25" t="s">
        <v>434</v>
      </c>
      <c r="E232" s="25" t="s">
        <v>906</v>
      </c>
      <c r="F232" s="33">
        <v>45597</v>
      </c>
      <c r="G232" s="196">
        <f t="shared" si="10"/>
        <v>2024</v>
      </c>
      <c r="H232" s="25" t="s">
        <v>76</v>
      </c>
      <c r="I232" s="25" t="s">
        <v>403</v>
      </c>
      <c r="K232" s="2" t="s">
        <v>907</v>
      </c>
      <c r="M232" s="25" t="s">
        <v>73</v>
      </c>
      <c r="N232" s="71" t="s">
        <v>4</v>
      </c>
      <c r="O232" s="63">
        <v>45726</v>
      </c>
      <c r="P232" s="26" t="s">
        <v>908</v>
      </c>
    </row>
    <row r="233" spans="3:16" hidden="1">
      <c r="C233" s="25">
        <f t="shared" si="8"/>
        <v>225</v>
      </c>
      <c r="D233" s="25" t="s">
        <v>612</v>
      </c>
      <c r="E233" s="25" t="s">
        <v>909</v>
      </c>
      <c r="F233" s="33">
        <v>45609</v>
      </c>
      <c r="G233" s="196">
        <f t="shared" si="10"/>
        <v>2024</v>
      </c>
      <c r="H233" t="s">
        <v>608</v>
      </c>
      <c r="K233" s="2"/>
      <c r="L233" s="58">
        <v>1400</v>
      </c>
      <c r="N233" s="5" t="s">
        <v>1</v>
      </c>
      <c r="O233" s="5"/>
      <c r="P233" t="s">
        <v>910</v>
      </c>
    </row>
    <row r="234" spans="3:16" ht="72" hidden="1">
      <c r="C234" s="25">
        <f t="shared" ref="C234:C265" si="11">+C233+1</f>
        <v>226</v>
      </c>
      <c r="D234" s="25" t="s">
        <v>96</v>
      </c>
      <c r="E234" s="25" t="s">
        <v>911</v>
      </c>
      <c r="F234" s="33">
        <v>45609</v>
      </c>
      <c r="G234" s="196">
        <f t="shared" si="10"/>
        <v>2024</v>
      </c>
      <c r="H234" s="25" t="s">
        <v>76</v>
      </c>
      <c r="I234" s="25"/>
      <c r="J234" s="61" t="s">
        <v>912</v>
      </c>
      <c r="K234" s="2" t="s">
        <v>913</v>
      </c>
      <c r="L234" s="34">
        <v>17</v>
      </c>
      <c r="N234" s="5" t="s">
        <v>1</v>
      </c>
      <c r="O234" s="5"/>
      <c r="P234" s="61" t="s">
        <v>914</v>
      </c>
    </row>
    <row r="235" spans="3:16" hidden="1">
      <c r="C235" s="25">
        <f t="shared" si="11"/>
        <v>227</v>
      </c>
      <c r="D235" s="25" t="s">
        <v>270</v>
      </c>
      <c r="E235" s="25" t="s">
        <v>915</v>
      </c>
      <c r="F235" s="33">
        <v>45608</v>
      </c>
      <c r="G235" s="196">
        <f t="shared" si="10"/>
        <v>2024</v>
      </c>
      <c r="H235" s="24" t="s">
        <v>76</v>
      </c>
      <c r="I235" s="24"/>
      <c r="J235" s="59"/>
      <c r="K235" s="26"/>
      <c r="L235" s="34"/>
      <c r="N235" s="5" t="s">
        <v>1</v>
      </c>
      <c r="O235" s="5"/>
      <c r="P235" t="s">
        <v>916</v>
      </c>
    </row>
    <row r="236" spans="3:16" hidden="1">
      <c r="C236" s="25">
        <f t="shared" si="11"/>
        <v>228</v>
      </c>
      <c r="D236" s="25" t="s">
        <v>819</v>
      </c>
      <c r="E236" s="25" t="s">
        <v>917</v>
      </c>
      <c r="F236" s="31">
        <v>45609</v>
      </c>
      <c r="G236" s="57">
        <f t="shared" si="10"/>
        <v>2024</v>
      </c>
      <c r="H236" s="24" t="s">
        <v>918</v>
      </c>
      <c r="I236" s="24"/>
      <c r="L236" s="24">
        <v>13.6</v>
      </c>
      <c r="N236" s="5" t="s">
        <v>1</v>
      </c>
      <c r="O236" s="5"/>
      <c r="P236" t="s">
        <v>919</v>
      </c>
    </row>
    <row r="237" spans="3:16" hidden="1">
      <c r="C237" s="25">
        <f t="shared" si="11"/>
        <v>229</v>
      </c>
      <c r="D237" s="25" t="s">
        <v>633</v>
      </c>
      <c r="E237" s="3" t="s">
        <v>920</v>
      </c>
      <c r="F237" s="33">
        <v>45614</v>
      </c>
      <c r="G237" s="196">
        <f t="shared" si="10"/>
        <v>2024</v>
      </c>
      <c r="H237" s="25" t="s">
        <v>608</v>
      </c>
      <c r="I237" s="25"/>
      <c r="J237" s="59" t="s">
        <v>921</v>
      </c>
      <c r="K237" s="2" t="s">
        <v>922</v>
      </c>
      <c r="L237" s="34">
        <v>22</v>
      </c>
      <c r="N237" s="5" t="s">
        <v>1</v>
      </c>
      <c r="O237" s="5"/>
    </row>
    <row r="238" spans="3:16" ht="118.5" hidden="1" customHeight="1">
      <c r="C238" s="25">
        <f t="shared" si="11"/>
        <v>230</v>
      </c>
      <c r="D238" s="25" t="s">
        <v>329</v>
      </c>
      <c r="E238" s="25" t="s">
        <v>923</v>
      </c>
      <c r="F238" s="33">
        <v>45614</v>
      </c>
      <c r="G238" s="196">
        <f t="shared" si="10"/>
        <v>2024</v>
      </c>
      <c r="H238" s="25" t="s">
        <v>76</v>
      </c>
      <c r="I238" s="25" t="s">
        <v>403</v>
      </c>
      <c r="J238" s="49" t="s">
        <v>924</v>
      </c>
      <c r="K238" s="2" t="s">
        <v>925</v>
      </c>
      <c r="L238" s="25">
        <v>100</v>
      </c>
      <c r="N238" s="133" t="s">
        <v>1</v>
      </c>
      <c r="O238" s="63">
        <v>45726</v>
      </c>
      <c r="P238" s="26" t="s">
        <v>926</v>
      </c>
    </row>
    <row r="239" spans="3:16" hidden="1">
      <c r="C239" s="25">
        <f t="shared" si="11"/>
        <v>231</v>
      </c>
      <c r="D239" s="25" t="s">
        <v>927</v>
      </c>
      <c r="E239" s="25" t="s">
        <v>928</v>
      </c>
      <c r="F239" s="33">
        <v>45614</v>
      </c>
      <c r="G239" s="196">
        <f t="shared" si="10"/>
        <v>2024</v>
      </c>
      <c r="H239" s="25" t="s">
        <v>306</v>
      </c>
      <c r="I239" s="25"/>
      <c r="L239" s="24">
        <v>90</v>
      </c>
      <c r="N239" s="5" t="s">
        <v>1</v>
      </c>
      <c r="O239" s="5"/>
    </row>
    <row r="240" spans="3:16" ht="28.8" hidden="1">
      <c r="C240" s="25">
        <f t="shared" si="11"/>
        <v>232</v>
      </c>
      <c r="D240" s="25" t="s">
        <v>329</v>
      </c>
      <c r="F240" s="33">
        <v>45614</v>
      </c>
      <c r="G240" s="196">
        <f t="shared" si="10"/>
        <v>2024</v>
      </c>
      <c r="H240" s="25" t="s">
        <v>929</v>
      </c>
      <c r="I240" s="25" t="s">
        <v>403</v>
      </c>
      <c r="J240" s="1" t="s">
        <v>930</v>
      </c>
      <c r="N240" s="5" t="s">
        <v>1</v>
      </c>
      <c r="O240" s="62"/>
    </row>
    <row r="241" spans="3:16" hidden="1">
      <c r="C241" s="25">
        <f t="shared" si="11"/>
        <v>233</v>
      </c>
      <c r="D241" s="25" t="s">
        <v>819</v>
      </c>
      <c r="E241" s="25" t="s">
        <v>931</v>
      </c>
      <c r="F241" s="33">
        <v>45614</v>
      </c>
      <c r="G241" s="196">
        <f t="shared" si="10"/>
        <v>2024</v>
      </c>
      <c r="H241" s="25" t="s">
        <v>367</v>
      </c>
      <c r="L241" s="24">
        <v>145</v>
      </c>
      <c r="N241" s="5" t="s">
        <v>1</v>
      </c>
      <c r="O241" s="5"/>
      <c r="P241" t="s">
        <v>932</v>
      </c>
    </row>
    <row r="242" spans="3:16" ht="28.8" hidden="1">
      <c r="C242" s="25">
        <f t="shared" si="11"/>
        <v>234</v>
      </c>
      <c r="D242" s="25" t="s">
        <v>453</v>
      </c>
      <c r="E242" s="25" t="s">
        <v>378</v>
      </c>
      <c r="F242" s="31">
        <v>45621</v>
      </c>
      <c r="G242" s="57">
        <f t="shared" si="10"/>
        <v>2024</v>
      </c>
      <c r="H242" s="25" t="s">
        <v>2283</v>
      </c>
      <c r="I242" s="25" t="s">
        <v>1252</v>
      </c>
      <c r="J242" s="25"/>
      <c r="K242" s="49" t="s">
        <v>934</v>
      </c>
      <c r="N242" s="5" t="s">
        <v>1</v>
      </c>
      <c r="O242" s="63">
        <v>45635</v>
      </c>
      <c r="P242" s="2" t="s">
        <v>935</v>
      </c>
    </row>
    <row r="243" spans="3:16" ht="86.4" hidden="1">
      <c r="C243" s="25">
        <f t="shared" si="11"/>
        <v>235</v>
      </c>
      <c r="D243" s="25" t="s">
        <v>270</v>
      </c>
      <c r="E243" s="25" t="s">
        <v>936</v>
      </c>
      <c r="F243" s="33">
        <v>45618</v>
      </c>
      <c r="G243" s="196">
        <f t="shared" si="10"/>
        <v>2024</v>
      </c>
      <c r="H243" s="25" t="s">
        <v>76</v>
      </c>
      <c r="K243" s="1" t="s">
        <v>937</v>
      </c>
      <c r="N243" s="5" t="s">
        <v>1</v>
      </c>
      <c r="O243" s="63">
        <v>45691</v>
      </c>
      <c r="P243" s="25" t="s">
        <v>938</v>
      </c>
    </row>
    <row r="244" spans="3:16" ht="72" hidden="1">
      <c r="C244" s="25">
        <f t="shared" si="11"/>
        <v>236</v>
      </c>
      <c r="D244" s="25" t="s">
        <v>96</v>
      </c>
      <c r="E244" s="25" t="s">
        <v>939</v>
      </c>
      <c r="F244" s="33">
        <v>45621</v>
      </c>
      <c r="G244" s="196">
        <f t="shared" si="10"/>
        <v>2024</v>
      </c>
      <c r="H244" s="25" t="s">
        <v>195</v>
      </c>
      <c r="I244" s="25"/>
      <c r="J244" s="1" t="s">
        <v>940</v>
      </c>
      <c r="K244" s="2" t="s">
        <v>941</v>
      </c>
      <c r="L244" s="25">
        <v>30</v>
      </c>
      <c r="N244" s="5" t="s">
        <v>1</v>
      </c>
      <c r="O244" s="63">
        <v>45636</v>
      </c>
      <c r="P244" s="26" t="s">
        <v>942</v>
      </c>
    </row>
    <row r="245" spans="3:16" hidden="1">
      <c r="C245" s="25">
        <f t="shared" si="11"/>
        <v>237</v>
      </c>
      <c r="D245" s="25" t="s">
        <v>612</v>
      </c>
      <c r="E245" s="25" t="s">
        <v>943</v>
      </c>
      <c r="F245" s="33">
        <v>45622</v>
      </c>
      <c r="G245" s="196">
        <f t="shared" si="10"/>
        <v>2024</v>
      </c>
      <c r="H245" s="25" t="s">
        <v>944</v>
      </c>
      <c r="I245" s="25"/>
      <c r="K245" s="49" t="s">
        <v>945</v>
      </c>
      <c r="N245" s="9" t="s">
        <v>4</v>
      </c>
      <c r="O245" s="62"/>
    </row>
    <row r="246" spans="3:16" ht="28.8" hidden="1">
      <c r="C246" s="25">
        <f t="shared" si="11"/>
        <v>238</v>
      </c>
      <c r="D246" s="25" t="s">
        <v>96</v>
      </c>
      <c r="E246" s="25" t="s">
        <v>946</v>
      </c>
      <c r="F246" s="33">
        <v>45622</v>
      </c>
      <c r="G246" s="196">
        <f t="shared" si="10"/>
        <v>2024</v>
      </c>
      <c r="H246" s="25" t="s">
        <v>76</v>
      </c>
      <c r="I246" s="25"/>
      <c r="J246" s="49" t="s">
        <v>947</v>
      </c>
      <c r="K246" s="53" t="s">
        <v>922</v>
      </c>
      <c r="N246" s="5" t="s">
        <v>1</v>
      </c>
      <c r="O246" s="63">
        <v>45643</v>
      </c>
      <c r="P246" s="2" t="s">
        <v>948</v>
      </c>
    </row>
    <row r="247" spans="3:16" ht="43.2" hidden="1">
      <c r="C247" s="25">
        <f t="shared" si="11"/>
        <v>239</v>
      </c>
      <c r="D247" s="25" t="s">
        <v>440</v>
      </c>
      <c r="E247" s="25" t="s">
        <v>949</v>
      </c>
      <c r="F247" s="33">
        <v>45624</v>
      </c>
      <c r="G247" s="196">
        <f t="shared" si="10"/>
        <v>2024</v>
      </c>
      <c r="H247" s="25" t="s">
        <v>1050</v>
      </c>
      <c r="I247" s="25" t="s">
        <v>226</v>
      </c>
      <c r="K247" s="1" t="s">
        <v>950</v>
      </c>
      <c r="N247" s="36" t="s">
        <v>3</v>
      </c>
      <c r="O247" s="62"/>
    </row>
    <row r="248" spans="3:16" ht="28.8" hidden="1">
      <c r="C248" s="25">
        <f>+C247+1</f>
        <v>240</v>
      </c>
      <c r="D248" s="25" t="s">
        <v>320</v>
      </c>
      <c r="E248" s="25" t="s">
        <v>951</v>
      </c>
      <c r="F248" s="33">
        <v>45624</v>
      </c>
      <c r="G248" s="196">
        <f t="shared" si="10"/>
        <v>2024</v>
      </c>
      <c r="H248" s="25" t="s">
        <v>306</v>
      </c>
      <c r="I248" s="25"/>
      <c r="J248" s="25" t="s">
        <v>952</v>
      </c>
      <c r="K248" s="49" t="s">
        <v>953</v>
      </c>
      <c r="L248" s="25">
        <v>10</v>
      </c>
      <c r="N248" s="5" t="s">
        <v>1</v>
      </c>
      <c r="O248" s="63">
        <v>45636</v>
      </c>
      <c r="P248" s="2" t="s">
        <v>954</v>
      </c>
    </row>
    <row r="249" spans="3:16" ht="28.8" hidden="1">
      <c r="C249" s="25">
        <f t="shared" si="11"/>
        <v>241</v>
      </c>
      <c r="D249" s="25" t="s">
        <v>612</v>
      </c>
      <c r="E249" s="25" t="s">
        <v>955</v>
      </c>
      <c r="F249" s="33">
        <v>45628</v>
      </c>
      <c r="G249" s="196">
        <f t="shared" si="10"/>
        <v>2024</v>
      </c>
      <c r="H249" s="25" t="s">
        <v>608</v>
      </c>
      <c r="I249" s="25"/>
      <c r="J249" s="24" t="s">
        <v>956</v>
      </c>
      <c r="K249" s="49" t="s">
        <v>953</v>
      </c>
      <c r="N249" s="5" t="s">
        <v>1</v>
      </c>
      <c r="O249" s="63">
        <v>45636</v>
      </c>
      <c r="P249" s="2" t="s">
        <v>957</v>
      </c>
    </row>
    <row r="250" spans="3:16" ht="28.8" hidden="1">
      <c r="C250" s="25">
        <f t="shared" si="11"/>
        <v>242</v>
      </c>
      <c r="D250" s="25" t="s">
        <v>819</v>
      </c>
      <c r="E250" s="25" t="s">
        <v>958</v>
      </c>
      <c r="F250" s="33">
        <v>45624</v>
      </c>
      <c r="G250" s="196">
        <f t="shared" si="10"/>
        <v>2024</v>
      </c>
      <c r="H250" s="25" t="s">
        <v>959</v>
      </c>
      <c r="I250" s="25"/>
      <c r="J250" s="25" t="s">
        <v>960</v>
      </c>
      <c r="K250" s="49" t="s">
        <v>961</v>
      </c>
      <c r="N250" s="5" t="s">
        <v>1</v>
      </c>
      <c r="O250" s="63">
        <v>45636</v>
      </c>
      <c r="P250" s="2" t="s">
        <v>962</v>
      </c>
    </row>
    <row r="251" spans="3:16" ht="243" hidden="1" customHeight="1">
      <c r="C251" s="25">
        <f t="shared" si="11"/>
        <v>243</v>
      </c>
      <c r="D251" s="25" t="s">
        <v>963</v>
      </c>
      <c r="E251" s="25" t="s">
        <v>964</v>
      </c>
      <c r="F251" s="33">
        <v>45636</v>
      </c>
      <c r="G251" s="196">
        <f t="shared" si="10"/>
        <v>2024</v>
      </c>
      <c r="H251" s="25" t="s">
        <v>76</v>
      </c>
      <c r="K251" s="49" t="s">
        <v>965</v>
      </c>
      <c r="N251" s="5" t="s">
        <v>1</v>
      </c>
      <c r="O251" s="63">
        <v>45751</v>
      </c>
      <c r="P251" s="2" t="s">
        <v>966</v>
      </c>
    </row>
    <row r="252" spans="3:16" hidden="1">
      <c r="C252" s="25">
        <f t="shared" si="11"/>
        <v>244</v>
      </c>
      <c r="D252" s="25" t="s">
        <v>967</v>
      </c>
      <c r="E252" s="25" t="s">
        <v>967</v>
      </c>
      <c r="F252" s="33">
        <v>45608</v>
      </c>
      <c r="G252" s="196">
        <f t="shared" si="10"/>
        <v>2024</v>
      </c>
      <c r="H252" s="25" t="s">
        <v>2618</v>
      </c>
      <c r="I252" s="25" t="s">
        <v>1767</v>
      </c>
      <c r="N252" s="5" t="s">
        <v>1</v>
      </c>
    </row>
    <row r="253" spans="3:16" ht="72" hidden="1">
      <c r="C253" s="25">
        <f t="shared" si="11"/>
        <v>245</v>
      </c>
      <c r="D253" s="25" t="s">
        <v>96</v>
      </c>
      <c r="E253" s="25" t="s">
        <v>968</v>
      </c>
      <c r="F253" s="33">
        <v>45638</v>
      </c>
      <c r="G253" s="196">
        <f t="shared" si="10"/>
        <v>2024</v>
      </c>
      <c r="H253" s="25" t="s">
        <v>2573</v>
      </c>
      <c r="I253" s="25" t="s">
        <v>1261</v>
      </c>
      <c r="J253" s="2" t="s">
        <v>970</v>
      </c>
      <c r="K253" s="49" t="s">
        <v>971</v>
      </c>
      <c r="N253" s="5" t="s">
        <v>1</v>
      </c>
      <c r="O253" s="63">
        <v>45670</v>
      </c>
      <c r="P253" s="26" t="s">
        <v>972</v>
      </c>
    </row>
    <row r="254" spans="3:16" ht="72" hidden="1">
      <c r="C254" s="25">
        <f t="shared" si="11"/>
        <v>246</v>
      </c>
      <c r="D254" s="25" t="s">
        <v>96</v>
      </c>
      <c r="E254" s="25" t="s">
        <v>973</v>
      </c>
      <c r="F254" s="33">
        <v>45635</v>
      </c>
      <c r="G254" s="196">
        <f t="shared" si="10"/>
        <v>2024</v>
      </c>
      <c r="H254" s="25" t="s">
        <v>974</v>
      </c>
      <c r="I254" s="25" t="s">
        <v>130</v>
      </c>
      <c r="J254" s="25" t="s">
        <v>975</v>
      </c>
      <c r="K254" s="49" t="s">
        <v>976</v>
      </c>
      <c r="N254" s="5" t="s">
        <v>1</v>
      </c>
      <c r="O254" s="33">
        <v>45684</v>
      </c>
      <c r="P254" s="2" t="s">
        <v>977</v>
      </c>
    </row>
    <row r="255" spans="3:16" ht="43.2" hidden="1">
      <c r="C255" s="25">
        <f t="shared" si="11"/>
        <v>247</v>
      </c>
      <c r="D255" s="25" t="s">
        <v>978</v>
      </c>
      <c r="F255" s="33">
        <v>45636</v>
      </c>
      <c r="G255" s="196">
        <f t="shared" si="10"/>
        <v>2024</v>
      </c>
      <c r="H255" s="25" t="s">
        <v>646</v>
      </c>
      <c r="K255" s="49" t="s">
        <v>979</v>
      </c>
      <c r="N255" s="71" t="s">
        <v>4</v>
      </c>
    </row>
    <row r="256" spans="3:16" hidden="1">
      <c r="C256" s="25">
        <f t="shared" si="11"/>
        <v>248</v>
      </c>
      <c r="D256" s="25" t="s">
        <v>96</v>
      </c>
      <c r="E256" s="25" t="s">
        <v>980</v>
      </c>
      <c r="F256" s="33">
        <v>45636</v>
      </c>
      <c r="G256" s="196">
        <f t="shared" si="10"/>
        <v>2024</v>
      </c>
      <c r="H256" s="25" t="s">
        <v>403</v>
      </c>
      <c r="K256" s="49" t="s">
        <v>981</v>
      </c>
      <c r="N256" s="5" t="s">
        <v>1</v>
      </c>
      <c r="O256" s="63">
        <v>45670</v>
      </c>
      <c r="P256" s="26" t="s">
        <v>982</v>
      </c>
    </row>
    <row r="257" spans="3:16" hidden="1">
      <c r="C257" s="25">
        <f t="shared" si="11"/>
        <v>249</v>
      </c>
      <c r="D257" s="24" t="s">
        <v>369</v>
      </c>
      <c r="E257" s="25" t="s">
        <v>983</v>
      </c>
      <c r="F257" s="33">
        <v>45636</v>
      </c>
      <c r="G257" s="196">
        <f t="shared" si="10"/>
        <v>2024</v>
      </c>
      <c r="H257" s="25" t="s">
        <v>76</v>
      </c>
      <c r="K257" s="49" t="s">
        <v>984</v>
      </c>
      <c r="N257" s="5" t="s">
        <v>1</v>
      </c>
    </row>
    <row r="258" spans="3:16" hidden="1">
      <c r="C258" s="25">
        <f t="shared" si="11"/>
        <v>250</v>
      </c>
      <c r="D258" s="24" t="s">
        <v>985</v>
      </c>
      <c r="E258" s="25" t="s">
        <v>986</v>
      </c>
      <c r="F258" s="33">
        <v>45636</v>
      </c>
      <c r="G258" s="196">
        <f t="shared" si="10"/>
        <v>2024</v>
      </c>
      <c r="H258" s="25" t="s">
        <v>2432</v>
      </c>
      <c r="I258" s="24" t="s">
        <v>872</v>
      </c>
      <c r="K258" s="49"/>
      <c r="N258" s="5" t="s">
        <v>1</v>
      </c>
      <c r="O258" s="63">
        <v>45670</v>
      </c>
      <c r="P258" t="s">
        <v>988</v>
      </c>
    </row>
    <row r="259" spans="3:16" hidden="1">
      <c r="C259" s="25">
        <f t="shared" si="11"/>
        <v>251</v>
      </c>
      <c r="D259" s="24" t="s">
        <v>989</v>
      </c>
      <c r="E259" s="25" t="s">
        <v>990</v>
      </c>
      <c r="F259" s="33">
        <v>45635</v>
      </c>
      <c r="G259" s="196">
        <f t="shared" si="10"/>
        <v>2024</v>
      </c>
      <c r="H259" s="24" t="s">
        <v>367</v>
      </c>
      <c r="L259" s="24">
        <v>96</v>
      </c>
      <c r="N259" s="5" t="s">
        <v>1</v>
      </c>
      <c r="O259" s="63">
        <v>45636</v>
      </c>
      <c r="P259" t="s">
        <v>991</v>
      </c>
    </row>
    <row r="260" spans="3:16" ht="28.8" hidden="1">
      <c r="C260" s="25">
        <f>+C259+1</f>
        <v>252</v>
      </c>
      <c r="D260" s="25" t="s">
        <v>992</v>
      </c>
      <c r="E260" s="25" t="s">
        <v>993</v>
      </c>
      <c r="F260" s="33">
        <v>45637</v>
      </c>
      <c r="G260" s="196">
        <f t="shared" si="10"/>
        <v>2024</v>
      </c>
      <c r="H260" s="25" t="s">
        <v>994</v>
      </c>
      <c r="K260" s="49" t="s">
        <v>995</v>
      </c>
      <c r="L260" s="47">
        <v>2000</v>
      </c>
      <c r="N260" s="71" t="s">
        <v>4</v>
      </c>
    </row>
    <row r="261" spans="3:16" hidden="1">
      <c r="C261" s="25">
        <f t="shared" si="11"/>
        <v>253</v>
      </c>
      <c r="D261" s="24" t="s">
        <v>86</v>
      </c>
      <c r="E261" s="25" t="s">
        <v>996</v>
      </c>
      <c r="F261" s="33">
        <v>45637</v>
      </c>
      <c r="G261" s="196">
        <f t="shared" si="10"/>
        <v>2024</v>
      </c>
      <c r="H261" t="s">
        <v>608</v>
      </c>
      <c r="J261" t="s">
        <v>997</v>
      </c>
      <c r="L261" s="25">
        <v>88</v>
      </c>
      <c r="N261" s="5" t="s">
        <v>1</v>
      </c>
      <c r="O261" s="63">
        <v>45643</v>
      </c>
      <c r="P261" s="26" t="s">
        <v>991</v>
      </c>
    </row>
    <row r="262" spans="3:16" ht="57.6" hidden="1">
      <c r="C262" s="25">
        <f t="shared" si="11"/>
        <v>254</v>
      </c>
      <c r="D262" s="25" t="s">
        <v>86</v>
      </c>
      <c r="E262" s="26" t="s">
        <v>998</v>
      </c>
      <c r="F262" s="33">
        <v>45637</v>
      </c>
      <c r="G262" s="196">
        <f t="shared" si="10"/>
        <v>2024</v>
      </c>
      <c r="H262" s="26" t="s">
        <v>608</v>
      </c>
      <c r="I262" s="26"/>
      <c r="J262" s="2" t="s">
        <v>999</v>
      </c>
      <c r="K262" s="26"/>
      <c r="L262" s="26"/>
      <c r="M262" s="26"/>
      <c r="N262" s="5" t="s">
        <v>1</v>
      </c>
      <c r="O262" s="63">
        <v>45643</v>
      </c>
      <c r="P262" s="26" t="s">
        <v>991</v>
      </c>
    </row>
    <row r="263" spans="3:16" ht="64.5" hidden="1" customHeight="1">
      <c r="C263" s="25">
        <f t="shared" si="11"/>
        <v>255</v>
      </c>
      <c r="D263" s="25" t="s">
        <v>1000</v>
      </c>
      <c r="E263" s="25" t="s">
        <v>1001</v>
      </c>
      <c r="F263" s="33">
        <v>45637</v>
      </c>
      <c r="G263" s="196">
        <f t="shared" si="10"/>
        <v>2024</v>
      </c>
      <c r="H263" s="25" t="s">
        <v>1002</v>
      </c>
      <c r="I263" s="26"/>
      <c r="J263" s="2" t="s">
        <v>1003</v>
      </c>
      <c r="K263" s="26"/>
      <c r="L263" s="26"/>
      <c r="N263" s="5" t="s">
        <v>1</v>
      </c>
      <c r="O263" s="63">
        <v>45643</v>
      </c>
      <c r="P263" s="2" t="s">
        <v>1004</v>
      </c>
    </row>
    <row r="264" spans="3:16" hidden="1">
      <c r="C264" s="25">
        <f t="shared" si="11"/>
        <v>256</v>
      </c>
      <c r="D264" s="25" t="s">
        <v>1005</v>
      </c>
      <c r="E264" s="25" t="s">
        <v>1006</v>
      </c>
      <c r="F264" s="33">
        <v>45637</v>
      </c>
      <c r="G264" s="196">
        <f t="shared" si="10"/>
        <v>2024</v>
      </c>
      <c r="H264" s="26" t="s">
        <v>608</v>
      </c>
      <c r="J264" s="2" t="s">
        <v>1007</v>
      </c>
      <c r="N264" s="5" t="s">
        <v>1</v>
      </c>
      <c r="O264" s="63">
        <v>45643</v>
      </c>
      <c r="P264" s="26" t="s">
        <v>1008</v>
      </c>
    </row>
    <row r="265" spans="3:16" ht="90.9" hidden="1" customHeight="1">
      <c r="C265" s="25">
        <f t="shared" si="11"/>
        <v>257</v>
      </c>
      <c r="D265" s="26"/>
      <c r="E265" s="26"/>
      <c r="F265" s="33">
        <v>45639</v>
      </c>
      <c r="G265" s="196">
        <f t="shared" ref="G265:G328" si="12">+YEAR(F265)</f>
        <v>2024</v>
      </c>
      <c r="H265" s="25" t="s">
        <v>1009</v>
      </c>
      <c r="I265" s="26"/>
      <c r="J265" s="2" t="s">
        <v>1010</v>
      </c>
      <c r="K265" s="26"/>
      <c r="L265" s="26"/>
      <c r="M265" s="26"/>
      <c r="N265" s="71" t="s">
        <v>4</v>
      </c>
      <c r="O265" s="26"/>
      <c r="P265" s="26"/>
    </row>
    <row r="266" spans="3:16" ht="28.8" hidden="1">
      <c r="C266" s="25">
        <f t="shared" ref="C266:C381" si="13">+C265+1</f>
        <v>258</v>
      </c>
      <c r="D266" s="25" t="s">
        <v>1011</v>
      </c>
      <c r="E266" s="26"/>
      <c r="F266" s="33">
        <v>45639</v>
      </c>
      <c r="G266" s="196">
        <f t="shared" si="12"/>
        <v>2024</v>
      </c>
      <c r="H266" s="25" t="s">
        <v>1012</v>
      </c>
      <c r="I266" s="26"/>
      <c r="J266" s="2" t="s">
        <v>1013</v>
      </c>
      <c r="K266" s="26"/>
      <c r="L266" s="25">
        <v>5.6</v>
      </c>
      <c r="M266" s="26"/>
      <c r="N266" s="5" t="s">
        <v>1</v>
      </c>
      <c r="O266" s="63">
        <v>45643</v>
      </c>
    </row>
    <row r="267" spans="3:16" ht="86.4" hidden="1">
      <c r="C267" s="25">
        <f t="shared" si="13"/>
        <v>259</v>
      </c>
      <c r="D267" s="25" t="s">
        <v>96</v>
      </c>
      <c r="E267" s="25" t="s">
        <v>1014</v>
      </c>
      <c r="F267" s="33">
        <v>45643</v>
      </c>
      <c r="G267" s="196">
        <f t="shared" si="12"/>
        <v>2024</v>
      </c>
      <c r="H267" s="25" t="s">
        <v>403</v>
      </c>
      <c r="J267" s="2" t="s">
        <v>1015</v>
      </c>
      <c r="K267" s="49" t="s">
        <v>1016</v>
      </c>
      <c r="M267" s="25" t="s">
        <v>122</v>
      </c>
      <c r="N267" s="71" t="s">
        <v>4</v>
      </c>
    </row>
    <row r="268" spans="3:16" ht="28.8" hidden="1">
      <c r="C268" s="25">
        <f t="shared" si="13"/>
        <v>260</v>
      </c>
      <c r="D268" s="25" t="s">
        <v>96</v>
      </c>
      <c r="E268" s="25" t="s">
        <v>1017</v>
      </c>
      <c r="F268" s="33">
        <v>45643</v>
      </c>
      <c r="G268" s="196">
        <f t="shared" si="12"/>
        <v>2024</v>
      </c>
      <c r="H268" s="25" t="s">
        <v>2427</v>
      </c>
      <c r="I268" s="25" t="s">
        <v>872</v>
      </c>
      <c r="J268" s="2" t="s">
        <v>1019</v>
      </c>
      <c r="K268" s="1" t="s">
        <v>1020</v>
      </c>
      <c r="N268" s="5" t="s">
        <v>1</v>
      </c>
      <c r="O268" s="33">
        <v>45677</v>
      </c>
      <c r="P268" s="2" t="s">
        <v>1021</v>
      </c>
    </row>
    <row r="269" spans="3:16" ht="43.2" hidden="1">
      <c r="C269" s="25">
        <f t="shared" si="13"/>
        <v>261</v>
      </c>
      <c r="D269" s="25" t="s">
        <v>1022</v>
      </c>
      <c r="E269" s="25" t="s">
        <v>1023</v>
      </c>
      <c r="F269" s="33">
        <v>45643</v>
      </c>
      <c r="G269" s="196">
        <f t="shared" si="12"/>
        <v>2024</v>
      </c>
      <c r="H269" s="25" t="s">
        <v>1024</v>
      </c>
      <c r="J269" s="2" t="s">
        <v>1025</v>
      </c>
      <c r="K269" s="1" t="s">
        <v>1026</v>
      </c>
      <c r="M269" s="25" t="s">
        <v>122</v>
      </c>
      <c r="N269" s="5" t="s">
        <v>1</v>
      </c>
      <c r="O269" s="33">
        <v>45677</v>
      </c>
      <c r="P269" s="26" t="s">
        <v>1027</v>
      </c>
    </row>
    <row r="270" spans="3:16" ht="129.6" hidden="1">
      <c r="C270" s="25">
        <f t="shared" si="13"/>
        <v>262</v>
      </c>
      <c r="D270" s="25" t="s">
        <v>444</v>
      </c>
      <c r="E270" s="25" t="s">
        <v>1028</v>
      </c>
      <c r="F270" s="33">
        <v>45643</v>
      </c>
      <c r="G270" s="196">
        <f t="shared" si="12"/>
        <v>2024</v>
      </c>
      <c r="H270" s="25" t="s">
        <v>820</v>
      </c>
      <c r="J270" s="2" t="s">
        <v>1029</v>
      </c>
      <c r="K270" s="1" t="s">
        <v>1030</v>
      </c>
      <c r="M270" s="25" t="s">
        <v>90</v>
      </c>
      <c r="N270" s="5" t="s">
        <v>1</v>
      </c>
      <c r="O270" s="64">
        <v>45783</v>
      </c>
      <c r="P270" s="53" t="s">
        <v>1031</v>
      </c>
    </row>
    <row r="271" spans="3:16" ht="72" hidden="1">
      <c r="C271" s="25">
        <f t="shared" si="13"/>
        <v>263</v>
      </c>
      <c r="D271" s="25" t="s">
        <v>96</v>
      </c>
      <c r="E271" s="25" t="s">
        <v>536</v>
      </c>
      <c r="F271" s="33">
        <v>45663</v>
      </c>
      <c r="G271" s="196">
        <f t="shared" si="12"/>
        <v>2025</v>
      </c>
      <c r="H271" s="25" t="s">
        <v>76</v>
      </c>
      <c r="I271" s="25" t="s">
        <v>403</v>
      </c>
      <c r="J271" s="3" t="s">
        <v>1032</v>
      </c>
      <c r="K271" s="49" t="s">
        <v>1033</v>
      </c>
      <c r="L271" s="25">
        <v>17</v>
      </c>
      <c r="M271" s="25" t="s">
        <v>1034</v>
      </c>
      <c r="N271" s="5" t="s">
        <v>1</v>
      </c>
      <c r="O271" s="33">
        <v>45686</v>
      </c>
      <c r="P271" s="3" t="s">
        <v>1035</v>
      </c>
    </row>
    <row r="272" spans="3:16" ht="72" hidden="1">
      <c r="C272" s="25">
        <f t="shared" si="13"/>
        <v>264</v>
      </c>
      <c r="D272" s="25" t="s">
        <v>1036</v>
      </c>
      <c r="E272" s="25" t="s">
        <v>1037</v>
      </c>
      <c r="F272" s="33">
        <v>45663</v>
      </c>
      <c r="G272" s="196">
        <f t="shared" si="12"/>
        <v>2025</v>
      </c>
      <c r="H272" s="25" t="s">
        <v>1038</v>
      </c>
      <c r="I272" s="25" t="s">
        <v>403</v>
      </c>
      <c r="J272" s="3" t="s">
        <v>1039</v>
      </c>
      <c r="K272" s="49" t="s">
        <v>1040</v>
      </c>
      <c r="L272" s="25">
        <v>50</v>
      </c>
      <c r="M272" s="25" t="s">
        <v>1034</v>
      </c>
      <c r="N272" s="71" t="s">
        <v>4</v>
      </c>
      <c r="O272" s="25"/>
      <c r="P272" s="25"/>
    </row>
    <row r="273" spans="3:16" ht="47.1" hidden="1" customHeight="1">
      <c r="C273" s="25">
        <f t="shared" si="13"/>
        <v>265</v>
      </c>
      <c r="D273" s="25" t="s">
        <v>1036</v>
      </c>
      <c r="E273" s="25" t="s">
        <v>1041</v>
      </c>
      <c r="F273" s="33">
        <v>45663</v>
      </c>
      <c r="G273" s="196">
        <f t="shared" si="12"/>
        <v>2025</v>
      </c>
      <c r="H273" s="25" t="s">
        <v>1042</v>
      </c>
      <c r="I273" s="25" t="s">
        <v>403</v>
      </c>
      <c r="J273" s="3" t="s">
        <v>1043</v>
      </c>
      <c r="K273" s="49" t="s">
        <v>1044</v>
      </c>
      <c r="L273" s="25">
        <v>28</v>
      </c>
      <c r="M273" s="25" t="s">
        <v>1034</v>
      </c>
      <c r="N273" s="5" t="s">
        <v>1</v>
      </c>
      <c r="O273" s="33">
        <v>45687</v>
      </c>
      <c r="P273" s="25"/>
    </row>
    <row r="274" spans="3:16" ht="28.8" hidden="1">
      <c r="C274" s="25">
        <f t="shared" si="13"/>
        <v>266</v>
      </c>
      <c r="D274" s="25" t="s">
        <v>1045</v>
      </c>
      <c r="E274" s="25" t="s">
        <v>1046</v>
      </c>
      <c r="F274" s="33">
        <v>45663</v>
      </c>
      <c r="G274" s="196">
        <f t="shared" si="12"/>
        <v>2025</v>
      </c>
      <c r="H274" s="25" t="s">
        <v>119</v>
      </c>
      <c r="I274" s="25" t="s">
        <v>403</v>
      </c>
      <c r="J274" s="3" t="s">
        <v>1047</v>
      </c>
      <c r="K274" s="53" t="s">
        <v>1048</v>
      </c>
      <c r="L274" s="25"/>
      <c r="M274" s="25" t="s">
        <v>1034</v>
      </c>
      <c r="N274" s="71" t="s">
        <v>4</v>
      </c>
      <c r="O274" s="25"/>
      <c r="P274" s="25"/>
    </row>
    <row r="275" spans="3:16" ht="28.8" hidden="1">
      <c r="C275" s="25">
        <f>+C274+1</f>
        <v>267</v>
      </c>
      <c r="D275" s="25" t="s">
        <v>440</v>
      </c>
      <c r="E275" s="25" t="s">
        <v>1049</v>
      </c>
      <c r="F275" s="33">
        <v>45670</v>
      </c>
      <c r="G275" s="196">
        <f t="shared" si="12"/>
        <v>2025</v>
      </c>
      <c r="H275" s="25" t="s">
        <v>1050</v>
      </c>
      <c r="I275" s="25" t="s">
        <v>403</v>
      </c>
      <c r="J275" s="25"/>
      <c r="K275" s="25"/>
      <c r="L275" s="25"/>
      <c r="M275" s="25"/>
      <c r="N275" s="5" t="s">
        <v>1</v>
      </c>
      <c r="O275" s="33">
        <v>45677</v>
      </c>
      <c r="P275" s="49" t="s">
        <v>1051</v>
      </c>
    </row>
    <row r="276" spans="3:16" ht="43.2" hidden="1">
      <c r="C276" s="25">
        <f t="shared" si="13"/>
        <v>268</v>
      </c>
      <c r="D276" s="25" t="s">
        <v>96</v>
      </c>
      <c r="E276" s="25" t="s">
        <v>1052</v>
      </c>
      <c r="F276" s="33">
        <v>45673</v>
      </c>
      <c r="G276" s="196">
        <f t="shared" si="12"/>
        <v>2025</v>
      </c>
      <c r="H276" s="25" t="s">
        <v>76</v>
      </c>
      <c r="I276" s="25" t="s">
        <v>403</v>
      </c>
      <c r="J276" s="3" t="s">
        <v>1053</v>
      </c>
      <c r="K276" s="49" t="s">
        <v>1054</v>
      </c>
      <c r="L276" s="25">
        <v>80</v>
      </c>
      <c r="M276" s="25" t="s">
        <v>1034</v>
      </c>
      <c r="N276" s="5" t="s">
        <v>1</v>
      </c>
      <c r="O276" s="33">
        <v>45705</v>
      </c>
      <c r="P276" s="3" t="s">
        <v>1055</v>
      </c>
    </row>
    <row r="277" spans="3:16" ht="28.8" hidden="1">
      <c r="C277" s="25">
        <f t="shared" si="13"/>
        <v>269</v>
      </c>
      <c r="D277" s="25" t="s">
        <v>86</v>
      </c>
      <c r="E277" s="25" t="s">
        <v>1056</v>
      </c>
      <c r="F277" s="33">
        <v>45674</v>
      </c>
      <c r="G277" s="196">
        <f t="shared" si="12"/>
        <v>2025</v>
      </c>
      <c r="H277" s="25" t="s">
        <v>76</v>
      </c>
      <c r="I277" s="25" t="s">
        <v>403</v>
      </c>
      <c r="J277" s="25"/>
      <c r="K277" s="49" t="s">
        <v>1057</v>
      </c>
      <c r="L277" s="25"/>
      <c r="M277" s="25" t="s">
        <v>90</v>
      </c>
      <c r="N277" s="5" t="s">
        <v>1</v>
      </c>
      <c r="O277" s="33">
        <v>45677</v>
      </c>
      <c r="P277" s="53" t="s">
        <v>1058</v>
      </c>
    </row>
    <row r="278" spans="3:16" ht="28.8" hidden="1">
      <c r="C278" s="25">
        <f t="shared" si="13"/>
        <v>270</v>
      </c>
      <c r="D278" s="25" t="s">
        <v>612</v>
      </c>
      <c r="E278" s="25" t="s">
        <v>1059</v>
      </c>
      <c r="F278" s="33">
        <v>45674</v>
      </c>
      <c r="G278" s="196">
        <f t="shared" si="12"/>
        <v>2025</v>
      </c>
      <c r="H278" s="25" t="s">
        <v>1060</v>
      </c>
      <c r="I278" s="25" t="s">
        <v>403</v>
      </c>
      <c r="J278" s="25"/>
      <c r="K278" s="55" t="s">
        <v>1061</v>
      </c>
      <c r="L278" s="25"/>
      <c r="M278" s="25"/>
      <c r="N278" s="5" t="s">
        <v>1</v>
      </c>
      <c r="O278" s="33">
        <v>45705</v>
      </c>
      <c r="P278" s="25" t="s">
        <v>1062</v>
      </c>
    </row>
    <row r="279" spans="3:16" ht="86.4" hidden="1">
      <c r="C279" s="25">
        <f t="shared" si="13"/>
        <v>271</v>
      </c>
      <c r="D279" s="25" t="s">
        <v>1045</v>
      </c>
      <c r="E279" s="25" t="s">
        <v>1063</v>
      </c>
      <c r="F279" s="33">
        <v>45674</v>
      </c>
      <c r="G279" s="196">
        <f t="shared" si="12"/>
        <v>2025</v>
      </c>
      <c r="H279" s="25" t="s">
        <v>425</v>
      </c>
      <c r="I279" s="25" t="s">
        <v>403</v>
      </c>
      <c r="J279" s="3" t="s">
        <v>1064</v>
      </c>
      <c r="K279" s="49" t="s">
        <v>1065</v>
      </c>
      <c r="L279" s="25"/>
      <c r="M279" s="25" t="s">
        <v>1034</v>
      </c>
      <c r="N279" s="5" t="s">
        <v>1</v>
      </c>
      <c r="O279" s="33">
        <v>45726</v>
      </c>
      <c r="P279" s="25" t="s">
        <v>1066</v>
      </c>
    </row>
    <row r="280" spans="3:16" ht="57.6" hidden="1">
      <c r="C280" s="25">
        <f t="shared" si="13"/>
        <v>272</v>
      </c>
      <c r="D280" s="25" t="s">
        <v>1045</v>
      </c>
      <c r="E280" s="25" t="s">
        <v>1067</v>
      </c>
      <c r="F280" s="33">
        <v>45674</v>
      </c>
      <c r="G280" s="196">
        <f t="shared" si="12"/>
        <v>2025</v>
      </c>
      <c r="H280" s="25" t="s">
        <v>425</v>
      </c>
      <c r="I280" s="25" t="s">
        <v>403</v>
      </c>
      <c r="J280" s="25" t="s">
        <v>1068</v>
      </c>
      <c r="K280" s="49" t="s">
        <v>1069</v>
      </c>
      <c r="L280" s="25"/>
      <c r="M280" s="25" t="s">
        <v>1034</v>
      </c>
      <c r="N280" s="5" t="s">
        <v>1</v>
      </c>
      <c r="O280" s="33">
        <v>45712</v>
      </c>
      <c r="P280" s="25" t="s">
        <v>1070</v>
      </c>
    </row>
    <row r="281" spans="3:16" ht="28.8" hidden="1">
      <c r="C281" s="25">
        <f t="shared" si="13"/>
        <v>273</v>
      </c>
      <c r="D281" s="25" t="s">
        <v>96</v>
      </c>
      <c r="E281" s="25" t="s">
        <v>1071</v>
      </c>
      <c r="F281" s="33">
        <v>45674</v>
      </c>
      <c r="G281" s="196">
        <f t="shared" si="12"/>
        <v>2025</v>
      </c>
      <c r="H281" s="25" t="s">
        <v>1071</v>
      </c>
      <c r="I281" s="25" t="s">
        <v>1072</v>
      </c>
      <c r="J281" s="3" t="s">
        <v>1073</v>
      </c>
      <c r="K281" s="53" t="s">
        <v>1074</v>
      </c>
      <c r="L281" s="25">
        <v>50</v>
      </c>
      <c r="M281" s="25"/>
      <c r="N281" s="5" t="s">
        <v>1</v>
      </c>
      <c r="O281" s="33">
        <v>45674</v>
      </c>
      <c r="P281" s="3" t="s">
        <v>1075</v>
      </c>
    </row>
    <row r="282" spans="3:16" ht="28.8" hidden="1">
      <c r="C282" s="25">
        <f t="shared" si="13"/>
        <v>274</v>
      </c>
      <c r="D282" s="25" t="s">
        <v>304</v>
      </c>
      <c r="E282" s="25" t="s">
        <v>1076</v>
      </c>
      <c r="F282" s="33">
        <v>45674</v>
      </c>
      <c r="G282" s="196">
        <f t="shared" si="12"/>
        <v>2025</v>
      </c>
      <c r="H282" s="25" t="s">
        <v>608</v>
      </c>
      <c r="I282" s="25" t="s">
        <v>403</v>
      </c>
      <c r="J282" s="25"/>
      <c r="K282" s="25"/>
      <c r="L282" s="25"/>
      <c r="M282" s="25"/>
      <c r="N282" s="66" t="s">
        <v>1</v>
      </c>
      <c r="O282" s="33">
        <v>45677</v>
      </c>
      <c r="P282" s="49" t="s">
        <v>1077</v>
      </c>
    </row>
    <row r="283" spans="3:16" ht="136.5" hidden="1" customHeight="1">
      <c r="C283" s="25">
        <f t="shared" si="13"/>
        <v>275</v>
      </c>
      <c r="D283" s="25" t="s">
        <v>1045</v>
      </c>
      <c r="E283" s="25" t="s">
        <v>1078</v>
      </c>
      <c r="F283" s="33">
        <v>45680</v>
      </c>
      <c r="G283" s="196">
        <f t="shared" si="12"/>
        <v>2025</v>
      </c>
      <c r="H283" s="25" t="s">
        <v>1079</v>
      </c>
      <c r="I283" s="25" t="s">
        <v>403</v>
      </c>
      <c r="J283" s="49" t="s">
        <v>1080</v>
      </c>
      <c r="K283" s="53" t="s">
        <v>1081</v>
      </c>
      <c r="L283" s="25"/>
      <c r="M283" s="25" t="s">
        <v>1034</v>
      </c>
      <c r="N283" s="71" t="s">
        <v>4</v>
      </c>
      <c r="O283" s="25"/>
      <c r="P283" s="25"/>
    </row>
    <row r="284" spans="3:16" ht="28.8" hidden="1">
      <c r="C284" s="25">
        <f t="shared" si="13"/>
        <v>276</v>
      </c>
      <c r="D284" s="25" t="s">
        <v>96</v>
      </c>
      <c r="E284" s="25" t="s">
        <v>1082</v>
      </c>
      <c r="F284" s="33">
        <v>45680</v>
      </c>
      <c r="G284" s="196">
        <f t="shared" si="12"/>
        <v>2025</v>
      </c>
      <c r="H284" s="25" t="s">
        <v>1079</v>
      </c>
      <c r="I284" s="25" t="s">
        <v>403</v>
      </c>
      <c r="J284" s="49" t="s">
        <v>1083</v>
      </c>
      <c r="K284" s="25" t="s">
        <v>1084</v>
      </c>
      <c r="L284" s="25"/>
      <c r="M284" s="25"/>
      <c r="N284" s="5" t="s">
        <v>1</v>
      </c>
      <c r="O284" s="33">
        <v>45674</v>
      </c>
      <c r="P284" s="25"/>
    </row>
    <row r="285" spans="3:16" ht="28.8" hidden="1">
      <c r="C285" s="25">
        <f t="shared" si="13"/>
        <v>277</v>
      </c>
      <c r="D285" s="25" t="s">
        <v>96</v>
      </c>
      <c r="E285" s="25" t="s">
        <v>1085</v>
      </c>
      <c r="F285" s="33">
        <v>45680</v>
      </c>
      <c r="G285" s="196">
        <f t="shared" si="12"/>
        <v>2025</v>
      </c>
      <c r="H285" s="25" t="s">
        <v>1079</v>
      </c>
      <c r="I285" s="25" t="s">
        <v>403</v>
      </c>
      <c r="J285" s="1" t="s">
        <v>1086</v>
      </c>
      <c r="N285" s="5" t="s">
        <v>1</v>
      </c>
      <c r="O285" s="33">
        <v>45674</v>
      </c>
    </row>
    <row r="286" spans="3:16" ht="28.8" hidden="1">
      <c r="C286" s="25">
        <f t="shared" si="13"/>
        <v>278</v>
      </c>
      <c r="D286" s="25" t="s">
        <v>96</v>
      </c>
      <c r="E286" s="25" t="s">
        <v>1087</v>
      </c>
      <c r="F286" s="33">
        <v>45680</v>
      </c>
      <c r="G286" s="196">
        <f t="shared" si="12"/>
        <v>2025</v>
      </c>
      <c r="H286" s="25" t="s">
        <v>1079</v>
      </c>
      <c r="I286" s="25" t="s">
        <v>403</v>
      </c>
      <c r="J286" s="1" t="s">
        <v>1088</v>
      </c>
      <c r="N286" s="5" t="s">
        <v>1</v>
      </c>
      <c r="O286" s="33">
        <v>45674</v>
      </c>
    </row>
    <row r="287" spans="3:16" ht="57.6" hidden="1">
      <c r="C287" s="25">
        <f t="shared" si="13"/>
        <v>279</v>
      </c>
      <c r="D287" s="3" t="s">
        <v>1089</v>
      </c>
      <c r="F287" s="33">
        <v>45688</v>
      </c>
      <c r="G287" s="196">
        <f t="shared" si="12"/>
        <v>2025</v>
      </c>
      <c r="J287" s="2" t="s">
        <v>1090</v>
      </c>
      <c r="K287" s="2" t="s">
        <v>1091</v>
      </c>
      <c r="N287" s="5" t="s">
        <v>1</v>
      </c>
      <c r="O287" s="33">
        <v>45740</v>
      </c>
      <c r="P287" s="2" t="s">
        <v>1092</v>
      </c>
    </row>
    <row r="288" spans="3:16" ht="43.2" hidden="1">
      <c r="C288" s="25">
        <f t="shared" si="13"/>
        <v>280</v>
      </c>
      <c r="D288" s="25" t="s">
        <v>96</v>
      </c>
      <c r="E288" s="25" t="s">
        <v>1093</v>
      </c>
      <c r="F288" s="33">
        <v>45679</v>
      </c>
      <c r="G288" s="196">
        <f t="shared" si="12"/>
        <v>2025</v>
      </c>
      <c r="H288" s="25" t="s">
        <v>1094</v>
      </c>
      <c r="I288" s="25" t="s">
        <v>403</v>
      </c>
      <c r="K288" s="1" t="s">
        <v>1095</v>
      </c>
      <c r="N288" s="5" t="s">
        <v>1</v>
      </c>
      <c r="O288" s="33">
        <v>45674</v>
      </c>
      <c r="P288" s="2" t="s">
        <v>1096</v>
      </c>
    </row>
    <row r="289" spans="3:16" hidden="1">
      <c r="C289" s="25">
        <f t="shared" si="13"/>
        <v>281</v>
      </c>
      <c r="D289" s="25" t="s">
        <v>96</v>
      </c>
      <c r="E289" s="25" t="s">
        <v>174</v>
      </c>
      <c r="F289" s="33">
        <v>45679</v>
      </c>
      <c r="G289" s="196">
        <f t="shared" si="12"/>
        <v>2025</v>
      </c>
      <c r="H289" s="24" t="s">
        <v>425</v>
      </c>
      <c r="I289" s="24" t="s">
        <v>403</v>
      </c>
      <c r="N289" s="5" t="s">
        <v>1</v>
      </c>
      <c r="O289" s="31">
        <v>45691</v>
      </c>
      <c r="P289" t="s">
        <v>1097</v>
      </c>
    </row>
    <row r="290" spans="3:16" hidden="1">
      <c r="C290" s="25">
        <f t="shared" si="13"/>
        <v>282</v>
      </c>
      <c r="D290" s="25" t="s">
        <v>86</v>
      </c>
      <c r="E290" s="25" t="s">
        <v>1098</v>
      </c>
      <c r="F290" s="33">
        <v>45679</v>
      </c>
      <c r="G290" s="196">
        <f t="shared" si="12"/>
        <v>2025</v>
      </c>
      <c r="H290" s="24" t="s">
        <v>608</v>
      </c>
      <c r="I290" s="24" t="s">
        <v>226</v>
      </c>
      <c r="N290" s="5" t="s">
        <v>1</v>
      </c>
      <c r="O290" s="31">
        <v>45691</v>
      </c>
    </row>
    <row r="291" spans="3:16" ht="28.8" hidden="1">
      <c r="C291" s="48">
        <f t="shared" si="13"/>
        <v>283</v>
      </c>
      <c r="D291" s="25" t="s">
        <v>86</v>
      </c>
      <c r="E291" s="25" t="s">
        <v>1099</v>
      </c>
      <c r="F291" s="33">
        <v>45679</v>
      </c>
      <c r="G291" s="196">
        <f t="shared" si="12"/>
        <v>2025</v>
      </c>
      <c r="H291" s="25" t="s">
        <v>994</v>
      </c>
      <c r="I291" s="25" t="s">
        <v>403</v>
      </c>
      <c r="K291" s="1" t="s">
        <v>1100</v>
      </c>
      <c r="N291" s="5" t="s">
        <v>1</v>
      </c>
      <c r="O291" s="33">
        <v>45705</v>
      </c>
      <c r="P291" s="26" t="s">
        <v>1101</v>
      </c>
    </row>
    <row r="292" spans="3:16" hidden="1">
      <c r="C292" s="25">
        <f t="shared" si="13"/>
        <v>284</v>
      </c>
      <c r="D292" s="25" t="s">
        <v>884</v>
      </c>
      <c r="F292" s="33">
        <v>45688</v>
      </c>
      <c r="G292" s="196">
        <f t="shared" si="12"/>
        <v>2025</v>
      </c>
      <c r="H292" s="24" t="s">
        <v>1102</v>
      </c>
      <c r="N292" s="71" t="s">
        <v>4</v>
      </c>
    </row>
    <row r="293" spans="3:16" ht="28.8" hidden="1">
      <c r="C293" s="25">
        <f t="shared" si="13"/>
        <v>285</v>
      </c>
      <c r="D293" s="25" t="s">
        <v>96</v>
      </c>
      <c r="E293" s="25" t="s">
        <v>1103</v>
      </c>
      <c r="F293" s="33">
        <v>45679</v>
      </c>
      <c r="G293" s="196">
        <f t="shared" si="12"/>
        <v>2025</v>
      </c>
      <c r="H293" s="25" t="s">
        <v>1079</v>
      </c>
      <c r="I293" s="25" t="s">
        <v>403</v>
      </c>
      <c r="J293" s="2" t="s">
        <v>1104</v>
      </c>
      <c r="N293" s="5" t="s">
        <v>1</v>
      </c>
    </row>
    <row r="294" spans="3:16" ht="78.75" hidden="1" customHeight="1">
      <c r="C294" s="25">
        <f t="shared" si="13"/>
        <v>286</v>
      </c>
      <c r="D294" s="25" t="s">
        <v>1105</v>
      </c>
      <c r="E294" s="25" t="s">
        <v>1106</v>
      </c>
      <c r="F294" s="33">
        <v>45684</v>
      </c>
      <c r="G294" s="196">
        <f t="shared" si="12"/>
        <v>2025</v>
      </c>
      <c r="H294" s="25" t="s">
        <v>425</v>
      </c>
      <c r="I294" s="25" t="s">
        <v>403</v>
      </c>
      <c r="J294" s="26"/>
      <c r="K294" s="2" t="s">
        <v>1107</v>
      </c>
      <c r="N294" s="71" t="s">
        <v>4</v>
      </c>
    </row>
    <row r="295" spans="3:16" ht="28.8" hidden="1">
      <c r="C295" s="25">
        <f t="shared" si="13"/>
        <v>287</v>
      </c>
      <c r="D295" s="25" t="s">
        <v>1108</v>
      </c>
      <c r="E295" s="25" t="s">
        <v>234</v>
      </c>
      <c r="F295" s="33">
        <v>45684</v>
      </c>
      <c r="G295" s="196">
        <f t="shared" si="12"/>
        <v>2025</v>
      </c>
      <c r="N295" s="5" t="s">
        <v>1</v>
      </c>
      <c r="O295" s="33">
        <v>45691</v>
      </c>
      <c r="P295" s="1" t="s">
        <v>1109</v>
      </c>
    </row>
    <row r="296" spans="3:16" ht="28.8" hidden="1">
      <c r="C296" s="25">
        <f t="shared" si="13"/>
        <v>288</v>
      </c>
      <c r="D296" s="25" t="s">
        <v>96</v>
      </c>
      <c r="E296" s="25" t="s">
        <v>1110</v>
      </c>
      <c r="F296" s="33">
        <v>45684</v>
      </c>
      <c r="G296" s="196">
        <f t="shared" si="12"/>
        <v>2025</v>
      </c>
      <c r="J296" s="1" t="s">
        <v>1111</v>
      </c>
      <c r="K296" s="2" t="s">
        <v>1112</v>
      </c>
      <c r="N296" s="5" t="s">
        <v>1</v>
      </c>
      <c r="O296" s="33">
        <v>45698</v>
      </c>
      <c r="P296" s="26" t="s">
        <v>1113</v>
      </c>
    </row>
    <row r="297" spans="3:16" ht="129.6" hidden="1">
      <c r="C297" s="25">
        <f t="shared" si="13"/>
        <v>289</v>
      </c>
      <c r="D297" s="25" t="s">
        <v>329</v>
      </c>
      <c r="E297" s="25" t="s">
        <v>1114</v>
      </c>
      <c r="F297" s="33">
        <v>45687</v>
      </c>
      <c r="G297" s="196">
        <f t="shared" si="12"/>
        <v>2025</v>
      </c>
      <c r="H297" s="25" t="s">
        <v>1115</v>
      </c>
      <c r="I297" s="25" t="s">
        <v>403</v>
      </c>
      <c r="J297" s="49" t="s">
        <v>1116</v>
      </c>
      <c r="K297" s="2" t="s">
        <v>1117</v>
      </c>
      <c r="L297" s="25"/>
      <c r="M297" s="25" t="s">
        <v>1034</v>
      </c>
      <c r="N297" s="5" t="s">
        <v>1</v>
      </c>
      <c r="O297" s="24"/>
      <c r="P297" s="24"/>
    </row>
    <row r="298" spans="3:16" ht="43.2" hidden="1">
      <c r="C298" s="25">
        <f t="shared" si="13"/>
        <v>290</v>
      </c>
      <c r="D298" s="25" t="s">
        <v>612</v>
      </c>
      <c r="E298" s="25" t="s">
        <v>543</v>
      </c>
      <c r="F298" s="33">
        <v>45686</v>
      </c>
      <c r="G298" s="196">
        <f t="shared" si="12"/>
        <v>2025</v>
      </c>
      <c r="H298" s="25" t="s">
        <v>1118</v>
      </c>
      <c r="I298" s="25" t="s">
        <v>403</v>
      </c>
      <c r="J298" s="49" t="s">
        <v>1119</v>
      </c>
      <c r="K298" s="25"/>
      <c r="L298" s="25">
        <v>1.2</v>
      </c>
      <c r="M298" s="25"/>
      <c r="N298" s="5" t="s">
        <v>1</v>
      </c>
      <c r="O298" s="33">
        <v>45691</v>
      </c>
      <c r="P298" s="53" t="s">
        <v>1120</v>
      </c>
    </row>
    <row r="299" spans="3:16" ht="129.6" hidden="1">
      <c r="C299" s="25">
        <f t="shared" si="13"/>
        <v>291</v>
      </c>
      <c r="D299" s="25" t="s">
        <v>612</v>
      </c>
      <c r="E299" s="25" t="s">
        <v>1121</v>
      </c>
      <c r="F299" s="33">
        <v>45686</v>
      </c>
      <c r="G299" s="196">
        <f t="shared" si="12"/>
        <v>2025</v>
      </c>
      <c r="H299" s="25" t="s">
        <v>1118</v>
      </c>
      <c r="I299" s="25" t="s">
        <v>403</v>
      </c>
      <c r="J299" s="49" t="s">
        <v>1122</v>
      </c>
      <c r="K299" s="49" t="s">
        <v>1123</v>
      </c>
      <c r="L299" s="25"/>
      <c r="M299" s="25"/>
      <c r="N299" s="5" t="s">
        <v>1</v>
      </c>
      <c r="O299" s="33">
        <v>45796</v>
      </c>
      <c r="P299" s="25" t="s">
        <v>1124</v>
      </c>
    </row>
    <row r="300" spans="3:16" ht="66" hidden="1" customHeight="1">
      <c r="C300" s="25">
        <f t="shared" si="13"/>
        <v>292</v>
      </c>
      <c r="D300" s="25" t="s">
        <v>320</v>
      </c>
      <c r="E300" s="25" t="s">
        <v>1125</v>
      </c>
      <c r="F300" s="33">
        <v>45685</v>
      </c>
      <c r="G300" s="196">
        <f t="shared" si="12"/>
        <v>2025</v>
      </c>
      <c r="H300" s="25" t="s">
        <v>650</v>
      </c>
      <c r="I300" s="25" t="s">
        <v>226</v>
      </c>
      <c r="J300" s="49" t="s">
        <v>1126</v>
      </c>
      <c r="K300" s="25"/>
      <c r="L300" s="25"/>
      <c r="M300" s="25"/>
      <c r="N300" s="5" t="s">
        <v>1</v>
      </c>
      <c r="O300" s="33">
        <v>45691</v>
      </c>
      <c r="P300" s="3" t="s">
        <v>1127</v>
      </c>
    </row>
    <row r="301" spans="3:16" hidden="1">
      <c r="C301" s="25">
        <f t="shared" si="13"/>
        <v>293</v>
      </c>
      <c r="D301" s="25" t="s">
        <v>1128</v>
      </c>
      <c r="E301" s="25" t="s">
        <v>1129</v>
      </c>
      <c r="F301" s="33">
        <v>45685</v>
      </c>
      <c r="G301" s="196">
        <f t="shared" si="12"/>
        <v>2025</v>
      </c>
      <c r="H301" s="25" t="s">
        <v>425</v>
      </c>
      <c r="I301" s="25" t="s">
        <v>403</v>
      </c>
      <c r="J301" s="25"/>
      <c r="K301" s="25"/>
      <c r="L301" s="25"/>
      <c r="M301" s="25"/>
      <c r="N301" s="66" t="s">
        <v>1</v>
      </c>
      <c r="O301" s="33">
        <v>45685</v>
      </c>
      <c r="P301" s="53" t="s">
        <v>1130</v>
      </c>
    </row>
    <row r="302" spans="3:16" ht="72" hidden="1">
      <c r="C302" s="25">
        <f t="shared" si="13"/>
        <v>294</v>
      </c>
      <c r="D302" s="25" t="s">
        <v>1128</v>
      </c>
      <c r="E302" s="25" t="s">
        <v>1131</v>
      </c>
      <c r="F302" s="33">
        <v>45685</v>
      </c>
      <c r="G302" s="196">
        <f t="shared" si="12"/>
        <v>2025</v>
      </c>
      <c r="H302" s="25" t="s">
        <v>630</v>
      </c>
      <c r="I302" s="25" t="s">
        <v>403</v>
      </c>
      <c r="J302" s="3" t="s">
        <v>1132</v>
      </c>
      <c r="K302" s="25"/>
      <c r="L302" s="25"/>
      <c r="M302" s="25"/>
      <c r="N302" s="5" t="s">
        <v>1</v>
      </c>
      <c r="O302" s="33">
        <v>45726</v>
      </c>
      <c r="P302" s="49" t="s">
        <v>1133</v>
      </c>
    </row>
    <row r="303" spans="3:16" hidden="1">
      <c r="C303" s="25">
        <f t="shared" si="13"/>
        <v>295</v>
      </c>
      <c r="D303" s="25" t="s">
        <v>1128</v>
      </c>
      <c r="E303" s="25" t="s">
        <v>1134</v>
      </c>
      <c r="F303" s="33">
        <v>45685</v>
      </c>
      <c r="G303" s="196">
        <f t="shared" si="12"/>
        <v>2025</v>
      </c>
      <c r="H303" s="25" t="s">
        <v>630</v>
      </c>
      <c r="I303" s="25" t="s">
        <v>403</v>
      </c>
      <c r="J303" s="25"/>
      <c r="K303" s="25" t="s">
        <v>1135</v>
      </c>
      <c r="L303" s="25"/>
      <c r="M303" s="25"/>
      <c r="N303" s="5" t="s">
        <v>1</v>
      </c>
      <c r="O303" s="33">
        <v>45712</v>
      </c>
      <c r="P303" s="53" t="s">
        <v>1136</v>
      </c>
    </row>
    <row r="304" spans="3:16" hidden="1">
      <c r="C304" s="25">
        <f t="shared" si="13"/>
        <v>296</v>
      </c>
      <c r="D304" s="25" t="s">
        <v>86</v>
      </c>
      <c r="E304" s="25" t="s">
        <v>1137</v>
      </c>
      <c r="F304" s="33">
        <v>45685</v>
      </c>
      <c r="G304" s="196">
        <f t="shared" si="12"/>
        <v>2025</v>
      </c>
      <c r="H304" s="25" t="s">
        <v>1094</v>
      </c>
      <c r="I304" s="25" t="s">
        <v>226</v>
      </c>
      <c r="J304" s="25" t="s">
        <v>1139</v>
      </c>
      <c r="K304" s="25"/>
      <c r="L304" s="25"/>
      <c r="M304" s="25"/>
      <c r="N304" s="5" t="s">
        <v>1</v>
      </c>
      <c r="O304" s="33">
        <v>45691</v>
      </c>
      <c r="P304" s="25" t="s">
        <v>1140</v>
      </c>
    </row>
    <row r="305" spans="3:16" hidden="1">
      <c r="C305" s="25">
        <f t="shared" si="13"/>
        <v>297</v>
      </c>
      <c r="D305" s="25" t="s">
        <v>86</v>
      </c>
      <c r="E305" s="25" t="s">
        <v>1141</v>
      </c>
      <c r="F305" s="33">
        <v>45685</v>
      </c>
      <c r="G305" s="196">
        <f t="shared" si="12"/>
        <v>2025</v>
      </c>
      <c r="H305" s="25" t="s">
        <v>1094</v>
      </c>
      <c r="I305" s="25" t="s">
        <v>226</v>
      </c>
      <c r="J305" s="25" t="s">
        <v>1139</v>
      </c>
      <c r="K305" s="25"/>
      <c r="L305" s="25"/>
      <c r="M305" s="25"/>
      <c r="N305" s="5" t="s">
        <v>1</v>
      </c>
      <c r="O305" s="33">
        <v>45691</v>
      </c>
      <c r="P305" s="25" t="s">
        <v>1140</v>
      </c>
    </row>
    <row r="306" spans="3:16" ht="43.2" hidden="1">
      <c r="C306" s="25">
        <f t="shared" si="13"/>
        <v>298</v>
      </c>
      <c r="D306" s="25" t="s">
        <v>1045</v>
      </c>
      <c r="E306" s="25" t="s">
        <v>1142</v>
      </c>
      <c r="F306" s="33">
        <v>45686</v>
      </c>
      <c r="G306" s="196">
        <f t="shared" si="12"/>
        <v>2025</v>
      </c>
      <c r="H306" s="25" t="s">
        <v>1143</v>
      </c>
      <c r="I306" s="25" t="s">
        <v>403</v>
      </c>
      <c r="J306" s="25"/>
      <c r="K306" s="49" t="s">
        <v>1144</v>
      </c>
      <c r="L306" s="25"/>
      <c r="M306" s="25" t="s">
        <v>1034</v>
      </c>
      <c r="N306" s="5" t="s">
        <v>1</v>
      </c>
      <c r="O306" s="33">
        <v>45726</v>
      </c>
      <c r="P306" s="53" t="s">
        <v>1145</v>
      </c>
    </row>
    <row r="307" spans="3:16" ht="273.60000000000002" hidden="1">
      <c r="C307" s="25">
        <f t="shared" si="13"/>
        <v>299</v>
      </c>
      <c r="D307" s="25" t="s">
        <v>1146</v>
      </c>
      <c r="E307" s="25" t="s">
        <v>1147</v>
      </c>
      <c r="F307" s="33">
        <v>45685</v>
      </c>
      <c r="G307" s="196">
        <f t="shared" si="12"/>
        <v>2025</v>
      </c>
      <c r="H307" s="25" t="s">
        <v>33</v>
      </c>
      <c r="I307" s="25" t="s">
        <v>226</v>
      </c>
      <c r="J307" s="25"/>
      <c r="K307" s="49" t="s">
        <v>1148</v>
      </c>
      <c r="L307" s="25"/>
      <c r="M307" s="25"/>
      <c r="N307" s="5" t="s">
        <v>1</v>
      </c>
      <c r="O307" s="33">
        <v>45805</v>
      </c>
      <c r="P307" s="25" t="s">
        <v>1149</v>
      </c>
    </row>
    <row r="308" spans="3:16" ht="28.8" hidden="1">
      <c r="C308" s="25">
        <f t="shared" si="13"/>
        <v>300</v>
      </c>
      <c r="D308" s="25" t="s">
        <v>1146</v>
      </c>
      <c r="E308" s="25" t="s">
        <v>1150</v>
      </c>
      <c r="F308" s="33">
        <v>45685</v>
      </c>
      <c r="G308" s="196">
        <f t="shared" si="12"/>
        <v>2025</v>
      </c>
      <c r="H308" s="25" t="s">
        <v>1050</v>
      </c>
      <c r="I308" s="25" t="s">
        <v>226</v>
      </c>
      <c r="J308" s="25"/>
      <c r="K308" s="49" t="s">
        <v>1151</v>
      </c>
      <c r="L308" s="25"/>
      <c r="M308" s="25"/>
      <c r="N308" s="5" t="s">
        <v>1</v>
      </c>
      <c r="O308" s="33">
        <v>45705</v>
      </c>
      <c r="P308" s="25" t="s">
        <v>1152</v>
      </c>
    </row>
    <row r="309" spans="3:16" hidden="1">
      <c r="C309" s="25">
        <f t="shared" si="13"/>
        <v>301</v>
      </c>
      <c r="D309" s="25" t="s">
        <v>1146</v>
      </c>
      <c r="E309" s="25" t="s">
        <v>1153</v>
      </c>
      <c r="F309" s="33">
        <v>45688</v>
      </c>
      <c r="G309" s="196">
        <f t="shared" si="12"/>
        <v>2025</v>
      </c>
      <c r="H309" s="25" t="s">
        <v>832</v>
      </c>
      <c r="I309" s="25" t="s">
        <v>226</v>
      </c>
      <c r="J309" s="25"/>
      <c r="K309" s="53" t="s">
        <v>1154</v>
      </c>
      <c r="L309" s="25"/>
      <c r="M309" s="25"/>
      <c r="N309" s="5" t="s">
        <v>1</v>
      </c>
      <c r="O309" s="33">
        <v>45698</v>
      </c>
      <c r="P309" s="25" t="s">
        <v>1155</v>
      </c>
    </row>
    <row r="310" spans="3:16" ht="57.6" hidden="1">
      <c r="C310" s="25">
        <f t="shared" si="13"/>
        <v>302</v>
      </c>
      <c r="D310" s="25" t="s">
        <v>695</v>
      </c>
      <c r="E310" s="25" t="s">
        <v>1156</v>
      </c>
      <c r="F310" s="33">
        <v>45688</v>
      </c>
      <c r="G310" s="196">
        <f t="shared" si="12"/>
        <v>2025</v>
      </c>
      <c r="H310" s="25" t="s">
        <v>1157</v>
      </c>
      <c r="I310" s="25" t="s">
        <v>130</v>
      </c>
      <c r="J310" s="25"/>
      <c r="K310" s="49" t="s">
        <v>1158</v>
      </c>
      <c r="L310" s="25"/>
      <c r="M310" s="25"/>
      <c r="N310" s="71" t="s">
        <v>4</v>
      </c>
      <c r="O310" s="25"/>
      <c r="P310" s="25"/>
    </row>
    <row r="311" spans="3:16" ht="43.2" hidden="1">
      <c r="C311" s="25">
        <f t="shared" si="13"/>
        <v>303</v>
      </c>
      <c r="D311" s="25" t="s">
        <v>1159</v>
      </c>
      <c r="F311" s="33">
        <v>45688</v>
      </c>
      <c r="G311" s="196">
        <f t="shared" si="12"/>
        <v>2025</v>
      </c>
      <c r="H311" s="25"/>
      <c r="I311" s="25"/>
      <c r="J311" s="25"/>
      <c r="K311" s="49" t="s">
        <v>1160</v>
      </c>
      <c r="L311" s="25"/>
      <c r="M311" s="25"/>
      <c r="N311" s="36" t="s">
        <v>3</v>
      </c>
      <c r="O311" s="25"/>
      <c r="P311" s="25"/>
    </row>
    <row r="312" spans="3:16" hidden="1">
      <c r="C312" s="25">
        <f t="shared" si="13"/>
        <v>304</v>
      </c>
      <c r="D312" s="25" t="s">
        <v>1161</v>
      </c>
      <c r="F312" s="33">
        <v>45688</v>
      </c>
      <c r="G312" s="196">
        <f t="shared" si="12"/>
        <v>2025</v>
      </c>
      <c r="K312" s="49" t="s">
        <v>1162</v>
      </c>
      <c r="N312" s="36" t="s">
        <v>3</v>
      </c>
    </row>
    <row r="313" spans="3:16" ht="93" hidden="1" customHeight="1">
      <c r="C313" s="25">
        <f t="shared" si="13"/>
        <v>305</v>
      </c>
      <c r="D313" s="25" t="s">
        <v>1128</v>
      </c>
      <c r="E313" s="25" t="s">
        <v>1163</v>
      </c>
      <c r="F313" s="33">
        <v>45693</v>
      </c>
      <c r="G313" s="196">
        <f t="shared" si="12"/>
        <v>2025</v>
      </c>
      <c r="H313" s="25" t="s">
        <v>1164</v>
      </c>
      <c r="I313" s="25" t="s">
        <v>403</v>
      </c>
      <c r="J313" s="26" t="s">
        <v>1165</v>
      </c>
      <c r="K313" s="2" t="s">
        <v>1166</v>
      </c>
      <c r="N313" s="71" t="s">
        <v>4</v>
      </c>
    </row>
    <row r="314" spans="3:16" ht="28.8" hidden="1">
      <c r="C314" s="25">
        <f t="shared" si="13"/>
        <v>306</v>
      </c>
      <c r="D314" s="25" t="s">
        <v>1045</v>
      </c>
      <c r="E314" s="25" t="s">
        <v>1167</v>
      </c>
      <c r="F314" s="33">
        <v>45693</v>
      </c>
      <c r="G314" s="196">
        <f t="shared" si="12"/>
        <v>2025</v>
      </c>
      <c r="H314" s="25" t="s">
        <v>1168</v>
      </c>
      <c r="I314" s="25" t="s">
        <v>130</v>
      </c>
      <c r="J314" s="49" t="s">
        <v>1169</v>
      </c>
      <c r="K314" s="2" t="s">
        <v>1170</v>
      </c>
      <c r="M314" s="25" t="s">
        <v>1034</v>
      </c>
      <c r="N314" s="71" t="s">
        <v>4</v>
      </c>
    </row>
    <row r="315" spans="3:16" hidden="1">
      <c r="C315" s="25">
        <f t="shared" si="13"/>
        <v>307</v>
      </c>
      <c r="D315" s="25" t="s">
        <v>96</v>
      </c>
      <c r="E315" s="25" t="s">
        <v>1171</v>
      </c>
      <c r="F315" s="31">
        <v>45693</v>
      </c>
      <c r="G315" s="57">
        <f t="shared" si="12"/>
        <v>2025</v>
      </c>
      <c r="H315" s="24" t="s">
        <v>189</v>
      </c>
      <c r="I315" s="24" t="s">
        <v>189</v>
      </c>
      <c r="J315" t="s">
        <v>1172</v>
      </c>
      <c r="K315" s="1" t="s">
        <v>1173</v>
      </c>
      <c r="N315" s="5" t="s">
        <v>1</v>
      </c>
      <c r="O315" s="33">
        <v>45698</v>
      </c>
      <c r="P315" s="25" t="s">
        <v>1140</v>
      </c>
    </row>
    <row r="316" spans="3:16" ht="43.2" hidden="1">
      <c r="C316" s="25">
        <f t="shared" si="13"/>
        <v>308</v>
      </c>
      <c r="D316" s="25" t="s">
        <v>320</v>
      </c>
      <c r="E316" s="25" t="s">
        <v>1174</v>
      </c>
      <c r="F316" s="33">
        <v>45693</v>
      </c>
      <c r="G316" s="196">
        <f t="shared" si="12"/>
        <v>2025</v>
      </c>
      <c r="H316" s="25" t="s">
        <v>1115</v>
      </c>
      <c r="I316" s="25" t="s">
        <v>403</v>
      </c>
      <c r="N316" s="5" t="s">
        <v>1</v>
      </c>
      <c r="O316" s="33">
        <v>45705</v>
      </c>
      <c r="P316" s="1" t="s">
        <v>1175</v>
      </c>
    </row>
    <row r="317" spans="3:16" ht="28.8" hidden="1">
      <c r="C317" s="25">
        <f t="shared" si="13"/>
        <v>309</v>
      </c>
      <c r="D317" s="25" t="s">
        <v>1146</v>
      </c>
      <c r="E317" s="25" t="s">
        <v>1176</v>
      </c>
      <c r="F317" s="33">
        <v>45685</v>
      </c>
      <c r="G317" s="196">
        <f t="shared" si="12"/>
        <v>2025</v>
      </c>
      <c r="H317" s="25" t="s">
        <v>1050</v>
      </c>
      <c r="I317" s="25" t="s">
        <v>226</v>
      </c>
      <c r="N317" s="5" t="s">
        <v>1</v>
      </c>
      <c r="O317" s="33">
        <v>45698</v>
      </c>
      <c r="P317" s="1" t="s">
        <v>1177</v>
      </c>
    </row>
    <row r="318" spans="3:16" ht="273.60000000000002" hidden="1">
      <c r="C318" s="25">
        <f t="shared" si="13"/>
        <v>310</v>
      </c>
      <c r="D318" s="25" t="s">
        <v>1178</v>
      </c>
      <c r="E318" s="25" t="s">
        <v>1179</v>
      </c>
      <c r="F318" s="33">
        <v>45696</v>
      </c>
      <c r="G318" s="196">
        <f t="shared" si="12"/>
        <v>2025</v>
      </c>
      <c r="H318" s="25" t="s">
        <v>1180</v>
      </c>
      <c r="I318" s="25" t="s">
        <v>130</v>
      </c>
      <c r="J318" s="49" t="s">
        <v>1181</v>
      </c>
      <c r="K318" s="2" t="s">
        <v>1182</v>
      </c>
      <c r="M318" s="25" t="s">
        <v>1034</v>
      </c>
      <c r="N318" s="5" t="s">
        <v>1</v>
      </c>
      <c r="O318" s="33">
        <v>45708</v>
      </c>
      <c r="P318" s="1" t="s">
        <v>1183</v>
      </c>
    </row>
    <row r="319" spans="3:16" ht="28.8" hidden="1">
      <c r="C319" s="25">
        <f t="shared" si="13"/>
        <v>311</v>
      </c>
      <c r="D319" s="25" t="s">
        <v>1146</v>
      </c>
      <c r="E319" s="25" t="s">
        <v>1184</v>
      </c>
      <c r="F319" s="31">
        <v>45698</v>
      </c>
      <c r="G319" s="57">
        <f t="shared" si="12"/>
        <v>2025</v>
      </c>
      <c r="H319" s="24" t="s">
        <v>33</v>
      </c>
      <c r="I319" s="25" t="s">
        <v>226</v>
      </c>
      <c r="K319" s="1" t="s">
        <v>1185</v>
      </c>
      <c r="N319" s="5" t="s">
        <v>1</v>
      </c>
      <c r="O319" s="33">
        <v>45705</v>
      </c>
      <c r="P319" s="26" t="s">
        <v>1186</v>
      </c>
    </row>
    <row r="320" spans="3:16" hidden="1">
      <c r="C320" s="25">
        <f t="shared" si="13"/>
        <v>312</v>
      </c>
      <c r="D320" s="25" t="s">
        <v>86</v>
      </c>
      <c r="E320" s="25" t="s">
        <v>1187</v>
      </c>
      <c r="F320" s="31">
        <v>45698</v>
      </c>
      <c r="G320" s="57">
        <f t="shared" si="12"/>
        <v>2025</v>
      </c>
      <c r="H320" s="25" t="s">
        <v>1050</v>
      </c>
      <c r="I320" s="25" t="s">
        <v>226</v>
      </c>
      <c r="K320" t="s">
        <v>1189</v>
      </c>
      <c r="N320" s="5" t="s">
        <v>1</v>
      </c>
      <c r="O320" s="33">
        <v>45705</v>
      </c>
      <c r="P320" s="50" t="s">
        <v>1190</v>
      </c>
    </row>
    <row r="321" spans="3:16" ht="28.8" hidden="1">
      <c r="C321" s="25">
        <f>+C320+1</f>
        <v>313</v>
      </c>
      <c r="D321" s="25" t="s">
        <v>1178</v>
      </c>
      <c r="E321" s="25" t="s">
        <v>1191</v>
      </c>
      <c r="F321" s="33">
        <v>45700</v>
      </c>
      <c r="G321" s="196">
        <f t="shared" si="12"/>
        <v>2025</v>
      </c>
      <c r="H321" s="25" t="s">
        <v>1192</v>
      </c>
      <c r="I321" s="25" t="s">
        <v>1193</v>
      </c>
      <c r="K321" s="1" t="s">
        <v>1194</v>
      </c>
      <c r="M321" s="25" t="s">
        <v>1034</v>
      </c>
      <c r="N321" s="5" t="s">
        <v>1</v>
      </c>
      <c r="O321" s="33">
        <v>45715</v>
      </c>
      <c r="P321" s="26" t="s">
        <v>1195</v>
      </c>
    </row>
    <row r="322" spans="3:16" ht="86.4" hidden="1">
      <c r="C322" s="25">
        <f t="shared" si="13"/>
        <v>314</v>
      </c>
      <c r="D322" s="25" t="s">
        <v>1196</v>
      </c>
      <c r="E322" s="3" t="s">
        <v>1197</v>
      </c>
      <c r="F322" s="33">
        <v>45700</v>
      </c>
      <c r="G322" s="196">
        <f t="shared" si="12"/>
        <v>2025</v>
      </c>
      <c r="H322" s="25" t="s">
        <v>929</v>
      </c>
      <c r="I322" s="25" t="s">
        <v>226</v>
      </c>
      <c r="J322" s="2" t="s">
        <v>1198</v>
      </c>
      <c r="K322" s="2" t="s">
        <v>1199</v>
      </c>
      <c r="N322" s="5" t="s">
        <v>1</v>
      </c>
      <c r="O322" s="33">
        <v>45740</v>
      </c>
      <c r="P322" s="2" t="s">
        <v>1200</v>
      </c>
    </row>
    <row r="323" spans="3:16" ht="43.2" hidden="1">
      <c r="C323" s="25">
        <f t="shared" si="13"/>
        <v>315</v>
      </c>
      <c r="D323" s="25" t="s">
        <v>1045</v>
      </c>
      <c r="E323" s="25" t="s">
        <v>1201</v>
      </c>
      <c r="F323" s="33">
        <v>45701</v>
      </c>
      <c r="G323" s="196">
        <f t="shared" si="12"/>
        <v>2025</v>
      </c>
      <c r="H323" s="25" t="s">
        <v>76</v>
      </c>
      <c r="J323" s="2" t="s">
        <v>1202</v>
      </c>
      <c r="K323" s="69" t="s">
        <v>1203</v>
      </c>
      <c r="M323" s="25" t="s">
        <v>1034</v>
      </c>
      <c r="N323" s="5" t="s">
        <v>1</v>
      </c>
      <c r="O323" s="33">
        <v>45733</v>
      </c>
      <c r="P323" s="26" t="s">
        <v>1204</v>
      </c>
    </row>
    <row r="324" spans="3:16" hidden="1">
      <c r="C324" s="25">
        <f t="shared" si="13"/>
        <v>316</v>
      </c>
      <c r="D324" s="25" t="s">
        <v>1045</v>
      </c>
      <c r="E324" s="3" t="s">
        <v>1205</v>
      </c>
      <c r="F324" s="33">
        <v>45701</v>
      </c>
      <c r="G324" s="196">
        <f t="shared" si="12"/>
        <v>2025</v>
      </c>
      <c r="H324" s="25" t="s">
        <v>2283</v>
      </c>
      <c r="I324" s="25" t="s">
        <v>1206</v>
      </c>
      <c r="J324" s="1" t="s">
        <v>1207</v>
      </c>
      <c r="K324" s="2" t="s">
        <v>1208</v>
      </c>
      <c r="M324" s="25" t="s">
        <v>1034</v>
      </c>
      <c r="N324" s="5" t="s">
        <v>1</v>
      </c>
      <c r="O324" s="33">
        <v>45712</v>
      </c>
      <c r="P324" s="26" t="s">
        <v>1209</v>
      </c>
    </row>
    <row r="325" spans="3:16" hidden="1">
      <c r="C325" s="25">
        <f t="shared" si="13"/>
        <v>317</v>
      </c>
      <c r="D325" s="25" t="s">
        <v>1045</v>
      </c>
      <c r="E325" s="3" t="s">
        <v>1210</v>
      </c>
      <c r="F325" s="33">
        <v>45700</v>
      </c>
      <c r="G325" s="196">
        <f t="shared" si="12"/>
        <v>2025</v>
      </c>
      <c r="H325" s="25" t="s">
        <v>1211</v>
      </c>
      <c r="I325" s="25" t="s">
        <v>403</v>
      </c>
      <c r="N325" s="5" t="s">
        <v>1</v>
      </c>
    </row>
    <row r="326" spans="3:16" hidden="1">
      <c r="C326" s="25">
        <f t="shared" si="13"/>
        <v>318</v>
      </c>
      <c r="D326" s="25" t="s">
        <v>1212</v>
      </c>
      <c r="E326" s="25" t="s">
        <v>431</v>
      </c>
      <c r="F326" s="31">
        <v>45705</v>
      </c>
      <c r="G326" s="57">
        <f t="shared" si="12"/>
        <v>2025</v>
      </c>
      <c r="H326" s="25" t="s">
        <v>1213</v>
      </c>
      <c r="I326" s="25" t="s">
        <v>130</v>
      </c>
      <c r="J326" s="1" t="s">
        <v>1214</v>
      </c>
      <c r="K326" s="53" t="s">
        <v>1215</v>
      </c>
      <c r="M326" s="25" t="s">
        <v>122</v>
      </c>
      <c r="N326" s="5" t="s">
        <v>1</v>
      </c>
      <c r="O326" s="33">
        <v>45733</v>
      </c>
      <c r="P326" t="s">
        <v>1216</v>
      </c>
    </row>
    <row r="327" spans="3:16" ht="115.2" hidden="1">
      <c r="C327" s="25">
        <f t="shared" si="13"/>
        <v>319</v>
      </c>
      <c r="D327" s="25" t="s">
        <v>1045</v>
      </c>
      <c r="E327" s="3" t="s">
        <v>1217</v>
      </c>
      <c r="F327" s="33">
        <v>45705</v>
      </c>
      <c r="G327" s="196">
        <f t="shared" si="12"/>
        <v>2025</v>
      </c>
      <c r="H327" s="25" t="s">
        <v>1168</v>
      </c>
      <c r="I327" s="25" t="s">
        <v>130</v>
      </c>
      <c r="K327" s="49" t="s">
        <v>1218</v>
      </c>
      <c r="N327" s="71" t="s">
        <v>4</v>
      </c>
    </row>
    <row r="328" spans="3:16" ht="64.5" hidden="1" customHeight="1">
      <c r="C328" s="25">
        <f t="shared" si="13"/>
        <v>320</v>
      </c>
      <c r="D328" s="25" t="s">
        <v>297</v>
      </c>
      <c r="E328" s="25" t="s">
        <v>1219</v>
      </c>
      <c r="F328" s="33">
        <v>45706</v>
      </c>
      <c r="G328" s="196">
        <f t="shared" si="12"/>
        <v>2025</v>
      </c>
      <c r="H328" s="25" t="s">
        <v>1220</v>
      </c>
      <c r="I328" s="25" t="s">
        <v>130</v>
      </c>
      <c r="J328" s="2" t="s">
        <v>1221</v>
      </c>
      <c r="K328" s="49" t="s">
        <v>1222</v>
      </c>
      <c r="N328" s="71" t="s">
        <v>4</v>
      </c>
    </row>
    <row r="329" spans="3:16" hidden="1">
      <c r="C329" s="25">
        <f t="shared" si="13"/>
        <v>321</v>
      </c>
      <c r="D329" s="25" t="s">
        <v>1045</v>
      </c>
      <c r="E329" s="3" t="s">
        <v>1223</v>
      </c>
      <c r="F329" s="33">
        <v>45706</v>
      </c>
      <c r="G329" s="196">
        <f t="shared" ref="G329:G392" si="14">+YEAR(F329)</f>
        <v>2025</v>
      </c>
      <c r="H329" s="25" t="s">
        <v>1224</v>
      </c>
      <c r="I329" s="25" t="s">
        <v>226</v>
      </c>
      <c r="J329" s="1" t="s">
        <v>1225</v>
      </c>
      <c r="N329" s="5" t="s">
        <v>1</v>
      </c>
      <c r="O329" s="33">
        <v>45708</v>
      </c>
      <c r="P329" s="26" t="s">
        <v>1226</v>
      </c>
    </row>
    <row r="330" spans="3:16" hidden="1">
      <c r="C330" s="25">
        <f t="shared" si="13"/>
        <v>322</v>
      </c>
      <c r="D330" s="25" t="s">
        <v>20</v>
      </c>
      <c r="E330" s="25" t="s">
        <v>1227</v>
      </c>
      <c r="F330" s="31">
        <v>45706</v>
      </c>
      <c r="G330" s="57">
        <f t="shared" si="14"/>
        <v>2025</v>
      </c>
      <c r="H330" s="25" t="s">
        <v>1094</v>
      </c>
      <c r="I330" s="25" t="s">
        <v>226</v>
      </c>
      <c r="N330" s="5" t="s">
        <v>1</v>
      </c>
      <c r="O330" s="31">
        <v>45708</v>
      </c>
      <c r="P330" t="s">
        <v>1228</v>
      </c>
    </row>
    <row r="331" spans="3:16" hidden="1">
      <c r="C331" s="25">
        <f t="shared" si="13"/>
        <v>323</v>
      </c>
      <c r="D331" s="25" t="s">
        <v>320</v>
      </c>
      <c r="E331" s="3" t="s">
        <v>1229</v>
      </c>
      <c r="F331" s="31">
        <v>45706</v>
      </c>
      <c r="G331" s="57">
        <f t="shared" si="14"/>
        <v>2025</v>
      </c>
      <c r="H331" s="25" t="s">
        <v>1230</v>
      </c>
      <c r="I331" s="25" t="s">
        <v>226</v>
      </c>
      <c r="K331" t="s">
        <v>1231</v>
      </c>
      <c r="N331" s="5" t="s">
        <v>1</v>
      </c>
      <c r="O331" s="31">
        <v>45708</v>
      </c>
      <c r="P331" t="s">
        <v>1232</v>
      </c>
    </row>
    <row r="332" spans="3:16" ht="100.8" hidden="1">
      <c r="C332" s="25">
        <f t="shared" si="13"/>
        <v>324</v>
      </c>
      <c r="D332" s="25" t="s">
        <v>1045</v>
      </c>
      <c r="E332" s="25" t="s">
        <v>1233</v>
      </c>
      <c r="F332" s="33">
        <v>45709</v>
      </c>
      <c r="G332" s="196">
        <f t="shared" si="14"/>
        <v>2025</v>
      </c>
      <c r="H332" s="25" t="s">
        <v>2607</v>
      </c>
      <c r="I332" s="25" t="s">
        <v>802</v>
      </c>
      <c r="J332" s="1" t="s">
        <v>1235</v>
      </c>
      <c r="K332" s="49" t="s">
        <v>3168</v>
      </c>
      <c r="N332" s="66" t="s">
        <v>1</v>
      </c>
      <c r="O332" s="33">
        <v>45733</v>
      </c>
      <c r="P332" s="2" t="s">
        <v>3195</v>
      </c>
    </row>
    <row r="333" spans="3:16" ht="28.8" hidden="1">
      <c r="C333" s="25">
        <f t="shared" si="13"/>
        <v>325</v>
      </c>
      <c r="D333" s="25" t="s">
        <v>695</v>
      </c>
      <c r="E333" s="3" t="s">
        <v>1236</v>
      </c>
      <c r="F333" s="33">
        <v>45712</v>
      </c>
      <c r="G333" s="196">
        <f t="shared" si="14"/>
        <v>2025</v>
      </c>
      <c r="H333" s="25" t="s">
        <v>1237</v>
      </c>
      <c r="I333" s="25" t="s">
        <v>130</v>
      </c>
      <c r="J333" s="49" t="s">
        <v>1238</v>
      </c>
      <c r="K333" s="49" t="s">
        <v>1239</v>
      </c>
      <c r="L333" s="26"/>
      <c r="M333" s="26"/>
      <c r="N333" s="5" t="s">
        <v>1</v>
      </c>
      <c r="O333" s="31">
        <v>45741</v>
      </c>
      <c r="P333" s="26" t="s">
        <v>1240</v>
      </c>
    </row>
    <row r="334" spans="3:16" ht="43.2" hidden="1">
      <c r="C334" s="25">
        <f t="shared" si="13"/>
        <v>326</v>
      </c>
      <c r="D334" s="25" t="s">
        <v>1045</v>
      </c>
      <c r="E334" s="25" t="s">
        <v>1241</v>
      </c>
      <c r="F334" s="33">
        <v>45712</v>
      </c>
      <c r="G334" s="196">
        <f t="shared" si="14"/>
        <v>2025</v>
      </c>
      <c r="H334" s="25" t="s">
        <v>1237</v>
      </c>
      <c r="I334" s="25" t="s">
        <v>130</v>
      </c>
      <c r="J334" s="49" t="s">
        <v>1242</v>
      </c>
      <c r="K334" s="49" t="s">
        <v>1243</v>
      </c>
      <c r="N334" s="5" t="s">
        <v>1</v>
      </c>
      <c r="O334" s="31">
        <v>45741</v>
      </c>
      <c r="P334" t="s">
        <v>1240</v>
      </c>
    </row>
    <row r="335" spans="3:16" ht="57.6" hidden="1">
      <c r="C335" s="25">
        <f t="shared" si="13"/>
        <v>327</v>
      </c>
      <c r="D335" s="25" t="s">
        <v>47</v>
      </c>
      <c r="E335" s="3" t="s">
        <v>1244</v>
      </c>
      <c r="F335" s="33">
        <v>45712</v>
      </c>
      <c r="G335" s="196">
        <f t="shared" si="14"/>
        <v>2025</v>
      </c>
      <c r="H335" s="25" t="s">
        <v>1237</v>
      </c>
      <c r="I335" s="25" t="s">
        <v>130</v>
      </c>
      <c r="J335" s="49" t="s">
        <v>1245</v>
      </c>
      <c r="K335" s="49" t="s">
        <v>1246</v>
      </c>
      <c r="N335" s="5" t="s">
        <v>1</v>
      </c>
      <c r="O335" s="31">
        <v>45741</v>
      </c>
      <c r="P335" t="s">
        <v>1240</v>
      </c>
    </row>
    <row r="336" spans="3:16" hidden="1">
      <c r="C336" s="25">
        <f t="shared" si="13"/>
        <v>328</v>
      </c>
      <c r="D336" s="25" t="s">
        <v>270</v>
      </c>
      <c r="E336" s="25" t="s">
        <v>1247</v>
      </c>
      <c r="F336" s="33">
        <v>45712</v>
      </c>
      <c r="G336" s="196">
        <f t="shared" si="14"/>
        <v>2025</v>
      </c>
      <c r="H336" s="25" t="s">
        <v>1248</v>
      </c>
      <c r="I336" s="25" t="s">
        <v>226</v>
      </c>
      <c r="J336" s="49" t="s">
        <v>1249</v>
      </c>
      <c r="N336" s="5" t="s">
        <v>1</v>
      </c>
      <c r="O336" s="31">
        <v>45714</v>
      </c>
      <c r="P336" t="s">
        <v>1250</v>
      </c>
    </row>
    <row r="337" spans="3:16" hidden="1">
      <c r="C337" s="25">
        <f t="shared" si="13"/>
        <v>329</v>
      </c>
      <c r="D337" s="25" t="s">
        <v>329</v>
      </c>
      <c r="E337" s="3" t="s">
        <v>1251</v>
      </c>
      <c r="F337" s="33">
        <v>45713</v>
      </c>
      <c r="G337" s="196">
        <f t="shared" si="14"/>
        <v>2025</v>
      </c>
      <c r="H337" s="25" t="s">
        <v>646</v>
      </c>
      <c r="I337" s="25" t="s">
        <v>1252</v>
      </c>
      <c r="J337" s="49" t="s">
        <v>1253</v>
      </c>
      <c r="K337" s="49" t="s">
        <v>1254</v>
      </c>
      <c r="N337" s="5" t="s">
        <v>1</v>
      </c>
      <c r="O337" s="33">
        <v>45733</v>
      </c>
      <c r="P337" t="s">
        <v>1255</v>
      </c>
    </row>
    <row r="338" spans="3:16" ht="43.2" hidden="1">
      <c r="C338" s="25">
        <f t="shared" si="13"/>
        <v>330</v>
      </c>
      <c r="D338" s="25" t="s">
        <v>96</v>
      </c>
      <c r="E338" s="25" t="s">
        <v>1071</v>
      </c>
      <c r="F338" s="33">
        <v>45713</v>
      </c>
      <c r="G338" s="196">
        <f t="shared" si="14"/>
        <v>2025</v>
      </c>
      <c r="H338" s="25" t="s">
        <v>1071</v>
      </c>
      <c r="I338" s="25" t="s">
        <v>1072</v>
      </c>
      <c r="J338" s="49" t="s">
        <v>1256</v>
      </c>
      <c r="K338" s="49" t="s">
        <v>1257</v>
      </c>
      <c r="N338" s="66" t="s">
        <v>1</v>
      </c>
      <c r="O338" s="64">
        <v>45726</v>
      </c>
      <c r="P338" s="26" t="s">
        <v>1258</v>
      </c>
    </row>
    <row r="339" spans="3:16" hidden="1">
      <c r="C339" s="25">
        <f t="shared" si="13"/>
        <v>331</v>
      </c>
      <c r="D339" s="25" t="s">
        <v>1259</v>
      </c>
      <c r="E339" s="3" t="s">
        <v>1260</v>
      </c>
      <c r="F339" s="33">
        <v>45715</v>
      </c>
      <c r="G339" s="196">
        <f t="shared" si="14"/>
        <v>2025</v>
      </c>
      <c r="H339" s="25" t="s">
        <v>2432</v>
      </c>
      <c r="I339" s="25" t="s">
        <v>1261</v>
      </c>
      <c r="J339" s="49" t="s">
        <v>1262</v>
      </c>
      <c r="N339" s="5" t="s">
        <v>1</v>
      </c>
      <c r="O339" s="31">
        <v>45714</v>
      </c>
      <c r="P339" t="s">
        <v>1140</v>
      </c>
    </row>
    <row r="340" spans="3:16" ht="129.6" hidden="1">
      <c r="C340" s="25">
        <f t="shared" si="13"/>
        <v>332</v>
      </c>
      <c r="D340" s="25" t="s">
        <v>297</v>
      </c>
      <c r="E340" s="25" t="s">
        <v>1263</v>
      </c>
      <c r="F340" s="33">
        <v>45715</v>
      </c>
      <c r="G340" s="196">
        <f t="shared" si="14"/>
        <v>2025</v>
      </c>
      <c r="H340" s="25" t="s">
        <v>2608</v>
      </c>
      <c r="I340" s="25" t="s">
        <v>802</v>
      </c>
      <c r="K340" s="49" t="s">
        <v>1264</v>
      </c>
      <c r="N340" s="71" t="s">
        <v>4</v>
      </c>
    </row>
    <row r="341" spans="3:16" ht="28.8" hidden="1">
      <c r="C341" s="25">
        <f t="shared" si="13"/>
        <v>333</v>
      </c>
      <c r="D341" s="25" t="s">
        <v>204</v>
      </c>
      <c r="E341" s="3" t="s">
        <v>1265</v>
      </c>
      <c r="F341" s="33">
        <v>45715</v>
      </c>
      <c r="G341" s="196">
        <f t="shared" si="14"/>
        <v>2025</v>
      </c>
      <c r="H341" s="25" t="s">
        <v>200</v>
      </c>
      <c r="I341" s="25" t="s">
        <v>130</v>
      </c>
      <c r="J341" s="49" t="s">
        <v>1266</v>
      </c>
      <c r="K341" s="49" t="s">
        <v>1267</v>
      </c>
      <c r="N341" s="66" t="s">
        <v>1</v>
      </c>
      <c r="O341" s="33">
        <v>45726</v>
      </c>
      <c r="P341" s="26" t="s">
        <v>1268</v>
      </c>
    </row>
    <row r="342" spans="3:16" ht="108.75" hidden="1" customHeight="1">
      <c r="C342" s="25">
        <f t="shared" si="13"/>
        <v>334</v>
      </c>
      <c r="D342" s="25" t="s">
        <v>304</v>
      </c>
      <c r="E342" s="25" t="s">
        <v>1269</v>
      </c>
      <c r="F342" s="33">
        <v>45715</v>
      </c>
      <c r="G342" s="196">
        <f t="shared" si="14"/>
        <v>2025</v>
      </c>
      <c r="H342" s="25" t="s">
        <v>76</v>
      </c>
      <c r="I342" s="25" t="s">
        <v>76</v>
      </c>
      <c r="K342" s="49" t="s">
        <v>1270</v>
      </c>
      <c r="N342" s="66" t="s">
        <v>1</v>
      </c>
      <c r="O342" s="33">
        <v>45747</v>
      </c>
      <c r="P342" s="49" t="s">
        <v>1271</v>
      </c>
    </row>
    <row r="343" spans="3:16" hidden="1">
      <c r="C343" s="25">
        <f t="shared" si="13"/>
        <v>335</v>
      </c>
      <c r="D343" s="25" t="s">
        <v>467</v>
      </c>
      <c r="E343" s="3" t="s">
        <v>1272</v>
      </c>
      <c r="F343" s="33">
        <v>45715</v>
      </c>
      <c r="G343" s="196">
        <f t="shared" si="14"/>
        <v>2025</v>
      </c>
      <c r="H343" s="25" t="s">
        <v>1273</v>
      </c>
      <c r="I343" s="25" t="s">
        <v>802</v>
      </c>
      <c r="J343" s="49" t="s">
        <v>1274</v>
      </c>
      <c r="N343" s="66" t="s">
        <v>1</v>
      </c>
      <c r="O343" s="31">
        <v>45733</v>
      </c>
      <c r="P343" t="s">
        <v>1275</v>
      </c>
    </row>
    <row r="344" spans="3:16" ht="86.4" hidden="1">
      <c r="C344" s="25">
        <f t="shared" si="13"/>
        <v>336</v>
      </c>
      <c r="D344" s="25" t="s">
        <v>270</v>
      </c>
      <c r="E344" s="25" t="s">
        <v>1276</v>
      </c>
      <c r="F344" s="33">
        <v>45716</v>
      </c>
      <c r="G344" s="196">
        <f t="shared" si="14"/>
        <v>2025</v>
      </c>
      <c r="H344" s="25" t="s">
        <v>76</v>
      </c>
      <c r="I344" s="25" t="s">
        <v>76</v>
      </c>
      <c r="J344" s="1" t="s">
        <v>1277</v>
      </c>
      <c r="K344" s="49" t="s">
        <v>1278</v>
      </c>
      <c r="N344" s="66" t="s">
        <v>1</v>
      </c>
      <c r="O344" s="33">
        <v>45726</v>
      </c>
      <c r="P344" s="1" t="s">
        <v>1279</v>
      </c>
    </row>
    <row r="345" spans="3:16" hidden="1">
      <c r="C345" s="25">
        <f t="shared" si="13"/>
        <v>337</v>
      </c>
      <c r="D345" s="25" t="s">
        <v>204</v>
      </c>
      <c r="E345" s="25" t="s">
        <v>1280</v>
      </c>
      <c r="F345" s="33">
        <v>45716</v>
      </c>
      <c r="G345" s="196">
        <f t="shared" si="14"/>
        <v>2025</v>
      </c>
      <c r="H345" s="25" t="s">
        <v>1002</v>
      </c>
      <c r="I345" s="25" t="s">
        <v>1261</v>
      </c>
      <c r="J345" s="1" t="s">
        <v>1281</v>
      </c>
      <c r="N345" s="66" t="s">
        <v>1</v>
      </c>
      <c r="O345" s="33">
        <v>45726</v>
      </c>
      <c r="P345" s="1" t="s">
        <v>1282</v>
      </c>
    </row>
    <row r="346" spans="3:16" ht="57.6" hidden="1">
      <c r="C346" s="25">
        <f t="shared" si="13"/>
        <v>338</v>
      </c>
      <c r="D346" s="25" t="s">
        <v>1212</v>
      </c>
      <c r="E346" s="3" t="s">
        <v>1283</v>
      </c>
      <c r="F346" s="33">
        <v>45716</v>
      </c>
      <c r="G346" s="196">
        <f t="shared" si="14"/>
        <v>2025</v>
      </c>
      <c r="H346" s="25" t="s">
        <v>1213</v>
      </c>
      <c r="I346" s="25" t="s">
        <v>130</v>
      </c>
      <c r="J346" s="2"/>
      <c r="K346" s="49" t="s">
        <v>1284</v>
      </c>
      <c r="N346" s="134" t="s">
        <v>3</v>
      </c>
      <c r="O346" s="33">
        <v>45741</v>
      </c>
    </row>
    <row r="347" spans="3:16" ht="43.2" hidden="1">
      <c r="C347" s="25">
        <f t="shared" si="13"/>
        <v>339</v>
      </c>
      <c r="D347" s="25" t="s">
        <v>1285</v>
      </c>
      <c r="E347" s="25" t="s">
        <v>1286</v>
      </c>
      <c r="F347" s="33">
        <v>45726</v>
      </c>
      <c r="G347" s="196">
        <f t="shared" si="14"/>
        <v>2025</v>
      </c>
      <c r="H347" s="25" t="s">
        <v>2599</v>
      </c>
      <c r="I347" s="25" t="s">
        <v>1918</v>
      </c>
      <c r="J347" s="2" t="s">
        <v>1287</v>
      </c>
      <c r="K347" s="49" t="s">
        <v>1288</v>
      </c>
      <c r="N347" s="66" t="s">
        <v>1</v>
      </c>
      <c r="O347" s="33">
        <v>45751</v>
      </c>
      <c r="P347" s="26" t="s">
        <v>1289</v>
      </c>
    </row>
    <row r="348" spans="3:16" hidden="1">
      <c r="C348" s="25">
        <f t="shared" si="13"/>
        <v>340</v>
      </c>
      <c r="D348" s="25" t="s">
        <v>1045</v>
      </c>
      <c r="E348" s="25" t="s">
        <v>1290</v>
      </c>
      <c r="F348" s="31">
        <v>45726</v>
      </c>
      <c r="G348" s="57">
        <f t="shared" si="14"/>
        <v>2025</v>
      </c>
      <c r="H348" s="25" t="s">
        <v>1291</v>
      </c>
      <c r="I348" s="25" t="s">
        <v>226</v>
      </c>
      <c r="K348" s="49" t="s">
        <v>1292</v>
      </c>
      <c r="N348" s="71" t="s">
        <v>4</v>
      </c>
    </row>
    <row r="349" spans="3:16" ht="86.4" hidden="1">
      <c r="C349" s="25">
        <f t="shared" si="13"/>
        <v>341</v>
      </c>
      <c r="D349" s="25" t="s">
        <v>329</v>
      </c>
      <c r="E349" s="25" t="s">
        <v>1293</v>
      </c>
      <c r="F349" s="33">
        <v>45726</v>
      </c>
      <c r="G349" s="196">
        <f t="shared" si="14"/>
        <v>2025</v>
      </c>
      <c r="H349" s="25" t="s">
        <v>1294</v>
      </c>
      <c r="I349" s="25" t="s">
        <v>1295</v>
      </c>
      <c r="K349" s="49" t="s">
        <v>1296</v>
      </c>
      <c r="N349" s="66" t="s">
        <v>1</v>
      </c>
      <c r="O349" s="64">
        <v>45761</v>
      </c>
      <c r="P349" s="2" t="s">
        <v>1297</v>
      </c>
    </row>
    <row r="350" spans="3:16" hidden="1">
      <c r="C350" s="25">
        <f t="shared" si="13"/>
        <v>342</v>
      </c>
      <c r="D350" s="25" t="s">
        <v>204</v>
      </c>
      <c r="E350" s="25" t="s">
        <v>1298</v>
      </c>
      <c r="F350" s="31">
        <v>45726</v>
      </c>
      <c r="G350" s="57">
        <f t="shared" si="14"/>
        <v>2025</v>
      </c>
      <c r="H350" s="25" t="s">
        <v>1299</v>
      </c>
      <c r="I350" s="25" t="s">
        <v>130</v>
      </c>
      <c r="K350" s="53" t="s">
        <v>1300</v>
      </c>
      <c r="N350" s="5" t="s">
        <v>1</v>
      </c>
      <c r="O350" s="33">
        <v>45733</v>
      </c>
      <c r="P350" t="s">
        <v>1301</v>
      </c>
    </row>
    <row r="351" spans="3:16" ht="28.8" hidden="1">
      <c r="C351" s="25">
        <f t="shared" si="13"/>
        <v>343</v>
      </c>
      <c r="D351" s="25" t="s">
        <v>204</v>
      </c>
      <c r="E351" s="25" t="s">
        <v>464</v>
      </c>
      <c r="F351" s="33">
        <v>45726</v>
      </c>
      <c r="G351" s="196">
        <f t="shared" si="14"/>
        <v>2025</v>
      </c>
      <c r="H351" s="25" t="s">
        <v>206</v>
      </c>
      <c r="I351" s="25" t="s">
        <v>1193</v>
      </c>
      <c r="K351" s="53" t="s">
        <v>1081</v>
      </c>
      <c r="N351" s="66" t="s">
        <v>1</v>
      </c>
      <c r="O351" s="33">
        <v>45747</v>
      </c>
      <c r="P351" s="1" t="s">
        <v>1302</v>
      </c>
    </row>
    <row r="352" spans="3:16" ht="86.4" hidden="1">
      <c r="C352" s="25">
        <f t="shared" si="13"/>
        <v>344</v>
      </c>
      <c r="D352" s="25" t="s">
        <v>204</v>
      </c>
      <c r="E352" s="25" t="s">
        <v>1303</v>
      </c>
      <c r="F352" s="33">
        <v>45726</v>
      </c>
      <c r="G352" s="196">
        <f t="shared" si="14"/>
        <v>2025</v>
      </c>
      <c r="H352" s="25" t="s">
        <v>553</v>
      </c>
      <c r="I352" s="25" t="s">
        <v>1193</v>
      </c>
      <c r="K352" s="49" t="s">
        <v>1304</v>
      </c>
      <c r="N352" s="66" t="s">
        <v>1</v>
      </c>
      <c r="O352" s="33">
        <v>45783</v>
      </c>
      <c r="P352" s="26" t="s">
        <v>1305</v>
      </c>
    </row>
    <row r="353" spans="3:17" hidden="1">
      <c r="C353" s="25">
        <f t="shared" si="13"/>
        <v>345</v>
      </c>
      <c r="D353" s="25" t="s">
        <v>86</v>
      </c>
      <c r="E353" s="3" t="s">
        <v>1306</v>
      </c>
      <c r="F353" s="33">
        <v>45729</v>
      </c>
      <c r="G353" s="196">
        <f t="shared" si="14"/>
        <v>2025</v>
      </c>
      <c r="H353" s="25" t="s">
        <v>76</v>
      </c>
      <c r="I353" s="25" t="s">
        <v>76</v>
      </c>
      <c r="J353" s="26"/>
      <c r="K353" s="26"/>
      <c r="L353" s="26"/>
      <c r="M353" s="26"/>
      <c r="N353" s="5" t="s">
        <v>1</v>
      </c>
      <c r="O353" s="26"/>
      <c r="P353" s="26"/>
      <c r="Q353" s="26"/>
    </row>
    <row r="354" spans="3:17" ht="43.2" hidden="1">
      <c r="C354" s="25">
        <f t="shared" si="13"/>
        <v>346</v>
      </c>
      <c r="D354" s="25" t="s">
        <v>1307</v>
      </c>
      <c r="E354" s="25" t="s">
        <v>1308</v>
      </c>
      <c r="F354" s="33">
        <v>45731</v>
      </c>
      <c r="G354" s="196">
        <f t="shared" si="14"/>
        <v>2025</v>
      </c>
      <c r="H354" s="25" t="s">
        <v>2605</v>
      </c>
      <c r="I354" s="25" t="s">
        <v>130</v>
      </c>
      <c r="J354" s="1" t="s">
        <v>1309</v>
      </c>
      <c r="K354" s="49" t="s">
        <v>1310</v>
      </c>
      <c r="N354" s="66" t="s">
        <v>1</v>
      </c>
      <c r="O354" s="162">
        <v>45831</v>
      </c>
      <c r="P354" t="s">
        <v>1311</v>
      </c>
    </row>
    <row r="355" spans="3:17" hidden="1">
      <c r="C355" s="25">
        <f t="shared" si="13"/>
        <v>347</v>
      </c>
      <c r="D355" s="25" t="s">
        <v>297</v>
      </c>
      <c r="E355" s="25" t="s">
        <v>1312</v>
      </c>
      <c r="F355" s="31">
        <v>45728</v>
      </c>
      <c r="G355" s="57">
        <f t="shared" si="14"/>
        <v>2025</v>
      </c>
      <c r="H355" s="25" t="s">
        <v>76</v>
      </c>
      <c r="I355" s="25" t="s">
        <v>76</v>
      </c>
      <c r="N355" s="5" t="s">
        <v>1</v>
      </c>
    </row>
    <row r="356" spans="3:17" hidden="1">
      <c r="C356" s="25">
        <f t="shared" si="13"/>
        <v>348</v>
      </c>
      <c r="D356" s="25" t="s">
        <v>695</v>
      </c>
      <c r="F356" s="31">
        <v>45733</v>
      </c>
      <c r="G356" s="57">
        <f t="shared" si="14"/>
        <v>2025</v>
      </c>
      <c r="H356" s="25" t="s">
        <v>1313</v>
      </c>
      <c r="I356" s="25" t="s">
        <v>130</v>
      </c>
      <c r="K356" s="49" t="s">
        <v>1314</v>
      </c>
      <c r="N356" s="66" t="s">
        <v>1</v>
      </c>
      <c r="O356" s="31">
        <v>45761</v>
      </c>
      <c r="P356" t="s">
        <v>1311</v>
      </c>
    </row>
    <row r="357" spans="3:17" ht="57.6" hidden="1">
      <c r="C357" s="25">
        <f t="shared" si="13"/>
        <v>349</v>
      </c>
      <c r="D357" s="25" t="s">
        <v>297</v>
      </c>
      <c r="E357" s="25" t="s">
        <v>1315</v>
      </c>
      <c r="F357" s="33">
        <v>45733</v>
      </c>
      <c r="G357" s="196">
        <f t="shared" si="14"/>
        <v>2025</v>
      </c>
      <c r="H357" s="25" t="s">
        <v>994</v>
      </c>
      <c r="I357" s="25" t="s">
        <v>226</v>
      </c>
      <c r="J357" s="3" t="s">
        <v>1316</v>
      </c>
      <c r="N357" s="66" t="s">
        <v>1</v>
      </c>
      <c r="O357" s="33">
        <v>45744</v>
      </c>
      <c r="P357" s="26" t="s">
        <v>1317</v>
      </c>
    </row>
    <row r="358" spans="3:17" ht="86.4" hidden="1">
      <c r="C358" s="25">
        <f t="shared" si="13"/>
        <v>350</v>
      </c>
      <c r="D358" s="25" t="s">
        <v>329</v>
      </c>
      <c r="E358" s="25" t="s">
        <v>1318</v>
      </c>
      <c r="F358" s="33">
        <v>45734</v>
      </c>
      <c r="G358" s="196">
        <f t="shared" si="14"/>
        <v>2025</v>
      </c>
      <c r="H358" s="25" t="s">
        <v>1319</v>
      </c>
      <c r="I358" s="25" t="s">
        <v>1252</v>
      </c>
      <c r="J358" s="3" t="s">
        <v>1320</v>
      </c>
      <c r="K358" s="49" t="s">
        <v>1321</v>
      </c>
      <c r="N358" s="66" t="s">
        <v>1</v>
      </c>
      <c r="O358" s="33">
        <v>45796</v>
      </c>
      <c r="P358" s="25" t="s">
        <v>1322</v>
      </c>
    </row>
    <row r="359" spans="3:17" ht="72" hidden="1">
      <c r="C359" s="25">
        <f t="shared" si="13"/>
        <v>351</v>
      </c>
      <c r="D359" s="25" t="s">
        <v>270</v>
      </c>
      <c r="E359" s="3" t="s">
        <v>1323</v>
      </c>
      <c r="F359" s="33">
        <v>45734</v>
      </c>
      <c r="G359" s="196">
        <f t="shared" si="14"/>
        <v>2025</v>
      </c>
      <c r="H359" s="25" t="s">
        <v>994</v>
      </c>
      <c r="I359" s="25" t="s">
        <v>226</v>
      </c>
      <c r="J359" s="3" t="s">
        <v>1324</v>
      </c>
      <c r="K359" s="26" t="s">
        <v>1325</v>
      </c>
      <c r="N359" s="66" t="s">
        <v>1</v>
      </c>
      <c r="O359" s="33">
        <v>45757</v>
      </c>
      <c r="P359" s="1" t="s">
        <v>1326</v>
      </c>
    </row>
    <row r="360" spans="3:17" hidden="1">
      <c r="C360" s="25">
        <f t="shared" si="13"/>
        <v>352</v>
      </c>
      <c r="D360" s="25" t="s">
        <v>1045</v>
      </c>
      <c r="E360" s="25" t="s">
        <v>1327</v>
      </c>
      <c r="F360" s="33">
        <v>45734</v>
      </c>
      <c r="G360" s="196">
        <f t="shared" si="14"/>
        <v>2025</v>
      </c>
      <c r="H360" s="25" t="s">
        <v>1328</v>
      </c>
      <c r="I360" s="25" t="s">
        <v>872</v>
      </c>
      <c r="K360" t="s">
        <v>1329</v>
      </c>
      <c r="N360" s="66" t="s">
        <v>1</v>
      </c>
      <c r="O360" s="33">
        <v>45744</v>
      </c>
      <c r="P360" s="1" t="s">
        <v>1330</v>
      </c>
    </row>
    <row r="361" spans="3:17" ht="28.8" hidden="1">
      <c r="C361" s="25">
        <f>+C360+1</f>
        <v>353</v>
      </c>
      <c r="D361" s="25" t="s">
        <v>1045</v>
      </c>
      <c r="E361" s="25" t="s">
        <v>1331</v>
      </c>
      <c r="F361" s="33">
        <v>45737</v>
      </c>
      <c r="G361" s="196">
        <f t="shared" si="14"/>
        <v>2025</v>
      </c>
      <c r="H361" s="25" t="s">
        <v>1332</v>
      </c>
      <c r="I361" s="25" t="s">
        <v>226</v>
      </c>
      <c r="J361" s="3" t="s">
        <v>1333</v>
      </c>
      <c r="K361" s="2" t="s">
        <v>1334</v>
      </c>
      <c r="N361" s="66" t="s">
        <v>1</v>
      </c>
      <c r="O361" s="33">
        <v>45786</v>
      </c>
      <c r="P361" s="2" t="s">
        <v>1335</v>
      </c>
    </row>
    <row r="362" spans="3:17" ht="86.4" hidden="1">
      <c r="C362" s="25">
        <f t="shared" si="13"/>
        <v>354</v>
      </c>
      <c r="D362" s="25" t="s">
        <v>270</v>
      </c>
      <c r="E362" s="25" t="s">
        <v>1336</v>
      </c>
      <c r="F362" s="33">
        <v>45737</v>
      </c>
      <c r="G362" s="196">
        <f t="shared" si="14"/>
        <v>2025</v>
      </c>
      <c r="H362" s="25" t="s">
        <v>1234</v>
      </c>
      <c r="I362" s="25" t="s">
        <v>802</v>
      </c>
      <c r="K362" s="49" t="s">
        <v>1337</v>
      </c>
      <c r="N362" s="66" t="s">
        <v>1</v>
      </c>
      <c r="O362" s="33">
        <v>45796</v>
      </c>
      <c r="P362" s="26" t="s">
        <v>1338</v>
      </c>
    </row>
    <row r="363" spans="3:17" ht="57.6" hidden="1">
      <c r="C363" s="25">
        <f t="shared" si="13"/>
        <v>355</v>
      </c>
      <c r="D363" s="25" t="s">
        <v>1045</v>
      </c>
      <c r="E363" s="25" t="s">
        <v>1339</v>
      </c>
      <c r="F363" s="33">
        <v>45744</v>
      </c>
      <c r="G363" s="196">
        <f t="shared" si="14"/>
        <v>2025</v>
      </c>
      <c r="H363" s="25" t="s">
        <v>76</v>
      </c>
      <c r="I363" s="25" t="s">
        <v>76</v>
      </c>
      <c r="J363" s="59" t="s">
        <v>1340</v>
      </c>
      <c r="K363" s="49" t="s">
        <v>1341</v>
      </c>
      <c r="N363" s="66" t="s">
        <v>1</v>
      </c>
      <c r="O363" s="33">
        <v>45769</v>
      </c>
      <c r="P363" s="26" t="s">
        <v>1342</v>
      </c>
    </row>
    <row r="364" spans="3:17" ht="100.8" hidden="1">
      <c r="C364" s="25">
        <f t="shared" si="13"/>
        <v>356</v>
      </c>
      <c r="D364" s="25" t="s">
        <v>329</v>
      </c>
      <c r="E364" s="25" t="s">
        <v>1343</v>
      </c>
      <c r="F364" s="33">
        <v>45747</v>
      </c>
      <c r="G364" s="196">
        <f t="shared" si="14"/>
        <v>2025</v>
      </c>
      <c r="H364" s="25" t="s">
        <v>1344</v>
      </c>
      <c r="I364" s="25" t="s">
        <v>1252</v>
      </c>
      <c r="J364" s="53" t="s">
        <v>1345</v>
      </c>
      <c r="K364" s="49" t="s">
        <v>1346</v>
      </c>
      <c r="N364" s="66" t="s">
        <v>1</v>
      </c>
      <c r="O364" s="33">
        <v>45805</v>
      </c>
      <c r="P364" s="26" t="s">
        <v>1347</v>
      </c>
    </row>
    <row r="365" spans="3:17" ht="43.2" hidden="1">
      <c r="C365" s="25">
        <f t="shared" si="13"/>
        <v>357</v>
      </c>
      <c r="D365" s="25" t="s">
        <v>1307</v>
      </c>
      <c r="E365" s="25" t="s">
        <v>239</v>
      </c>
      <c r="F365" s="33">
        <v>45742</v>
      </c>
      <c r="G365" s="196">
        <f t="shared" si="14"/>
        <v>2025</v>
      </c>
      <c r="H365" s="25" t="s">
        <v>1348</v>
      </c>
      <c r="I365" s="25" t="s">
        <v>226</v>
      </c>
      <c r="J365" s="25" t="s">
        <v>1349</v>
      </c>
      <c r="K365" s="49" t="s">
        <v>1350</v>
      </c>
      <c r="N365" s="66" t="s">
        <v>1</v>
      </c>
      <c r="O365" s="33">
        <v>45769</v>
      </c>
      <c r="P365" s="26" t="s">
        <v>1351</v>
      </c>
    </row>
    <row r="366" spans="3:17" hidden="1">
      <c r="C366" s="25">
        <f t="shared" si="13"/>
        <v>358</v>
      </c>
      <c r="D366" s="25" t="s">
        <v>270</v>
      </c>
      <c r="E366" s="25" t="s">
        <v>1352</v>
      </c>
      <c r="F366" s="33">
        <v>45742</v>
      </c>
      <c r="G366" s="196">
        <f t="shared" si="14"/>
        <v>2025</v>
      </c>
      <c r="H366" s="25" t="s">
        <v>1353</v>
      </c>
      <c r="I366" s="25" t="s">
        <v>226</v>
      </c>
      <c r="K366" s="49" t="s">
        <v>1354</v>
      </c>
      <c r="N366" s="66" t="s">
        <v>1</v>
      </c>
      <c r="O366" s="31">
        <v>45761</v>
      </c>
    </row>
    <row r="367" spans="3:17" ht="28.8" hidden="1">
      <c r="C367" s="25">
        <f t="shared" si="13"/>
        <v>359</v>
      </c>
      <c r="D367" s="25" t="s">
        <v>807</v>
      </c>
      <c r="E367" s="25" t="s">
        <v>931</v>
      </c>
      <c r="F367" s="33">
        <v>45742</v>
      </c>
      <c r="G367" s="196">
        <f t="shared" si="14"/>
        <v>2025</v>
      </c>
      <c r="H367" s="25" t="s">
        <v>994</v>
      </c>
      <c r="I367" s="25" t="s">
        <v>226</v>
      </c>
      <c r="J367" s="49" t="s">
        <v>1355</v>
      </c>
      <c r="K367" s="49" t="s">
        <v>1356</v>
      </c>
      <c r="N367" s="66" t="s">
        <v>1</v>
      </c>
      <c r="O367" s="33">
        <v>45754</v>
      </c>
      <c r="P367" s="2" t="s">
        <v>1357</v>
      </c>
    </row>
    <row r="368" spans="3:17" ht="28.8" hidden="1">
      <c r="C368" s="25">
        <f t="shared" si="13"/>
        <v>360</v>
      </c>
      <c r="D368" s="25" t="s">
        <v>86</v>
      </c>
      <c r="E368" s="25" t="s">
        <v>1358</v>
      </c>
      <c r="F368" s="33">
        <v>45744</v>
      </c>
      <c r="G368" s="196">
        <f t="shared" si="14"/>
        <v>2025</v>
      </c>
      <c r="H368" s="25" t="s">
        <v>994</v>
      </c>
      <c r="I368" s="25" t="s">
        <v>226</v>
      </c>
      <c r="N368" s="66" t="s">
        <v>1</v>
      </c>
      <c r="O368" s="33">
        <v>45769</v>
      </c>
      <c r="P368" s="1" t="s">
        <v>1359</v>
      </c>
    </row>
    <row r="369" spans="3:16" hidden="1">
      <c r="C369" s="25">
        <f t="shared" si="13"/>
        <v>361</v>
      </c>
      <c r="D369" s="24" t="s">
        <v>270</v>
      </c>
      <c r="E369" s="25" t="s">
        <v>1360</v>
      </c>
      <c r="F369" s="31">
        <v>45747</v>
      </c>
      <c r="G369" s="57">
        <f t="shared" si="14"/>
        <v>2025</v>
      </c>
      <c r="H369" s="25" t="s">
        <v>82</v>
      </c>
      <c r="I369" s="25" t="s">
        <v>189</v>
      </c>
      <c r="N369" s="66" t="s">
        <v>1</v>
      </c>
      <c r="O369" s="33">
        <v>45754</v>
      </c>
      <c r="P369" t="s">
        <v>1361</v>
      </c>
    </row>
    <row r="370" spans="3:16" ht="172.8" hidden="1">
      <c r="C370" s="25">
        <f t="shared" si="13"/>
        <v>362</v>
      </c>
      <c r="D370" s="25" t="s">
        <v>329</v>
      </c>
      <c r="E370" s="25" t="s">
        <v>1362</v>
      </c>
      <c r="F370" s="33">
        <v>45751</v>
      </c>
      <c r="G370" s="196">
        <f t="shared" si="14"/>
        <v>2025</v>
      </c>
      <c r="H370" s="25" t="s">
        <v>2599</v>
      </c>
      <c r="I370" s="25" t="s">
        <v>1918</v>
      </c>
      <c r="J370" s="49" t="s">
        <v>1363</v>
      </c>
      <c r="K370" s="49" t="s">
        <v>2220</v>
      </c>
      <c r="N370" s="134" t="s">
        <v>3</v>
      </c>
      <c r="O370" s="33">
        <v>45912</v>
      </c>
    </row>
    <row r="371" spans="3:16" ht="28.8" hidden="1">
      <c r="C371" s="25">
        <f t="shared" si="13"/>
        <v>363</v>
      </c>
      <c r="D371" s="25" t="s">
        <v>329</v>
      </c>
      <c r="E371" s="25" t="s">
        <v>1364</v>
      </c>
      <c r="F371" s="33">
        <v>45751</v>
      </c>
      <c r="G371" s="196">
        <f t="shared" si="14"/>
        <v>2025</v>
      </c>
      <c r="H371" s="25" t="s">
        <v>76</v>
      </c>
      <c r="I371" s="25" t="s">
        <v>76</v>
      </c>
      <c r="J371" s="49" t="s">
        <v>1365</v>
      </c>
      <c r="K371" s="49" t="s">
        <v>1366</v>
      </c>
      <c r="N371" s="66" t="s">
        <v>1</v>
      </c>
      <c r="O371" s="33">
        <v>45769</v>
      </c>
      <c r="P371" s="26" t="s">
        <v>1367</v>
      </c>
    </row>
    <row r="372" spans="3:16" ht="28.8" hidden="1">
      <c r="C372" s="25">
        <f t="shared" si="13"/>
        <v>364</v>
      </c>
      <c r="D372" s="25" t="s">
        <v>1045</v>
      </c>
      <c r="E372" s="25" t="s">
        <v>1368</v>
      </c>
      <c r="F372" s="33">
        <v>45751</v>
      </c>
      <c r="G372" s="196">
        <f t="shared" si="14"/>
        <v>2025</v>
      </c>
      <c r="H372" s="25" t="s">
        <v>76</v>
      </c>
      <c r="I372" s="25" t="s">
        <v>76</v>
      </c>
      <c r="J372" s="49" t="s">
        <v>1369</v>
      </c>
      <c r="K372" s="49" t="s">
        <v>1370</v>
      </c>
      <c r="N372" s="66" t="s">
        <v>1</v>
      </c>
      <c r="O372" s="33">
        <v>45758</v>
      </c>
      <c r="P372" s="1" t="s">
        <v>1371</v>
      </c>
    </row>
    <row r="373" spans="3:16" ht="86.4" hidden="1">
      <c r="C373" s="25">
        <f t="shared" si="13"/>
        <v>365</v>
      </c>
      <c r="D373" s="25" t="s">
        <v>204</v>
      </c>
      <c r="E373" s="25" t="s">
        <v>1372</v>
      </c>
      <c r="F373" s="33">
        <v>45751</v>
      </c>
      <c r="G373" s="196">
        <f t="shared" si="14"/>
        <v>2025</v>
      </c>
      <c r="H373" s="25" t="s">
        <v>1372</v>
      </c>
      <c r="I373" s="25" t="s">
        <v>1193</v>
      </c>
      <c r="J373" s="49" t="s">
        <v>1373</v>
      </c>
      <c r="K373" s="49" t="s">
        <v>1374</v>
      </c>
      <c r="N373" s="66" t="s">
        <v>1</v>
      </c>
      <c r="O373" s="33">
        <v>45769</v>
      </c>
      <c r="P373" s="2" t="s">
        <v>1375</v>
      </c>
    </row>
    <row r="374" spans="3:16" ht="72" hidden="1">
      <c r="C374" s="25">
        <f t="shared" si="13"/>
        <v>366</v>
      </c>
      <c r="D374" s="25" t="s">
        <v>1045</v>
      </c>
      <c r="E374" s="25" t="s">
        <v>1376</v>
      </c>
      <c r="F374" s="33">
        <v>45751</v>
      </c>
      <c r="G374" s="196">
        <f t="shared" si="14"/>
        <v>2025</v>
      </c>
      <c r="H374" s="25" t="s">
        <v>1328</v>
      </c>
      <c r="I374" s="25" t="s">
        <v>872</v>
      </c>
      <c r="J374" s="49" t="s">
        <v>1377</v>
      </c>
      <c r="K374" s="49" t="s">
        <v>1378</v>
      </c>
      <c r="N374" s="66" t="s">
        <v>1</v>
      </c>
      <c r="O374" s="4">
        <v>45831</v>
      </c>
      <c r="P374" s="2" t="s">
        <v>1379</v>
      </c>
    </row>
    <row r="375" spans="3:16" ht="10.5" hidden="1" customHeight="1">
      <c r="C375" s="25">
        <f t="shared" si="13"/>
        <v>367</v>
      </c>
      <c r="D375" s="25" t="s">
        <v>1045</v>
      </c>
      <c r="E375" s="25" t="s">
        <v>1380</v>
      </c>
      <c r="F375" s="31">
        <v>45748</v>
      </c>
      <c r="G375" s="57">
        <f t="shared" si="14"/>
        <v>2025</v>
      </c>
      <c r="K375" s="49" t="s">
        <v>1381</v>
      </c>
      <c r="N375" s="66" t="s">
        <v>1</v>
      </c>
      <c r="O375" s="31">
        <v>45754</v>
      </c>
      <c r="P375" t="s">
        <v>1382</v>
      </c>
    </row>
    <row r="376" spans="3:16" ht="28.8" hidden="1">
      <c r="C376" s="25">
        <f t="shared" si="13"/>
        <v>368</v>
      </c>
      <c r="D376" s="25" t="s">
        <v>204</v>
      </c>
      <c r="E376" s="25" t="s">
        <v>1383</v>
      </c>
      <c r="F376" s="33">
        <v>45748</v>
      </c>
      <c r="G376" s="196">
        <f t="shared" si="14"/>
        <v>2025</v>
      </c>
      <c r="H376" s="25" t="s">
        <v>2609</v>
      </c>
      <c r="I376" s="25" t="s">
        <v>802</v>
      </c>
      <c r="J376" s="2" t="s">
        <v>1384</v>
      </c>
      <c r="K376" s="49" t="s">
        <v>1385</v>
      </c>
      <c r="N376" s="66" t="s">
        <v>1</v>
      </c>
      <c r="O376" s="64">
        <v>45796</v>
      </c>
      <c r="P376" s="26" t="s">
        <v>1386</v>
      </c>
    </row>
    <row r="377" spans="3:16" ht="28.8" hidden="1">
      <c r="C377" s="25">
        <f t="shared" si="13"/>
        <v>369</v>
      </c>
      <c r="D377" s="25" t="s">
        <v>1387</v>
      </c>
      <c r="E377" s="25" t="s">
        <v>1388</v>
      </c>
      <c r="F377" s="31">
        <v>45751</v>
      </c>
      <c r="G377" s="57">
        <f t="shared" si="14"/>
        <v>2025</v>
      </c>
      <c r="H377" s="24" t="s">
        <v>226</v>
      </c>
      <c r="I377" s="24" t="s">
        <v>226</v>
      </c>
      <c r="K377" s="49" t="s">
        <v>1389</v>
      </c>
      <c r="N377" s="71" t="s">
        <v>4</v>
      </c>
    </row>
    <row r="378" spans="3:16" hidden="1">
      <c r="C378" s="25">
        <f t="shared" si="13"/>
        <v>370</v>
      </c>
      <c r="D378" s="25" t="s">
        <v>86</v>
      </c>
      <c r="E378" s="25" t="s">
        <v>1390</v>
      </c>
      <c r="F378" s="31">
        <v>45751</v>
      </c>
      <c r="G378" s="57">
        <f t="shared" si="14"/>
        <v>2025</v>
      </c>
      <c r="H378" s="24" t="s">
        <v>1391</v>
      </c>
      <c r="I378" s="25" t="s">
        <v>130</v>
      </c>
      <c r="N378" s="66" t="s">
        <v>1</v>
      </c>
      <c r="O378" s="31">
        <v>45761</v>
      </c>
      <c r="P378" t="s">
        <v>1392</v>
      </c>
    </row>
    <row r="379" spans="3:16" ht="28.8" hidden="1">
      <c r="C379" s="25">
        <f t="shared" si="13"/>
        <v>371</v>
      </c>
      <c r="D379" s="25" t="s">
        <v>270</v>
      </c>
      <c r="E379" s="25" t="s">
        <v>1393</v>
      </c>
      <c r="F379" s="31">
        <v>45754</v>
      </c>
      <c r="G379" s="57">
        <f t="shared" si="14"/>
        <v>2025</v>
      </c>
      <c r="H379" s="25" t="s">
        <v>2455</v>
      </c>
      <c r="I379" s="25" t="s">
        <v>226</v>
      </c>
      <c r="K379" s="49" t="s">
        <v>1395</v>
      </c>
      <c r="N379" s="66" t="s">
        <v>1</v>
      </c>
      <c r="O379" s="33">
        <v>45805</v>
      </c>
      <c r="P379" s="26" t="s">
        <v>1396</v>
      </c>
    </row>
    <row r="380" spans="3:16" ht="28.8" hidden="1">
      <c r="C380" s="25">
        <f t="shared" si="13"/>
        <v>372</v>
      </c>
      <c r="D380" s="25" t="s">
        <v>96</v>
      </c>
      <c r="E380" s="25" t="s">
        <v>1397</v>
      </c>
      <c r="F380" s="31">
        <v>45754</v>
      </c>
      <c r="G380" s="57">
        <f t="shared" si="14"/>
        <v>2025</v>
      </c>
      <c r="H380" s="25" t="s">
        <v>1328</v>
      </c>
      <c r="I380" s="25" t="s">
        <v>872</v>
      </c>
      <c r="J380" s="53" t="s">
        <v>1398</v>
      </c>
      <c r="K380" s="1" t="s">
        <v>1399</v>
      </c>
      <c r="N380" s="66" t="s">
        <v>1</v>
      </c>
      <c r="O380" s="33">
        <v>45769</v>
      </c>
    </row>
    <row r="381" spans="3:16" ht="86.4" hidden="1">
      <c r="C381" s="25">
        <f t="shared" si="13"/>
        <v>373</v>
      </c>
      <c r="D381" s="25" t="s">
        <v>96</v>
      </c>
      <c r="E381" s="25" t="s">
        <v>1400</v>
      </c>
      <c r="F381" s="33">
        <v>45754</v>
      </c>
      <c r="G381" s="196">
        <f t="shared" si="14"/>
        <v>2025</v>
      </c>
      <c r="H381" s="25" t="s">
        <v>1401</v>
      </c>
      <c r="I381" s="25" t="s">
        <v>189</v>
      </c>
      <c r="J381" s="2" t="s">
        <v>1402</v>
      </c>
      <c r="K381" s="2" t="s">
        <v>1920</v>
      </c>
      <c r="N381" s="71" t="s">
        <v>4</v>
      </c>
    </row>
    <row r="382" spans="3:16" hidden="1">
      <c r="C382" s="25">
        <f t="shared" ref="C382:C478" si="15">+C381+1</f>
        <v>374</v>
      </c>
      <c r="D382" s="25" t="s">
        <v>1403</v>
      </c>
      <c r="E382" s="25" t="s">
        <v>378</v>
      </c>
      <c r="F382" s="33">
        <v>45754</v>
      </c>
      <c r="G382" s="196">
        <f t="shared" si="14"/>
        <v>2025</v>
      </c>
      <c r="N382" s="66" t="s">
        <v>1</v>
      </c>
      <c r="O382" s="31">
        <v>45761</v>
      </c>
      <c r="P382" t="s">
        <v>1404</v>
      </c>
    </row>
    <row r="383" spans="3:16" hidden="1">
      <c r="C383" s="25">
        <f t="shared" si="15"/>
        <v>375</v>
      </c>
      <c r="D383" s="25" t="s">
        <v>297</v>
      </c>
      <c r="E383" s="25" t="s">
        <v>1405</v>
      </c>
      <c r="F383" s="33">
        <v>45757</v>
      </c>
      <c r="G383" s="196">
        <f t="shared" si="14"/>
        <v>2025</v>
      </c>
      <c r="H383" s="24" t="s">
        <v>1406</v>
      </c>
      <c r="I383" s="25" t="s">
        <v>802</v>
      </c>
      <c r="N383" s="66" t="s">
        <v>1</v>
      </c>
      <c r="O383" s="33">
        <v>45769</v>
      </c>
      <c r="P383" t="s">
        <v>1407</v>
      </c>
    </row>
    <row r="384" spans="3:16" ht="43.2" hidden="1">
      <c r="C384" s="25">
        <f t="shared" si="15"/>
        <v>376</v>
      </c>
      <c r="D384" s="25" t="s">
        <v>270</v>
      </c>
      <c r="E384" s="25" t="s">
        <v>1408</v>
      </c>
      <c r="F384" s="33">
        <v>45757</v>
      </c>
      <c r="G384" s="196">
        <f t="shared" si="14"/>
        <v>2025</v>
      </c>
      <c r="H384" s="25" t="s">
        <v>1409</v>
      </c>
      <c r="I384" s="25" t="s">
        <v>130</v>
      </c>
      <c r="J384" s="25" t="s">
        <v>1410</v>
      </c>
      <c r="K384" s="1" t="s">
        <v>1411</v>
      </c>
      <c r="N384" s="66" t="s">
        <v>1</v>
      </c>
    </row>
    <row r="385" spans="3:16" hidden="1">
      <c r="C385" s="25">
        <f t="shared" si="15"/>
        <v>377</v>
      </c>
      <c r="D385" s="25" t="s">
        <v>297</v>
      </c>
      <c r="E385" s="25" t="s">
        <v>1412</v>
      </c>
      <c r="F385" s="33">
        <v>45757</v>
      </c>
      <c r="G385" s="196">
        <f t="shared" si="14"/>
        <v>2025</v>
      </c>
      <c r="H385" s="24" t="s">
        <v>144</v>
      </c>
      <c r="I385" s="25" t="s">
        <v>130</v>
      </c>
      <c r="N385" s="66" t="s">
        <v>1</v>
      </c>
      <c r="O385" s="31">
        <v>45761</v>
      </c>
      <c r="P385" t="s">
        <v>1413</v>
      </c>
    </row>
    <row r="386" spans="3:16" ht="43.2" hidden="1">
      <c r="C386" s="25">
        <f t="shared" si="15"/>
        <v>378</v>
      </c>
      <c r="D386" s="25" t="s">
        <v>1045</v>
      </c>
      <c r="E386" s="25" t="s">
        <v>1414</v>
      </c>
      <c r="F386" s="33">
        <v>45764</v>
      </c>
      <c r="G386" s="196">
        <f t="shared" si="14"/>
        <v>2025</v>
      </c>
      <c r="H386" s="25" t="s">
        <v>1313</v>
      </c>
      <c r="I386" s="25" t="s">
        <v>130</v>
      </c>
      <c r="J386" s="3" t="s">
        <v>1415</v>
      </c>
      <c r="K386" s="2" t="s">
        <v>1416</v>
      </c>
      <c r="N386" s="66" t="s">
        <v>1</v>
      </c>
      <c r="O386" s="33">
        <v>45789</v>
      </c>
      <c r="P386" s="2" t="s">
        <v>1417</v>
      </c>
    </row>
    <row r="387" spans="3:16" ht="28.8" hidden="1">
      <c r="C387" s="25">
        <f t="shared" si="15"/>
        <v>379</v>
      </c>
      <c r="D387" s="25" t="s">
        <v>1418</v>
      </c>
      <c r="E387" s="25" t="s">
        <v>1419</v>
      </c>
      <c r="F387" s="33">
        <v>45764</v>
      </c>
      <c r="G387" s="196">
        <f t="shared" si="14"/>
        <v>2025</v>
      </c>
      <c r="H387" s="25" t="s">
        <v>608</v>
      </c>
      <c r="I387" s="25" t="s">
        <v>226</v>
      </c>
      <c r="J387" s="2" t="s">
        <v>1420</v>
      </c>
      <c r="K387" s="26"/>
      <c r="L387" s="26"/>
      <c r="M387" s="26"/>
      <c r="N387" s="66" t="s">
        <v>1</v>
      </c>
      <c r="O387" s="26"/>
      <c r="P387" s="26"/>
    </row>
    <row r="388" spans="3:16" ht="43.2" hidden="1">
      <c r="C388" s="25">
        <f t="shared" si="15"/>
        <v>380</v>
      </c>
      <c r="D388" s="25" t="s">
        <v>1045</v>
      </c>
      <c r="E388" s="25" t="s">
        <v>1421</v>
      </c>
      <c r="F388" s="33">
        <v>45764</v>
      </c>
      <c r="G388" s="196">
        <f t="shared" si="14"/>
        <v>2025</v>
      </c>
      <c r="H388" s="25" t="s">
        <v>608</v>
      </c>
      <c r="I388" s="25" t="s">
        <v>226</v>
      </c>
      <c r="J388" s="2" t="s">
        <v>1422</v>
      </c>
      <c r="K388" s="2" t="s">
        <v>1423</v>
      </c>
      <c r="L388" s="26"/>
      <c r="M388" s="26"/>
      <c r="N388" s="71" t="s">
        <v>4</v>
      </c>
      <c r="O388" s="26"/>
      <c r="P388" s="26"/>
    </row>
    <row r="389" spans="3:16" hidden="1">
      <c r="C389" s="25">
        <f t="shared" si="15"/>
        <v>381</v>
      </c>
      <c r="D389" s="25" t="s">
        <v>304</v>
      </c>
      <c r="E389" s="25" t="s">
        <v>1424</v>
      </c>
      <c r="F389" s="33">
        <v>45764</v>
      </c>
      <c r="G389" s="196">
        <f t="shared" si="14"/>
        <v>2025</v>
      </c>
      <c r="H389" s="25" t="s">
        <v>76</v>
      </c>
      <c r="I389" s="25" t="s">
        <v>76</v>
      </c>
      <c r="J389" s="26"/>
      <c r="K389" s="26"/>
      <c r="L389" s="26"/>
      <c r="M389" s="26"/>
      <c r="N389" s="66" t="s">
        <v>1</v>
      </c>
      <c r="O389" s="33">
        <v>45764</v>
      </c>
      <c r="P389" s="26" t="s">
        <v>1425</v>
      </c>
    </row>
    <row r="390" spans="3:16" ht="28.8" hidden="1">
      <c r="C390" s="25">
        <f t="shared" si="15"/>
        <v>382</v>
      </c>
      <c r="D390" s="25" t="s">
        <v>320</v>
      </c>
      <c r="E390" s="25" t="s">
        <v>1426</v>
      </c>
      <c r="F390" s="33">
        <v>45763</v>
      </c>
      <c r="G390" s="196">
        <f t="shared" si="14"/>
        <v>2025</v>
      </c>
      <c r="H390" s="25" t="s">
        <v>76</v>
      </c>
      <c r="I390" s="25" t="s">
        <v>76</v>
      </c>
      <c r="J390" s="26"/>
      <c r="K390" s="2" t="s">
        <v>1427</v>
      </c>
      <c r="L390" s="26"/>
      <c r="M390" s="26"/>
      <c r="N390" s="66" t="s">
        <v>1</v>
      </c>
      <c r="O390" s="33">
        <v>45805</v>
      </c>
      <c r="P390" s="26"/>
    </row>
    <row r="391" spans="3:16" hidden="1">
      <c r="C391" s="25">
        <f t="shared" si="15"/>
        <v>383</v>
      </c>
      <c r="D391" s="25" t="s">
        <v>304</v>
      </c>
      <c r="E391" s="25" t="s">
        <v>1428</v>
      </c>
      <c r="F391" s="33">
        <v>45764</v>
      </c>
      <c r="G391" s="196">
        <f t="shared" si="14"/>
        <v>2025</v>
      </c>
      <c r="H391" s="25" t="s">
        <v>76</v>
      </c>
      <c r="I391" s="25" t="s">
        <v>76</v>
      </c>
      <c r="J391" s="26"/>
      <c r="K391" s="26" t="s">
        <v>1429</v>
      </c>
      <c r="L391" s="26"/>
      <c r="M391" s="26"/>
      <c r="N391" s="66" t="s">
        <v>1</v>
      </c>
      <c r="O391" s="33">
        <v>45783</v>
      </c>
      <c r="P391" s="26" t="s">
        <v>1430</v>
      </c>
    </row>
    <row r="392" spans="3:16" hidden="1">
      <c r="C392" s="25">
        <f t="shared" si="15"/>
        <v>384</v>
      </c>
      <c r="D392" s="25" t="s">
        <v>807</v>
      </c>
      <c r="E392" s="25" t="s">
        <v>1431</v>
      </c>
      <c r="F392" s="33">
        <v>45769</v>
      </c>
      <c r="G392" s="196">
        <f t="shared" si="14"/>
        <v>2025</v>
      </c>
      <c r="H392" s="25" t="s">
        <v>1432</v>
      </c>
      <c r="I392" s="25" t="s">
        <v>130</v>
      </c>
      <c r="J392" s="26"/>
      <c r="K392" s="26"/>
      <c r="L392" s="26"/>
      <c r="M392" s="26"/>
      <c r="N392" s="66" t="s">
        <v>1</v>
      </c>
      <c r="O392" s="33">
        <v>45775</v>
      </c>
      <c r="P392" s="26" t="s">
        <v>1433</v>
      </c>
    </row>
    <row r="393" spans="3:16" ht="57.6" hidden="1">
      <c r="C393" s="25">
        <f t="shared" si="15"/>
        <v>385</v>
      </c>
      <c r="D393" s="25" t="s">
        <v>320</v>
      </c>
      <c r="E393" s="25" t="s">
        <v>1434</v>
      </c>
      <c r="F393" s="33">
        <v>45771</v>
      </c>
      <c r="G393" s="196">
        <f t="shared" ref="G393:G456" si="16">+YEAR(F393)</f>
        <v>2025</v>
      </c>
      <c r="H393" s="25" t="s">
        <v>1050</v>
      </c>
      <c r="I393" s="25" t="s">
        <v>226</v>
      </c>
      <c r="J393" s="26"/>
      <c r="K393" s="2" t="s">
        <v>1435</v>
      </c>
      <c r="L393" s="26"/>
      <c r="M393" s="26"/>
      <c r="N393" s="66" t="s">
        <v>1</v>
      </c>
      <c r="O393" s="25"/>
      <c r="P393" s="26"/>
    </row>
    <row r="394" spans="3:16" hidden="1">
      <c r="C394" s="25">
        <f t="shared" si="15"/>
        <v>386</v>
      </c>
      <c r="D394" s="25" t="s">
        <v>320</v>
      </c>
      <c r="E394" s="25" t="s">
        <v>1436</v>
      </c>
      <c r="F394" s="33">
        <v>45771</v>
      </c>
      <c r="G394" s="196">
        <f t="shared" si="16"/>
        <v>2025</v>
      </c>
      <c r="H394" s="25" t="s">
        <v>76</v>
      </c>
      <c r="I394" s="25" t="s">
        <v>76</v>
      </c>
      <c r="J394" s="26"/>
      <c r="K394" s="26"/>
      <c r="L394" s="26"/>
      <c r="M394" s="26"/>
      <c r="N394" s="66" t="s">
        <v>1</v>
      </c>
      <c r="O394" s="33">
        <v>45771</v>
      </c>
      <c r="P394" s="26" t="s">
        <v>1437</v>
      </c>
    </row>
    <row r="395" spans="3:16" hidden="1">
      <c r="C395" s="25">
        <f t="shared" si="15"/>
        <v>387</v>
      </c>
      <c r="D395" s="25" t="s">
        <v>320</v>
      </c>
      <c r="E395" s="25" t="s">
        <v>458</v>
      </c>
      <c r="F395" s="33">
        <v>45771</v>
      </c>
      <c r="G395" s="196">
        <f t="shared" si="16"/>
        <v>2025</v>
      </c>
      <c r="H395" s="25" t="s">
        <v>76</v>
      </c>
      <c r="I395" s="25" t="s">
        <v>76</v>
      </c>
      <c r="J395" s="26"/>
      <c r="K395" s="26" t="s">
        <v>1438</v>
      </c>
      <c r="L395" s="26"/>
      <c r="M395" s="26"/>
      <c r="N395" s="66" t="s">
        <v>1</v>
      </c>
      <c r="O395" s="33">
        <v>45783</v>
      </c>
      <c r="P395" s="26" t="s">
        <v>1439</v>
      </c>
    </row>
    <row r="396" spans="3:16" hidden="1">
      <c r="C396" s="25">
        <f t="shared" si="15"/>
        <v>388</v>
      </c>
      <c r="D396" s="25" t="s">
        <v>304</v>
      </c>
      <c r="E396" s="25" t="s">
        <v>1440</v>
      </c>
      <c r="F396" s="33">
        <v>45771</v>
      </c>
      <c r="G396" s="196">
        <f t="shared" si="16"/>
        <v>2025</v>
      </c>
      <c r="H396" s="25" t="s">
        <v>306</v>
      </c>
      <c r="I396" s="25" t="s">
        <v>226</v>
      </c>
      <c r="J396" s="26"/>
      <c r="K396" s="26" t="s">
        <v>1441</v>
      </c>
      <c r="L396" s="26"/>
      <c r="M396" s="26"/>
      <c r="N396" s="66" t="s">
        <v>1</v>
      </c>
      <c r="O396" s="64">
        <v>45796</v>
      </c>
      <c r="P396" s="26" t="s">
        <v>1442</v>
      </c>
    </row>
    <row r="397" spans="3:16" ht="43.2" hidden="1">
      <c r="C397" s="25">
        <f t="shared" si="15"/>
        <v>389</v>
      </c>
      <c r="D397" s="25" t="s">
        <v>807</v>
      </c>
      <c r="E397" s="25" t="s">
        <v>1443</v>
      </c>
      <c r="F397" s="33">
        <v>45771</v>
      </c>
      <c r="G397" s="196">
        <f t="shared" si="16"/>
        <v>2025</v>
      </c>
      <c r="H397" s="25" t="s">
        <v>76</v>
      </c>
      <c r="I397" s="25" t="s">
        <v>76</v>
      </c>
      <c r="J397" s="25" t="s">
        <v>1444</v>
      </c>
      <c r="K397" s="2" t="s">
        <v>1445</v>
      </c>
      <c r="L397" s="26"/>
      <c r="M397" s="26"/>
      <c r="N397" s="66" t="s">
        <v>1</v>
      </c>
      <c r="O397" s="64">
        <v>45796</v>
      </c>
      <c r="P397" s="26" t="s">
        <v>1446</v>
      </c>
    </row>
    <row r="398" spans="3:16" hidden="1">
      <c r="C398" s="25">
        <f t="shared" si="15"/>
        <v>390</v>
      </c>
      <c r="D398" s="25" t="s">
        <v>1045</v>
      </c>
      <c r="E398" s="25" t="s">
        <v>1447</v>
      </c>
      <c r="F398" s="33">
        <v>45771</v>
      </c>
      <c r="G398" s="196">
        <f t="shared" si="16"/>
        <v>2025</v>
      </c>
      <c r="H398" s="25" t="s">
        <v>2599</v>
      </c>
      <c r="I398" s="25" t="s">
        <v>1918</v>
      </c>
      <c r="J398" s="26"/>
      <c r="K398" s="26" t="s">
        <v>1448</v>
      </c>
      <c r="L398" s="26"/>
      <c r="M398" s="26"/>
      <c r="N398" s="66" t="s">
        <v>1</v>
      </c>
      <c r="O398" s="26"/>
      <c r="P398" s="26"/>
    </row>
    <row r="399" spans="3:16" ht="43.2" hidden="1">
      <c r="C399" s="25">
        <f t="shared" si="15"/>
        <v>391</v>
      </c>
      <c r="D399" s="25" t="s">
        <v>329</v>
      </c>
      <c r="E399" s="25" t="s">
        <v>1449</v>
      </c>
      <c r="F399" s="33">
        <v>45775</v>
      </c>
      <c r="G399" s="196">
        <f t="shared" si="16"/>
        <v>2025</v>
      </c>
      <c r="H399" s="25" t="s">
        <v>76</v>
      </c>
      <c r="I399" s="25" t="s">
        <v>76</v>
      </c>
      <c r="J399" s="3" t="s">
        <v>1450</v>
      </c>
      <c r="K399" s="2" t="s">
        <v>1451</v>
      </c>
      <c r="L399" s="26"/>
      <c r="M399" s="26"/>
      <c r="N399" s="66" t="s">
        <v>1</v>
      </c>
      <c r="O399" s="4">
        <v>45839</v>
      </c>
      <c r="P399" s="26" t="s">
        <v>1452</v>
      </c>
    </row>
    <row r="400" spans="3:16" ht="279.75" hidden="1" customHeight="1">
      <c r="C400" s="25">
        <f t="shared" si="15"/>
        <v>392</v>
      </c>
      <c r="D400" s="25" t="s">
        <v>1387</v>
      </c>
      <c r="E400" s="25" t="s">
        <v>1453</v>
      </c>
      <c r="F400" s="33">
        <v>45757</v>
      </c>
      <c r="G400" s="196">
        <f t="shared" si="16"/>
        <v>2025</v>
      </c>
      <c r="H400" s="25" t="s">
        <v>33</v>
      </c>
      <c r="I400" s="25" t="s">
        <v>226</v>
      </c>
      <c r="J400" s="26"/>
      <c r="K400" s="2" t="s">
        <v>3223</v>
      </c>
      <c r="L400" s="26"/>
      <c r="M400" s="26"/>
      <c r="N400" s="66" t="s">
        <v>1</v>
      </c>
      <c r="O400" s="33">
        <v>46258</v>
      </c>
      <c r="P400" s="2" t="s">
        <v>3251</v>
      </c>
    </row>
    <row r="401" spans="3:16" ht="43.2" hidden="1">
      <c r="C401" s="25">
        <f t="shared" si="15"/>
        <v>393</v>
      </c>
      <c r="D401" s="25" t="s">
        <v>204</v>
      </c>
      <c r="E401" s="25" t="s">
        <v>1454</v>
      </c>
      <c r="F401" s="33">
        <v>45782</v>
      </c>
      <c r="G401" s="196">
        <f t="shared" si="16"/>
        <v>2025</v>
      </c>
      <c r="H401" s="25" t="s">
        <v>1455</v>
      </c>
      <c r="I401" s="25" t="s">
        <v>872</v>
      </c>
      <c r="J401" s="3" t="s">
        <v>1456</v>
      </c>
      <c r="K401" s="49" t="s">
        <v>1457</v>
      </c>
      <c r="L401" s="25"/>
      <c r="M401" s="25"/>
      <c r="N401" s="66" t="s">
        <v>1</v>
      </c>
      <c r="O401" s="26"/>
      <c r="P401" s="26"/>
    </row>
    <row r="402" spans="3:16" ht="24.75" hidden="1" customHeight="1">
      <c r="C402" s="25">
        <f t="shared" si="15"/>
        <v>394</v>
      </c>
      <c r="D402" s="25" t="s">
        <v>304</v>
      </c>
      <c r="E402" s="25" t="s">
        <v>1458</v>
      </c>
      <c r="F402" s="33">
        <v>45778</v>
      </c>
      <c r="G402" s="196">
        <f t="shared" si="16"/>
        <v>2025</v>
      </c>
      <c r="H402" s="25" t="s">
        <v>1050</v>
      </c>
      <c r="I402" s="25" t="s">
        <v>226</v>
      </c>
      <c r="J402" s="26"/>
      <c r="K402" s="26" t="s">
        <v>1459</v>
      </c>
      <c r="L402" s="26"/>
      <c r="M402" s="26"/>
      <c r="N402" s="66" t="s">
        <v>1</v>
      </c>
      <c r="O402" s="4">
        <v>45839</v>
      </c>
      <c r="P402" s="26" t="s">
        <v>1460</v>
      </c>
    </row>
    <row r="403" spans="3:16" ht="20.25" hidden="1" customHeight="1">
      <c r="C403" s="25">
        <f t="shared" si="15"/>
        <v>395</v>
      </c>
      <c r="D403" s="25" t="s">
        <v>320</v>
      </c>
      <c r="E403" s="25" t="s">
        <v>1461</v>
      </c>
      <c r="F403" s="33">
        <v>45783</v>
      </c>
      <c r="G403" s="196">
        <f t="shared" si="16"/>
        <v>2025</v>
      </c>
      <c r="H403" s="25" t="s">
        <v>76</v>
      </c>
      <c r="I403" s="25" t="s">
        <v>76</v>
      </c>
      <c r="J403" s="26"/>
      <c r="K403" s="26"/>
      <c r="L403" s="26"/>
      <c r="M403" s="26"/>
      <c r="N403" s="66" t="s">
        <v>1</v>
      </c>
      <c r="O403" s="33">
        <v>45796</v>
      </c>
      <c r="P403" s="26" t="s">
        <v>1462</v>
      </c>
    </row>
    <row r="404" spans="3:16" hidden="1">
      <c r="C404" s="25">
        <f t="shared" si="15"/>
        <v>396</v>
      </c>
      <c r="D404" s="25" t="s">
        <v>320</v>
      </c>
      <c r="E404" s="25" t="s">
        <v>1463</v>
      </c>
      <c r="F404" s="33">
        <v>45784</v>
      </c>
      <c r="G404" s="196">
        <f t="shared" si="16"/>
        <v>2025</v>
      </c>
      <c r="H404" s="25" t="s">
        <v>1464</v>
      </c>
      <c r="I404" s="25" t="s">
        <v>226</v>
      </c>
      <c r="J404" s="26"/>
      <c r="K404" s="26" t="s">
        <v>1465</v>
      </c>
      <c r="L404" s="26"/>
      <c r="M404" s="26"/>
      <c r="N404" s="66" t="s">
        <v>1</v>
      </c>
      <c r="O404" s="33">
        <v>45789</v>
      </c>
      <c r="P404" s="26" t="s">
        <v>1466</v>
      </c>
    </row>
    <row r="405" spans="3:16" ht="100.8" hidden="1">
      <c r="C405" s="25">
        <f>+C404+1</f>
        <v>397</v>
      </c>
      <c r="D405" s="25" t="s">
        <v>1045</v>
      </c>
      <c r="E405" s="25" t="s">
        <v>1467</v>
      </c>
      <c r="F405" s="33">
        <v>45785</v>
      </c>
      <c r="G405" s="196">
        <f t="shared" si="16"/>
        <v>2025</v>
      </c>
      <c r="H405" s="25" t="s">
        <v>76</v>
      </c>
      <c r="I405" s="25" t="s">
        <v>76</v>
      </c>
      <c r="J405" s="61" t="s">
        <v>1468</v>
      </c>
      <c r="K405" s="26"/>
      <c r="L405" s="26"/>
      <c r="M405" s="26"/>
      <c r="N405" s="66" t="s">
        <v>1</v>
      </c>
      <c r="O405" s="33">
        <v>45796</v>
      </c>
      <c r="P405" s="26" t="s">
        <v>1469</v>
      </c>
    </row>
    <row r="406" spans="3:16" ht="43.2" hidden="1">
      <c r="C406" s="25">
        <f t="shared" si="15"/>
        <v>398</v>
      </c>
      <c r="D406" s="25" t="s">
        <v>1470</v>
      </c>
      <c r="E406" s="25" t="s">
        <v>1471</v>
      </c>
      <c r="F406" s="33">
        <v>45785</v>
      </c>
      <c r="G406" s="196">
        <f t="shared" si="16"/>
        <v>2025</v>
      </c>
      <c r="H406" s="25" t="s">
        <v>1472</v>
      </c>
      <c r="I406" s="25" t="s">
        <v>226</v>
      </c>
      <c r="J406" s="26"/>
      <c r="K406" s="2" t="s">
        <v>1473</v>
      </c>
      <c r="L406" s="26"/>
      <c r="M406" s="26"/>
      <c r="N406" s="66" t="s">
        <v>1</v>
      </c>
      <c r="O406" s="33">
        <v>45817</v>
      </c>
      <c r="P406" s="2" t="s">
        <v>1474</v>
      </c>
    </row>
    <row r="407" spans="3:16" ht="28.8" hidden="1">
      <c r="C407" s="25">
        <f>+C406+1</f>
        <v>399</v>
      </c>
      <c r="D407" s="25" t="s">
        <v>270</v>
      </c>
      <c r="E407" s="25" t="s">
        <v>1475</v>
      </c>
      <c r="F407" s="33">
        <v>45789</v>
      </c>
      <c r="G407" s="196">
        <f t="shared" si="16"/>
        <v>2025</v>
      </c>
      <c r="H407" s="25" t="s">
        <v>1143</v>
      </c>
      <c r="I407" s="25" t="s">
        <v>872</v>
      </c>
      <c r="J407" s="2" t="s">
        <v>1476</v>
      </c>
      <c r="K407" s="26" t="s">
        <v>1477</v>
      </c>
      <c r="L407" s="26"/>
      <c r="M407" s="26"/>
      <c r="N407" s="66" t="s">
        <v>1</v>
      </c>
      <c r="O407" s="33">
        <v>45796</v>
      </c>
      <c r="P407" s="26" t="s">
        <v>1478</v>
      </c>
    </row>
    <row r="408" spans="3:16" ht="43.2" hidden="1">
      <c r="C408" s="25">
        <f t="shared" si="15"/>
        <v>400</v>
      </c>
      <c r="D408" s="25" t="s">
        <v>1045</v>
      </c>
      <c r="E408" s="25" t="s">
        <v>1479</v>
      </c>
      <c r="F408" s="33">
        <v>45789</v>
      </c>
      <c r="G408" s="196">
        <f t="shared" si="16"/>
        <v>2025</v>
      </c>
      <c r="H408" s="25" t="s">
        <v>1480</v>
      </c>
      <c r="I408" s="25" t="s">
        <v>1261</v>
      </c>
      <c r="J408" s="49" t="s">
        <v>1481</v>
      </c>
      <c r="K408" s="2" t="s">
        <v>1482</v>
      </c>
      <c r="N408" s="66" t="s">
        <v>1</v>
      </c>
      <c r="O408" s="33">
        <v>45827</v>
      </c>
      <c r="P408" s="26" t="s">
        <v>1483</v>
      </c>
    </row>
    <row r="409" spans="3:16" hidden="1">
      <c r="C409" s="25">
        <f t="shared" si="15"/>
        <v>401</v>
      </c>
      <c r="D409" s="25" t="s">
        <v>1045</v>
      </c>
      <c r="E409" s="25" t="s">
        <v>1484</v>
      </c>
      <c r="F409" s="31">
        <v>45792</v>
      </c>
      <c r="G409" s="57">
        <f t="shared" si="16"/>
        <v>2025</v>
      </c>
      <c r="H409" s="25" t="s">
        <v>425</v>
      </c>
      <c r="I409" s="25" t="s">
        <v>1261</v>
      </c>
      <c r="J409" s="25" t="s">
        <v>1485</v>
      </c>
      <c r="N409" s="66" t="s">
        <v>1</v>
      </c>
      <c r="O409" s="31">
        <v>45796</v>
      </c>
      <c r="P409" t="s">
        <v>1469</v>
      </c>
    </row>
    <row r="410" spans="3:16" hidden="1">
      <c r="C410" s="25">
        <f t="shared" si="15"/>
        <v>402</v>
      </c>
      <c r="D410" s="25" t="s">
        <v>1045</v>
      </c>
      <c r="E410" s="25" t="s">
        <v>1486</v>
      </c>
      <c r="F410" s="31">
        <v>45792</v>
      </c>
      <c r="G410" s="57">
        <f t="shared" si="16"/>
        <v>2025</v>
      </c>
      <c r="H410" s="25" t="s">
        <v>425</v>
      </c>
      <c r="I410" s="25" t="s">
        <v>1261</v>
      </c>
      <c r="J410" s="25" t="s">
        <v>1487</v>
      </c>
      <c r="N410" s="66" t="s">
        <v>1</v>
      </c>
      <c r="O410" s="31">
        <v>45796</v>
      </c>
      <c r="P410" t="s">
        <v>1469</v>
      </c>
    </row>
    <row r="411" spans="3:16" ht="72" hidden="1">
      <c r="C411" s="25">
        <f t="shared" si="15"/>
        <v>403</v>
      </c>
      <c r="D411" s="25" t="s">
        <v>1045</v>
      </c>
      <c r="E411" s="25" t="s">
        <v>1488</v>
      </c>
      <c r="F411" s="33">
        <v>45792</v>
      </c>
      <c r="G411" s="196">
        <f t="shared" si="16"/>
        <v>2025</v>
      </c>
      <c r="H411" s="25" t="s">
        <v>1489</v>
      </c>
      <c r="I411" s="25" t="s">
        <v>1261</v>
      </c>
      <c r="J411" s="53" t="s">
        <v>1490</v>
      </c>
      <c r="K411" s="49" t="s">
        <v>2026</v>
      </c>
      <c r="N411" s="133" t="s">
        <v>1</v>
      </c>
      <c r="O411" s="64">
        <v>45901</v>
      </c>
      <c r="P411" s="2" t="s">
        <v>2160</v>
      </c>
    </row>
    <row r="412" spans="3:16" ht="28.8" hidden="1">
      <c r="C412" s="25">
        <f t="shared" si="15"/>
        <v>404</v>
      </c>
      <c r="D412" s="25" t="s">
        <v>86</v>
      </c>
      <c r="E412" s="25" t="s">
        <v>1491</v>
      </c>
      <c r="F412" s="31">
        <v>45792</v>
      </c>
      <c r="G412" s="57">
        <f t="shared" si="16"/>
        <v>2025</v>
      </c>
      <c r="K412" s="1" t="s">
        <v>1492</v>
      </c>
      <c r="N412" s="66" t="s">
        <v>1</v>
      </c>
      <c r="O412" s="33">
        <v>45803</v>
      </c>
      <c r="P412" s="26" t="s">
        <v>1493</v>
      </c>
    </row>
    <row r="413" spans="3:16" ht="43.2" hidden="1">
      <c r="C413" s="25">
        <f>+C412+1</f>
        <v>405</v>
      </c>
      <c r="D413" s="25" t="s">
        <v>329</v>
      </c>
      <c r="E413" s="25" t="s">
        <v>1494</v>
      </c>
      <c r="F413" s="33">
        <v>45792</v>
      </c>
      <c r="G413" s="196">
        <f t="shared" si="16"/>
        <v>2025</v>
      </c>
      <c r="H413" s="25" t="s">
        <v>1464</v>
      </c>
      <c r="I413" s="25" t="s">
        <v>226</v>
      </c>
      <c r="J413" s="2" t="s">
        <v>1495</v>
      </c>
      <c r="K413" s="49" t="s">
        <v>1496</v>
      </c>
      <c r="N413" s="71" t="s">
        <v>4</v>
      </c>
    </row>
    <row r="414" spans="3:16" ht="28.8" hidden="1">
      <c r="C414" s="25">
        <f t="shared" si="15"/>
        <v>406</v>
      </c>
      <c r="D414" s="25" t="s">
        <v>320</v>
      </c>
      <c r="E414" s="25" t="s">
        <v>1497</v>
      </c>
      <c r="F414" s="33">
        <v>45792</v>
      </c>
      <c r="G414" s="196">
        <f t="shared" si="16"/>
        <v>2025</v>
      </c>
      <c r="H414" s="25" t="s">
        <v>1498</v>
      </c>
      <c r="I414" s="25" t="s">
        <v>226</v>
      </c>
      <c r="K414" s="49" t="s">
        <v>1499</v>
      </c>
      <c r="N414" s="71" t="s">
        <v>4</v>
      </c>
    </row>
    <row r="415" spans="3:16" hidden="1">
      <c r="C415" s="25">
        <f t="shared" si="15"/>
        <v>407</v>
      </c>
      <c r="D415" s="25" t="s">
        <v>1045</v>
      </c>
      <c r="E415" s="25" t="s">
        <v>1500</v>
      </c>
      <c r="F415" s="31">
        <v>45792</v>
      </c>
      <c r="G415" s="57">
        <f t="shared" si="16"/>
        <v>2025</v>
      </c>
      <c r="H415" s="24" t="s">
        <v>1079</v>
      </c>
      <c r="I415" s="25" t="s">
        <v>1261</v>
      </c>
      <c r="N415" s="66" t="s">
        <v>1</v>
      </c>
      <c r="O415" s="31">
        <v>45796</v>
      </c>
      <c r="P415" t="s">
        <v>1502</v>
      </c>
    </row>
    <row r="416" spans="3:16" hidden="1">
      <c r="C416" s="25">
        <f t="shared" si="15"/>
        <v>408</v>
      </c>
      <c r="D416" s="25" t="s">
        <v>1045</v>
      </c>
      <c r="E416" s="25" t="s">
        <v>1503</v>
      </c>
      <c r="F416" s="31">
        <v>45792</v>
      </c>
      <c r="G416" s="57">
        <f t="shared" si="16"/>
        <v>2025</v>
      </c>
      <c r="H416" s="24" t="s">
        <v>1504</v>
      </c>
      <c r="I416" s="25" t="s">
        <v>226</v>
      </c>
      <c r="N416" s="66" t="s">
        <v>1</v>
      </c>
      <c r="O416" s="31">
        <v>45796</v>
      </c>
      <c r="P416" t="s">
        <v>1469</v>
      </c>
    </row>
    <row r="417" spans="3:16" hidden="1">
      <c r="C417" s="25">
        <f>+C416+1</f>
        <v>409</v>
      </c>
      <c r="D417" s="25" t="s">
        <v>1045</v>
      </c>
      <c r="E417" s="25" t="s">
        <v>1505</v>
      </c>
      <c r="F417" s="33">
        <v>45792</v>
      </c>
      <c r="G417" s="196">
        <f t="shared" si="16"/>
        <v>2025</v>
      </c>
      <c r="H417" s="25" t="s">
        <v>1472</v>
      </c>
      <c r="I417" s="25" t="s">
        <v>226</v>
      </c>
      <c r="J417" s="3" t="s">
        <v>1506</v>
      </c>
      <c r="K417" s="53" t="s">
        <v>1507</v>
      </c>
      <c r="N417" s="66" t="s">
        <v>1</v>
      </c>
      <c r="O417" s="33">
        <v>45803</v>
      </c>
      <c r="P417" s="26" t="s">
        <v>1508</v>
      </c>
    </row>
    <row r="418" spans="3:16" ht="108.75" hidden="1" customHeight="1">
      <c r="C418" s="25">
        <f t="shared" si="15"/>
        <v>410</v>
      </c>
      <c r="D418" s="25" t="s">
        <v>1045</v>
      </c>
      <c r="E418" s="25" t="s">
        <v>1509</v>
      </c>
      <c r="F418" s="33">
        <v>45792</v>
      </c>
      <c r="G418" s="196">
        <f t="shared" si="16"/>
        <v>2025</v>
      </c>
      <c r="H418" s="25" t="s">
        <v>76</v>
      </c>
      <c r="I418" s="25" t="s">
        <v>76</v>
      </c>
      <c r="K418" s="49" t="s">
        <v>1925</v>
      </c>
      <c r="N418" s="134" t="s">
        <v>3</v>
      </c>
    </row>
    <row r="419" spans="3:16" hidden="1">
      <c r="C419" s="25">
        <f t="shared" si="15"/>
        <v>411</v>
      </c>
      <c r="D419" s="25" t="s">
        <v>86</v>
      </c>
      <c r="E419" s="25" t="s">
        <v>1510</v>
      </c>
      <c r="F419" s="33">
        <v>45792</v>
      </c>
      <c r="G419" s="196">
        <f t="shared" si="16"/>
        <v>2025</v>
      </c>
      <c r="H419" s="25" t="s">
        <v>76</v>
      </c>
      <c r="I419" s="25" t="s">
        <v>76</v>
      </c>
      <c r="J419" s="25" t="s">
        <v>1511</v>
      </c>
      <c r="K419" s="53" t="s">
        <v>1512</v>
      </c>
      <c r="N419" s="66" t="s">
        <v>1</v>
      </c>
      <c r="O419" s="31">
        <v>45810</v>
      </c>
      <c r="P419" t="s">
        <v>1513</v>
      </c>
    </row>
    <row r="420" spans="3:16" ht="43.2" hidden="1">
      <c r="C420" s="25">
        <f t="shared" si="15"/>
        <v>412</v>
      </c>
      <c r="D420" s="25" t="s">
        <v>20</v>
      </c>
      <c r="E420" s="25" t="s">
        <v>1514</v>
      </c>
      <c r="F420" s="33">
        <v>45792</v>
      </c>
      <c r="G420" s="196">
        <f t="shared" si="16"/>
        <v>2025</v>
      </c>
      <c r="H420" s="25" t="s">
        <v>1515</v>
      </c>
      <c r="I420" s="25" t="s">
        <v>226</v>
      </c>
      <c r="K420" s="49" t="s">
        <v>1516</v>
      </c>
      <c r="N420" s="66" t="s">
        <v>1</v>
      </c>
      <c r="O420" s="33">
        <v>45817</v>
      </c>
      <c r="P420" s="26" t="s">
        <v>1517</v>
      </c>
    </row>
    <row r="421" spans="3:16" hidden="1">
      <c r="C421" s="25">
        <f t="shared" si="15"/>
        <v>413</v>
      </c>
      <c r="D421" s="25" t="s">
        <v>320</v>
      </c>
      <c r="E421" s="25" t="s">
        <v>1518</v>
      </c>
      <c r="F421" s="33">
        <v>45798</v>
      </c>
      <c r="G421" s="196">
        <f t="shared" si="16"/>
        <v>2025</v>
      </c>
      <c r="H421" s="25" t="s">
        <v>1230</v>
      </c>
      <c r="I421" s="25" t="s">
        <v>226</v>
      </c>
      <c r="N421" s="66" t="s">
        <v>1</v>
      </c>
      <c r="O421" s="33">
        <v>45817</v>
      </c>
      <c r="P421" t="s">
        <v>1519</v>
      </c>
    </row>
    <row r="422" spans="3:16" ht="115.2" hidden="1">
      <c r="C422" s="25">
        <f t="shared" si="15"/>
        <v>414</v>
      </c>
      <c r="D422" s="25" t="s">
        <v>1045</v>
      </c>
      <c r="E422" s="25" t="s">
        <v>407</v>
      </c>
      <c r="F422" s="33">
        <v>45798</v>
      </c>
      <c r="G422" s="196">
        <f t="shared" si="16"/>
        <v>2025</v>
      </c>
      <c r="H422" s="25" t="s">
        <v>408</v>
      </c>
      <c r="I422" s="25" t="s">
        <v>226</v>
      </c>
      <c r="J422" s="1" t="s">
        <v>1521</v>
      </c>
      <c r="K422" s="2" t="s">
        <v>1522</v>
      </c>
      <c r="N422" s="66" t="s">
        <v>1</v>
      </c>
      <c r="O422" s="33">
        <v>45810</v>
      </c>
      <c r="P422" s="2" t="s">
        <v>1523</v>
      </c>
    </row>
    <row r="423" spans="3:16" ht="72" hidden="1" outlineLevel="1">
      <c r="C423" s="25">
        <f t="shared" si="15"/>
        <v>415</v>
      </c>
      <c r="D423" s="25" t="s">
        <v>329</v>
      </c>
      <c r="E423" s="25" t="s">
        <v>1524</v>
      </c>
      <c r="F423" s="33">
        <v>45798</v>
      </c>
      <c r="G423" s="196">
        <f t="shared" si="16"/>
        <v>2025</v>
      </c>
      <c r="H423" s="25" t="s">
        <v>1464</v>
      </c>
      <c r="I423" s="25" t="s">
        <v>226</v>
      </c>
      <c r="K423" s="1" t="s">
        <v>1525</v>
      </c>
      <c r="N423" s="66" t="s">
        <v>1</v>
      </c>
      <c r="O423" s="33">
        <v>45943</v>
      </c>
      <c r="P423" s="26" t="s">
        <v>2333</v>
      </c>
    </row>
    <row r="424" spans="3:16" ht="86.4" hidden="1" collapsed="1">
      <c r="C424" s="25">
        <f t="shared" si="15"/>
        <v>416</v>
      </c>
      <c r="D424" s="25" t="s">
        <v>807</v>
      </c>
      <c r="E424" s="25" t="s">
        <v>1526</v>
      </c>
      <c r="F424" s="33">
        <v>45798</v>
      </c>
      <c r="G424" s="196">
        <f t="shared" si="16"/>
        <v>2025</v>
      </c>
      <c r="H424" s="25" t="s">
        <v>994</v>
      </c>
      <c r="I424" s="25" t="s">
        <v>226</v>
      </c>
      <c r="K424" s="49" t="s">
        <v>2082</v>
      </c>
      <c r="N424" s="66" t="s">
        <v>1</v>
      </c>
      <c r="O424" s="26"/>
      <c r="P424" s="26"/>
    </row>
    <row r="425" spans="3:16" hidden="1">
      <c r="C425" s="25">
        <f t="shared" si="15"/>
        <v>417</v>
      </c>
      <c r="D425" s="25" t="s">
        <v>1045</v>
      </c>
      <c r="E425" s="25" t="s">
        <v>1527</v>
      </c>
      <c r="F425" s="33">
        <v>45798</v>
      </c>
      <c r="G425" s="196">
        <f t="shared" si="16"/>
        <v>2025</v>
      </c>
      <c r="H425" s="25" t="s">
        <v>1291</v>
      </c>
      <c r="I425" s="25" t="s">
        <v>226</v>
      </c>
      <c r="K425" s="53" t="s">
        <v>1528</v>
      </c>
      <c r="N425" s="66" t="s">
        <v>1</v>
      </c>
      <c r="O425" s="33">
        <v>45817</v>
      </c>
      <c r="P425" s="2" t="s">
        <v>1529</v>
      </c>
    </row>
    <row r="426" spans="3:16" ht="57.6" hidden="1">
      <c r="C426" s="25">
        <f t="shared" si="15"/>
        <v>418</v>
      </c>
      <c r="D426" s="25" t="s">
        <v>715</v>
      </c>
      <c r="E426" s="25" t="s">
        <v>1530</v>
      </c>
      <c r="F426" s="33">
        <v>45798</v>
      </c>
      <c r="G426" s="196">
        <f t="shared" si="16"/>
        <v>2025</v>
      </c>
      <c r="H426" s="25" t="s">
        <v>206</v>
      </c>
      <c r="I426" s="25" t="s">
        <v>1193</v>
      </c>
      <c r="J426" s="3" t="s">
        <v>1531</v>
      </c>
      <c r="K426" s="49" t="s">
        <v>1532</v>
      </c>
      <c r="N426" s="66" t="s">
        <v>1</v>
      </c>
      <c r="O426" s="33">
        <v>45817</v>
      </c>
      <c r="P426" s="26" t="s">
        <v>1533</v>
      </c>
    </row>
    <row r="427" spans="3:16" hidden="1">
      <c r="C427" s="25">
        <f t="shared" si="15"/>
        <v>419</v>
      </c>
      <c r="D427" s="25" t="s">
        <v>270</v>
      </c>
      <c r="E427" s="25" t="s">
        <v>1534</v>
      </c>
      <c r="F427" s="33">
        <v>45798</v>
      </c>
      <c r="G427" s="196">
        <f t="shared" si="16"/>
        <v>2025</v>
      </c>
      <c r="H427" s="25" t="s">
        <v>1535</v>
      </c>
      <c r="I427" s="25" t="s">
        <v>130</v>
      </c>
      <c r="K427" s="50" t="s">
        <v>1536</v>
      </c>
      <c r="N427" s="71" t="s">
        <v>4</v>
      </c>
      <c r="O427" s="26"/>
      <c r="P427" s="26"/>
    </row>
    <row r="428" spans="3:16" ht="57.6" hidden="1">
      <c r="C428" s="25">
        <f t="shared" si="15"/>
        <v>420</v>
      </c>
      <c r="D428" s="25" t="s">
        <v>807</v>
      </c>
      <c r="E428" s="25" t="s">
        <v>1537</v>
      </c>
      <c r="F428" s="33">
        <v>45798</v>
      </c>
      <c r="G428" s="196">
        <f t="shared" si="16"/>
        <v>2025</v>
      </c>
      <c r="H428" s="25" t="s">
        <v>622</v>
      </c>
      <c r="I428" s="25" t="s">
        <v>226</v>
      </c>
      <c r="K428" s="55" t="s">
        <v>1944</v>
      </c>
      <c r="N428" s="66" t="s">
        <v>1</v>
      </c>
      <c r="O428" s="26"/>
      <c r="P428" s="26"/>
    </row>
    <row r="429" spans="3:16" ht="28.8" hidden="1">
      <c r="C429" s="25">
        <f t="shared" si="15"/>
        <v>421</v>
      </c>
      <c r="D429" s="25" t="s">
        <v>1045</v>
      </c>
      <c r="E429" s="25" t="s">
        <v>1538</v>
      </c>
      <c r="F429" s="33">
        <v>45798</v>
      </c>
      <c r="G429" s="196">
        <f t="shared" si="16"/>
        <v>2025</v>
      </c>
      <c r="H429" s="25" t="s">
        <v>2596</v>
      </c>
      <c r="I429" s="25" t="s">
        <v>802</v>
      </c>
      <c r="K429" s="55" t="s">
        <v>1539</v>
      </c>
      <c r="N429" s="71" t="s">
        <v>4</v>
      </c>
      <c r="O429" s="26"/>
      <c r="P429" s="26"/>
    </row>
    <row r="430" spans="3:16" ht="57.6" hidden="1">
      <c r="C430" s="25">
        <f t="shared" si="15"/>
        <v>422</v>
      </c>
      <c r="D430" s="25" t="s">
        <v>444</v>
      </c>
      <c r="E430" s="25" t="s">
        <v>1540</v>
      </c>
      <c r="F430" s="33">
        <v>45798</v>
      </c>
      <c r="G430" s="196">
        <f t="shared" si="16"/>
        <v>2025</v>
      </c>
      <c r="H430" s="25" t="s">
        <v>1515</v>
      </c>
      <c r="I430" s="25" t="s">
        <v>226</v>
      </c>
      <c r="K430" s="50"/>
      <c r="N430" s="66" t="s">
        <v>1</v>
      </c>
      <c r="O430" s="33">
        <v>45817</v>
      </c>
      <c r="P430" s="2" t="s">
        <v>1541</v>
      </c>
    </row>
    <row r="431" spans="3:16" ht="43.2" hidden="1">
      <c r="C431" s="25">
        <f t="shared" si="15"/>
        <v>423</v>
      </c>
      <c r="D431" s="25" t="s">
        <v>1045</v>
      </c>
      <c r="E431" s="25" t="s">
        <v>1542</v>
      </c>
      <c r="F431" s="33">
        <v>45798</v>
      </c>
      <c r="G431" s="196">
        <f t="shared" si="16"/>
        <v>2025</v>
      </c>
      <c r="H431" s="25" t="s">
        <v>344</v>
      </c>
      <c r="I431" s="25" t="s">
        <v>872</v>
      </c>
      <c r="K431" s="55" t="s">
        <v>1543</v>
      </c>
      <c r="N431" s="66" t="s">
        <v>1</v>
      </c>
      <c r="O431" s="33">
        <v>45845</v>
      </c>
      <c r="P431" s="26" t="s">
        <v>1926</v>
      </c>
    </row>
    <row r="432" spans="3:16" hidden="1">
      <c r="C432" s="25">
        <f t="shared" si="15"/>
        <v>424</v>
      </c>
      <c r="D432" s="25" t="s">
        <v>304</v>
      </c>
      <c r="E432" s="24" t="s">
        <v>1544</v>
      </c>
      <c r="F432" s="31">
        <v>45804</v>
      </c>
      <c r="G432" s="57">
        <f t="shared" si="16"/>
        <v>2025</v>
      </c>
      <c r="H432" s="24" t="s">
        <v>1545</v>
      </c>
      <c r="I432" s="24" t="s">
        <v>226</v>
      </c>
      <c r="J432" s="24"/>
      <c r="K432" s="24"/>
      <c r="L432" s="24"/>
      <c r="M432" s="24"/>
      <c r="N432" s="66" t="s">
        <v>1</v>
      </c>
      <c r="O432" s="33">
        <v>45810</v>
      </c>
      <c r="P432" t="s">
        <v>1546</v>
      </c>
    </row>
    <row r="433" spans="3:16" ht="57.6" hidden="1">
      <c r="C433" s="25">
        <f t="shared" si="15"/>
        <v>425</v>
      </c>
      <c r="D433" s="25" t="s">
        <v>1045</v>
      </c>
      <c r="E433" s="25" t="s">
        <v>1547</v>
      </c>
      <c r="F433" s="33">
        <v>45806</v>
      </c>
      <c r="G433" s="196">
        <f t="shared" si="16"/>
        <v>2025</v>
      </c>
      <c r="H433" s="25" t="s">
        <v>1548</v>
      </c>
      <c r="I433" s="25" t="s">
        <v>1261</v>
      </c>
      <c r="J433" s="3" t="s">
        <v>1549</v>
      </c>
      <c r="K433" s="49" t="s">
        <v>1550</v>
      </c>
      <c r="N433" s="71" t="s">
        <v>4</v>
      </c>
    </row>
    <row r="434" spans="3:16" hidden="1">
      <c r="C434" s="25">
        <f t="shared" si="15"/>
        <v>426</v>
      </c>
      <c r="D434" s="25" t="s">
        <v>1551</v>
      </c>
      <c r="E434" s="25" t="s">
        <v>1552</v>
      </c>
      <c r="F434" s="31">
        <v>45810</v>
      </c>
      <c r="G434" s="57">
        <f t="shared" si="16"/>
        <v>2025</v>
      </c>
      <c r="H434" s="25" t="s">
        <v>1553</v>
      </c>
      <c r="I434" s="25" t="s">
        <v>130</v>
      </c>
      <c r="K434" s="49" t="s">
        <v>1554</v>
      </c>
      <c r="N434" s="66" t="s">
        <v>1</v>
      </c>
      <c r="O434" s="162">
        <v>45831</v>
      </c>
      <c r="P434" t="s">
        <v>1555</v>
      </c>
    </row>
    <row r="435" spans="3:16" hidden="1">
      <c r="C435" s="25">
        <f t="shared" si="15"/>
        <v>427</v>
      </c>
      <c r="D435" s="25" t="s">
        <v>320</v>
      </c>
      <c r="E435" s="25" t="s">
        <v>1556</v>
      </c>
      <c r="F435" s="31">
        <v>45803</v>
      </c>
      <c r="G435" s="57">
        <f t="shared" si="16"/>
        <v>2025</v>
      </c>
      <c r="H435" s="25" t="s">
        <v>2605</v>
      </c>
      <c r="I435" s="25" t="s">
        <v>130</v>
      </c>
      <c r="N435" s="66" t="s">
        <v>1</v>
      </c>
      <c r="O435" s="33">
        <v>45810</v>
      </c>
      <c r="P435" t="s">
        <v>1557</v>
      </c>
    </row>
    <row r="436" spans="3:16" hidden="1">
      <c r="C436" s="25">
        <f t="shared" si="15"/>
        <v>428</v>
      </c>
      <c r="D436" s="25" t="s">
        <v>320</v>
      </c>
      <c r="E436" s="25" t="s">
        <v>1558</v>
      </c>
      <c r="F436" s="31">
        <v>45805</v>
      </c>
      <c r="G436" s="57">
        <f t="shared" si="16"/>
        <v>2025</v>
      </c>
      <c r="H436" s="25" t="s">
        <v>1559</v>
      </c>
      <c r="I436" s="24" t="s">
        <v>226</v>
      </c>
      <c r="N436" s="66" t="s">
        <v>1</v>
      </c>
      <c r="O436" s="33">
        <v>45817</v>
      </c>
      <c r="P436" t="s">
        <v>1560</v>
      </c>
    </row>
    <row r="437" spans="3:16" hidden="1">
      <c r="C437" s="25">
        <f t="shared" si="15"/>
        <v>429</v>
      </c>
      <c r="D437" s="25" t="s">
        <v>320</v>
      </c>
      <c r="E437" s="25" t="s">
        <v>1561</v>
      </c>
      <c r="F437" s="31">
        <v>45805</v>
      </c>
      <c r="G437" s="57">
        <f t="shared" si="16"/>
        <v>2025</v>
      </c>
      <c r="H437" s="25" t="s">
        <v>1559</v>
      </c>
      <c r="I437" s="24" t="s">
        <v>226</v>
      </c>
      <c r="N437" s="66" t="s">
        <v>1</v>
      </c>
      <c r="O437" s="33">
        <v>45817</v>
      </c>
      <c r="P437" t="s">
        <v>1562</v>
      </c>
    </row>
    <row r="438" spans="3:16" ht="43.2" hidden="1">
      <c r="C438" s="25">
        <f>+C437+1</f>
        <v>430</v>
      </c>
      <c r="D438" s="25" t="s">
        <v>1563</v>
      </c>
      <c r="E438" s="25" t="s">
        <v>1564</v>
      </c>
      <c r="F438" s="31">
        <v>45805</v>
      </c>
      <c r="G438" s="57">
        <f t="shared" si="16"/>
        <v>2025</v>
      </c>
      <c r="H438" s="25" t="s">
        <v>1565</v>
      </c>
      <c r="I438" s="25" t="s">
        <v>226</v>
      </c>
      <c r="K438" s="1" t="s">
        <v>1566</v>
      </c>
      <c r="N438" s="66" t="s">
        <v>1</v>
      </c>
      <c r="O438" s="33">
        <v>45810</v>
      </c>
      <c r="P438" s="1" t="s">
        <v>1567</v>
      </c>
    </row>
    <row r="439" spans="3:16" hidden="1">
      <c r="C439" s="25">
        <f t="shared" si="15"/>
        <v>431</v>
      </c>
      <c r="D439" s="25" t="s">
        <v>86</v>
      </c>
      <c r="E439" s="25" t="s">
        <v>1568</v>
      </c>
      <c r="F439" s="31">
        <v>45810</v>
      </c>
      <c r="G439" s="57">
        <f t="shared" si="16"/>
        <v>2025</v>
      </c>
      <c r="H439" s="25" t="s">
        <v>1409</v>
      </c>
      <c r="I439" s="25" t="s">
        <v>130</v>
      </c>
      <c r="N439" s="66" t="s">
        <v>1</v>
      </c>
      <c r="O439" s="33">
        <v>45817</v>
      </c>
      <c r="P439" t="s">
        <v>1569</v>
      </c>
    </row>
    <row r="440" spans="3:16" hidden="1">
      <c r="C440" s="25">
        <f t="shared" si="15"/>
        <v>432</v>
      </c>
      <c r="D440" s="25" t="s">
        <v>1045</v>
      </c>
      <c r="E440" s="25" t="s">
        <v>1570</v>
      </c>
      <c r="F440" s="31">
        <v>45797</v>
      </c>
      <c r="G440" s="57">
        <f t="shared" si="16"/>
        <v>2025</v>
      </c>
      <c r="H440" s="25" t="s">
        <v>1211</v>
      </c>
      <c r="I440" s="25" t="s">
        <v>1252</v>
      </c>
      <c r="N440" s="66" t="s">
        <v>1</v>
      </c>
      <c r="O440" s="33">
        <v>45810</v>
      </c>
      <c r="P440" t="s">
        <v>1571</v>
      </c>
    </row>
    <row r="441" spans="3:16" ht="57.6" hidden="1">
      <c r="C441" s="25">
        <f t="shared" si="15"/>
        <v>433</v>
      </c>
      <c r="D441" s="25" t="s">
        <v>1045</v>
      </c>
      <c r="E441" s="25" t="s">
        <v>1572</v>
      </c>
      <c r="F441" s="33">
        <v>45813</v>
      </c>
      <c r="G441" s="196">
        <f t="shared" si="16"/>
        <v>2025</v>
      </c>
      <c r="H441" s="25" t="s">
        <v>1573</v>
      </c>
      <c r="I441" s="25" t="s">
        <v>872</v>
      </c>
      <c r="K441" s="49" t="s">
        <v>2002</v>
      </c>
      <c r="N441" s="134" t="s">
        <v>3</v>
      </c>
    </row>
    <row r="442" spans="3:16" ht="43.2" hidden="1">
      <c r="C442" s="25">
        <f t="shared" si="15"/>
        <v>434</v>
      </c>
      <c r="D442" s="25" t="s">
        <v>807</v>
      </c>
      <c r="E442" s="25" t="s">
        <v>1574</v>
      </c>
      <c r="F442" s="33">
        <v>45813</v>
      </c>
      <c r="G442" s="196">
        <f t="shared" si="16"/>
        <v>2025</v>
      </c>
      <c r="H442" s="25" t="s">
        <v>76</v>
      </c>
      <c r="I442" s="25" t="s">
        <v>76</v>
      </c>
      <c r="N442" s="66" t="s">
        <v>1</v>
      </c>
      <c r="O442" s="33">
        <v>45811</v>
      </c>
      <c r="P442" s="1" t="s">
        <v>1575</v>
      </c>
    </row>
    <row r="443" spans="3:16" ht="57.6" hidden="1">
      <c r="C443" s="25">
        <f t="shared" si="15"/>
        <v>435</v>
      </c>
      <c r="D443" s="25" t="s">
        <v>270</v>
      </c>
      <c r="E443" s="25" t="s">
        <v>1576</v>
      </c>
      <c r="F443" s="33">
        <v>45813</v>
      </c>
      <c r="G443" s="196">
        <f t="shared" si="16"/>
        <v>2025</v>
      </c>
      <c r="H443" s="25" t="s">
        <v>1577</v>
      </c>
      <c r="I443" s="25" t="s">
        <v>130</v>
      </c>
      <c r="K443" s="49" t="s">
        <v>1927</v>
      </c>
      <c r="N443" s="66" t="s">
        <v>1</v>
      </c>
      <c r="O443" s="64">
        <v>45866</v>
      </c>
      <c r="P443" s="26" t="s">
        <v>2027</v>
      </c>
    </row>
    <row r="444" spans="3:16" hidden="1">
      <c r="C444" s="25">
        <f t="shared" si="15"/>
        <v>436</v>
      </c>
      <c r="D444" s="25" t="s">
        <v>320</v>
      </c>
      <c r="E444" s="25" t="s">
        <v>1578</v>
      </c>
      <c r="F444" s="33">
        <v>45814</v>
      </c>
      <c r="G444" s="196">
        <f t="shared" si="16"/>
        <v>2025</v>
      </c>
      <c r="H444" s="25" t="s">
        <v>1579</v>
      </c>
      <c r="I444" s="25" t="s">
        <v>226</v>
      </c>
      <c r="N444" s="66" t="s">
        <v>1</v>
      </c>
      <c r="O444" s="162">
        <v>45831</v>
      </c>
      <c r="P444" t="s">
        <v>1519</v>
      </c>
    </row>
    <row r="445" spans="3:16" hidden="1">
      <c r="C445" s="25">
        <f t="shared" si="15"/>
        <v>437</v>
      </c>
      <c r="D445" s="25" t="s">
        <v>270</v>
      </c>
      <c r="E445" s="25" t="s">
        <v>1580</v>
      </c>
      <c r="F445" s="33">
        <v>45814</v>
      </c>
      <c r="G445" s="196">
        <f t="shared" si="16"/>
        <v>2025</v>
      </c>
      <c r="H445" s="25" t="s">
        <v>1535</v>
      </c>
      <c r="I445" s="25" t="s">
        <v>130</v>
      </c>
      <c r="N445" s="66" t="s">
        <v>1</v>
      </c>
      <c r="O445" s="31">
        <v>45824</v>
      </c>
      <c r="P445" t="s">
        <v>1582</v>
      </c>
    </row>
    <row r="446" spans="3:16" hidden="1">
      <c r="C446" s="25">
        <f t="shared" si="15"/>
        <v>438</v>
      </c>
      <c r="D446" s="25" t="s">
        <v>270</v>
      </c>
      <c r="E446" s="25" t="s">
        <v>1583</v>
      </c>
      <c r="F446" s="33">
        <v>45819</v>
      </c>
      <c r="G446" s="196">
        <f t="shared" si="16"/>
        <v>2025</v>
      </c>
      <c r="H446" s="25" t="s">
        <v>76</v>
      </c>
      <c r="I446" s="183" t="s">
        <v>76</v>
      </c>
      <c r="J446" s="178"/>
      <c r="K446" s="178" t="s">
        <v>1585</v>
      </c>
      <c r="L446" s="178"/>
      <c r="M446" s="178"/>
      <c r="N446" s="66" t="s">
        <v>1</v>
      </c>
      <c r="O446" s="187">
        <v>45664</v>
      </c>
      <c r="P446" t="s">
        <v>1586</v>
      </c>
    </row>
    <row r="447" spans="3:16" hidden="1">
      <c r="C447" s="25">
        <f t="shared" si="15"/>
        <v>439</v>
      </c>
      <c r="D447" s="25" t="s">
        <v>270</v>
      </c>
      <c r="E447" s="25" t="s">
        <v>1587</v>
      </c>
      <c r="F447" s="33">
        <v>45819</v>
      </c>
      <c r="G447" s="196">
        <f t="shared" si="16"/>
        <v>2025</v>
      </c>
      <c r="H447" s="25" t="s">
        <v>76</v>
      </c>
      <c r="I447" s="183" t="s">
        <v>76</v>
      </c>
      <c r="J447" s="25" t="s">
        <v>1588</v>
      </c>
      <c r="K447" s="178" t="s">
        <v>1554</v>
      </c>
      <c r="N447" s="66" t="s">
        <v>1</v>
      </c>
      <c r="O447" s="31">
        <v>45824</v>
      </c>
      <c r="P447" t="s">
        <v>1589</v>
      </c>
    </row>
    <row r="448" spans="3:16" hidden="1">
      <c r="C448" s="25">
        <f t="shared" si="15"/>
        <v>440</v>
      </c>
      <c r="D448" s="25" t="s">
        <v>695</v>
      </c>
      <c r="E448" s="25" t="s">
        <v>1590</v>
      </c>
      <c r="F448" s="31">
        <v>45821</v>
      </c>
      <c r="G448" s="57">
        <f t="shared" si="16"/>
        <v>2025</v>
      </c>
      <c r="H448" s="25" t="s">
        <v>76</v>
      </c>
      <c r="I448" s="183" t="s">
        <v>76</v>
      </c>
      <c r="J448" s="25" t="s">
        <v>1591</v>
      </c>
      <c r="N448" s="66" t="s">
        <v>1</v>
      </c>
      <c r="O448" s="187">
        <v>45664</v>
      </c>
      <c r="P448" t="s">
        <v>1592</v>
      </c>
    </row>
    <row r="449" spans="3:20" ht="28.8" hidden="1">
      <c r="C449" s="25">
        <f t="shared" si="15"/>
        <v>441</v>
      </c>
      <c r="D449" s="25" t="s">
        <v>1045</v>
      </c>
      <c r="E449" s="25" t="s">
        <v>1593</v>
      </c>
      <c r="F449" s="33">
        <v>45821</v>
      </c>
      <c r="G449" s="196">
        <f t="shared" si="16"/>
        <v>2025</v>
      </c>
      <c r="H449" s="25" t="s">
        <v>408</v>
      </c>
      <c r="I449" s="184" t="s">
        <v>226</v>
      </c>
      <c r="K449" s="1" t="s">
        <v>2003</v>
      </c>
      <c r="N449" s="71" t="s">
        <v>4</v>
      </c>
    </row>
    <row r="450" spans="3:20" hidden="1">
      <c r="C450" s="25">
        <f t="shared" si="15"/>
        <v>442</v>
      </c>
      <c r="D450" s="25" t="s">
        <v>329</v>
      </c>
      <c r="E450" s="25" t="s">
        <v>1594</v>
      </c>
      <c r="F450" s="31">
        <v>45821</v>
      </c>
      <c r="G450" s="57">
        <f t="shared" si="16"/>
        <v>2025</v>
      </c>
      <c r="H450" s="25" t="s">
        <v>1595</v>
      </c>
      <c r="I450" s="183" t="s">
        <v>226</v>
      </c>
      <c r="K450" s="26" t="s">
        <v>1554</v>
      </c>
      <c r="N450" s="66" t="s">
        <v>1</v>
      </c>
      <c r="O450" s="188">
        <v>45845</v>
      </c>
      <c r="P450" s="1" t="s">
        <v>1928</v>
      </c>
    </row>
    <row r="451" spans="3:20" hidden="1">
      <c r="C451" s="25">
        <f t="shared" si="15"/>
        <v>443</v>
      </c>
      <c r="D451" s="25" t="s">
        <v>1596</v>
      </c>
      <c r="E451" s="25" t="s">
        <v>1597</v>
      </c>
      <c r="F451" s="31">
        <v>45821</v>
      </c>
      <c r="G451" s="57">
        <f t="shared" si="16"/>
        <v>2025</v>
      </c>
      <c r="I451" s="183" t="s">
        <v>226</v>
      </c>
      <c r="N451" s="66" t="s">
        <v>1</v>
      </c>
      <c r="O451" s="31">
        <v>45824</v>
      </c>
      <c r="P451" t="s">
        <v>1598</v>
      </c>
      <c r="S451" s="24" t="s">
        <v>1599</v>
      </c>
    </row>
    <row r="452" spans="3:20" hidden="1">
      <c r="C452" s="25">
        <f t="shared" si="15"/>
        <v>444</v>
      </c>
      <c r="D452" s="25" t="s">
        <v>1045</v>
      </c>
      <c r="E452" s="25" t="s">
        <v>1600</v>
      </c>
      <c r="F452" s="31">
        <v>45821</v>
      </c>
      <c r="G452" s="57">
        <f t="shared" si="16"/>
        <v>2025</v>
      </c>
      <c r="H452" s="25" t="s">
        <v>206</v>
      </c>
      <c r="I452" s="183" t="s">
        <v>1193</v>
      </c>
      <c r="K452" t="s">
        <v>1554</v>
      </c>
      <c r="N452" s="66" t="s">
        <v>1</v>
      </c>
      <c r="O452" s="31">
        <v>45853</v>
      </c>
      <c r="P452" t="s">
        <v>1986</v>
      </c>
      <c r="S452" s="24"/>
      <c r="T452" s="181"/>
    </row>
    <row r="453" spans="3:20" hidden="1">
      <c r="C453" s="25">
        <f t="shared" si="15"/>
        <v>445</v>
      </c>
      <c r="D453" s="25" t="s">
        <v>1045</v>
      </c>
      <c r="E453" s="25" t="s">
        <v>1601</v>
      </c>
      <c r="F453" s="31">
        <v>45821</v>
      </c>
      <c r="G453" s="57">
        <f t="shared" si="16"/>
        <v>2025</v>
      </c>
      <c r="H453" s="25" t="s">
        <v>1602</v>
      </c>
      <c r="I453" s="183" t="s">
        <v>226</v>
      </c>
      <c r="N453" s="66" t="s">
        <v>1</v>
      </c>
      <c r="O453" s="162">
        <v>45831</v>
      </c>
      <c r="P453" t="s">
        <v>1603</v>
      </c>
      <c r="S453" s="24"/>
      <c r="T453" s="181"/>
    </row>
    <row r="454" spans="3:20" hidden="1">
      <c r="C454" s="25">
        <f t="shared" si="15"/>
        <v>446</v>
      </c>
      <c r="D454" s="25" t="s">
        <v>1596</v>
      </c>
      <c r="E454" s="25" t="s">
        <v>1604</v>
      </c>
      <c r="F454" s="31">
        <v>45821</v>
      </c>
      <c r="G454" s="57">
        <f t="shared" si="16"/>
        <v>2025</v>
      </c>
      <c r="H454" s="25" t="s">
        <v>1579</v>
      </c>
      <c r="I454" s="25" t="s">
        <v>226</v>
      </c>
      <c r="N454" s="66" t="s">
        <v>1</v>
      </c>
      <c r="O454" s="31">
        <v>45824</v>
      </c>
      <c r="P454" t="s">
        <v>1605</v>
      </c>
      <c r="R454" s="179" t="s">
        <v>5</v>
      </c>
      <c r="S454" s="180" t="s">
        <v>1606</v>
      </c>
      <c r="T454" s="182">
        <f>+SUM(T452:T453)</f>
        <v>0</v>
      </c>
    </row>
    <row r="455" spans="3:20" hidden="1">
      <c r="C455" s="25">
        <f t="shared" si="15"/>
        <v>447</v>
      </c>
      <c r="D455" s="25" t="s">
        <v>440</v>
      </c>
      <c r="E455" s="25" t="s">
        <v>1607</v>
      </c>
      <c r="F455" s="31">
        <v>45821</v>
      </c>
      <c r="G455" s="57">
        <f t="shared" si="16"/>
        <v>2025</v>
      </c>
      <c r="H455" s="24" t="s">
        <v>76</v>
      </c>
      <c r="I455" s="24" t="s">
        <v>76</v>
      </c>
      <c r="K455" t="s">
        <v>1608</v>
      </c>
      <c r="N455" s="66" t="s">
        <v>1</v>
      </c>
      <c r="O455" s="187">
        <v>45664</v>
      </c>
      <c r="P455" t="s">
        <v>1609</v>
      </c>
    </row>
    <row r="456" spans="3:20" hidden="1">
      <c r="C456" s="25">
        <f t="shared" si="15"/>
        <v>448</v>
      </c>
      <c r="D456" s="25" t="s">
        <v>1596</v>
      </c>
      <c r="E456" s="25" t="s">
        <v>1610</v>
      </c>
      <c r="F456" s="31">
        <v>45821</v>
      </c>
      <c r="G456" s="57">
        <f t="shared" si="16"/>
        <v>2025</v>
      </c>
      <c r="H456" s="25" t="s">
        <v>1579</v>
      </c>
      <c r="I456" s="25" t="s">
        <v>226</v>
      </c>
      <c r="N456" s="66" t="s">
        <v>1</v>
      </c>
      <c r="O456" s="31">
        <v>45824</v>
      </c>
      <c r="P456" t="s">
        <v>1605</v>
      </c>
    </row>
    <row r="457" spans="3:20" ht="158.4" hidden="1">
      <c r="C457" s="25">
        <f t="shared" si="15"/>
        <v>449</v>
      </c>
      <c r="D457" s="25" t="s">
        <v>1045</v>
      </c>
      <c r="E457" s="25" t="s">
        <v>973</v>
      </c>
      <c r="F457" s="33">
        <v>45831</v>
      </c>
      <c r="G457" s="196">
        <f t="shared" ref="G457:G520" si="17">+YEAR(F457)</f>
        <v>2025</v>
      </c>
      <c r="H457" s="25" t="s">
        <v>206</v>
      </c>
      <c r="I457" s="184" t="s">
        <v>1193</v>
      </c>
      <c r="J457" s="3" t="s">
        <v>2030</v>
      </c>
      <c r="K457" s="2" t="s">
        <v>2496</v>
      </c>
      <c r="N457" s="66" t="s">
        <v>1</v>
      </c>
      <c r="O457" s="33">
        <v>46041</v>
      </c>
      <c r="P457" s="26" t="s">
        <v>2629</v>
      </c>
    </row>
    <row r="458" spans="3:20" ht="43.2" hidden="1">
      <c r="C458" s="25">
        <f t="shared" si="15"/>
        <v>450</v>
      </c>
      <c r="D458" s="25" t="s">
        <v>440</v>
      </c>
      <c r="E458" s="25" t="s">
        <v>1611</v>
      </c>
      <c r="F458" s="33">
        <v>45826</v>
      </c>
      <c r="G458" s="196">
        <f t="shared" si="17"/>
        <v>2025</v>
      </c>
      <c r="H458" s="25" t="s">
        <v>1050</v>
      </c>
      <c r="I458" s="184" t="s">
        <v>226</v>
      </c>
      <c r="K458" s="1" t="s">
        <v>1945</v>
      </c>
      <c r="N458" s="66" t="s">
        <v>1</v>
      </c>
      <c r="O458" s="33">
        <v>45853</v>
      </c>
      <c r="P458" s="26" t="s">
        <v>1555</v>
      </c>
    </row>
    <row r="459" spans="3:20" hidden="1">
      <c r="C459" s="25">
        <f t="shared" si="15"/>
        <v>451</v>
      </c>
      <c r="D459" s="25" t="s">
        <v>440</v>
      </c>
      <c r="E459" s="25" t="s">
        <v>1612</v>
      </c>
      <c r="F459" s="31">
        <v>45824</v>
      </c>
      <c r="G459" s="57">
        <f t="shared" si="17"/>
        <v>2025</v>
      </c>
      <c r="H459" s="25" t="s">
        <v>994</v>
      </c>
      <c r="I459" s="183" t="s">
        <v>226</v>
      </c>
      <c r="N459" s="66" t="s">
        <v>1</v>
      </c>
      <c r="O459" s="187">
        <v>45664</v>
      </c>
      <c r="P459" t="s">
        <v>1613</v>
      </c>
    </row>
    <row r="460" spans="3:20" hidden="1">
      <c r="C460" s="25">
        <f t="shared" si="15"/>
        <v>452</v>
      </c>
      <c r="D460" s="25" t="s">
        <v>1045</v>
      </c>
      <c r="E460" s="25" t="s">
        <v>1614</v>
      </c>
      <c r="F460" s="31">
        <v>45831</v>
      </c>
      <c r="G460" s="57">
        <f t="shared" si="17"/>
        <v>2025</v>
      </c>
      <c r="H460" s="25" t="s">
        <v>1615</v>
      </c>
      <c r="I460" s="183" t="s">
        <v>1193</v>
      </c>
      <c r="N460" s="71" t="s">
        <v>4</v>
      </c>
    </row>
    <row r="461" spans="3:20" ht="115.2" hidden="1">
      <c r="C461" s="25">
        <f t="shared" si="15"/>
        <v>453</v>
      </c>
      <c r="D461" s="25" t="s">
        <v>1045</v>
      </c>
      <c r="E461" s="25" t="s">
        <v>1616</v>
      </c>
      <c r="F461" s="33">
        <v>45824</v>
      </c>
      <c r="G461" s="196">
        <f t="shared" si="17"/>
        <v>2025</v>
      </c>
      <c r="H461" s="25" t="s">
        <v>2117</v>
      </c>
      <c r="I461" s="184" t="s">
        <v>1261</v>
      </c>
      <c r="K461" s="1" t="s">
        <v>2583</v>
      </c>
      <c r="N461" s="66" t="s">
        <v>1</v>
      </c>
      <c r="O461" s="33">
        <v>46055</v>
      </c>
      <c r="P461" s="26" t="s">
        <v>2652</v>
      </c>
    </row>
    <row r="462" spans="3:20" ht="57.6" hidden="1" outlineLevel="1">
      <c r="C462" s="25">
        <f t="shared" si="15"/>
        <v>454</v>
      </c>
      <c r="D462" s="25" t="s">
        <v>1045</v>
      </c>
      <c r="E462" s="25" t="s">
        <v>1617</v>
      </c>
      <c r="F462" s="33">
        <v>45824</v>
      </c>
      <c r="G462" s="196">
        <f t="shared" si="17"/>
        <v>2025</v>
      </c>
      <c r="H462" s="25" t="s">
        <v>2117</v>
      </c>
      <c r="I462" s="184" t="s">
        <v>1261</v>
      </c>
      <c r="J462" s="38" t="s">
        <v>1618</v>
      </c>
      <c r="K462" s="2" t="s">
        <v>2221</v>
      </c>
      <c r="N462" s="66" t="s">
        <v>1</v>
      </c>
    </row>
    <row r="463" spans="3:20" ht="100.8" hidden="1" collapsed="1">
      <c r="C463" s="25">
        <f t="shared" si="15"/>
        <v>455</v>
      </c>
      <c r="D463" s="25" t="s">
        <v>444</v>
      </c>
      <c r="E463" s="25" t="s">
        <v>1619</v>
      </c>
      <c r="F463" s="33">
        <v>45824</v>
      </c>
      <c r="G463" s="196">
        <f t="shared" si="17"/>
        <v>2025</v>
      </c>
      <c r="H463" s="25" t="s">
        <v>1577</v>
      </c>
      <c r="I463" s="184" t="s">
        <v>130</v>
      </c>
      <c r="K463" s="1" t="s">
        <v>2110</v>
      </c>
      <c r="N463" s="66" t="s">
        <v>1</v>
      </c>
      <c r="O463" s="64">
        <v>45901</v>
      </c>
      <c r="P463" s="26" t="s">
        <v>2161</v>
      </c>
    </row>
    <row r="464" spans="3:20" ht="86.4" hidden="1">
      <c r="C464" s="25">
        <f t="shared" si="15"/>
        <v>456</v>
      </c>
      <c r="D464" s="25" t="s">
        <v>1045</v>
      </c>
      <c r="E464" s="25" t="s">
        <v>1620</v>
      </c>
      <c r="F464" s="33">
        <v>45831</v>
      </c>
      <c r="G464" s="196">
        <f t="shared" si="17"/>
        <v>2025</v>
      </c>
      <c r="H464" s="25" t="s">
        <v>1595</v>
      </c>
      <c r="I464" s="184" t="s">
        <v>1261</v>
      </c>
      <c r="K464" s="1" t="s">
        <v>2108</v>
      </c>
      <c r="N464" s="66" t="s">
        <v>1</v>
      </c>
      <c r="O464" s="64">
        <v>45889</v>
      </c>
      <c r="P464" s="26" t="s">
        <v>2111</v>
      </c>
      <c r="Q464" t="s">
        <v>691</v>
      </c>
    </row>
    <row r="465" spans="2:17" hidden="1">
      <c r="C465" s="25">
        <f t="shared" si="15"/>
        <v>457</v>
      </c>
      <c r="D465" s="25" t="s">
        <v>1045</v>
      </c>
      <c r="E465" s="25" t="s">
        <v>1621</v>
      </c>
      <c r="F465" s="31">
        <v>45831</v>
      </c>
      <c r="G465" s="57">
        <f t="shared" si="17"/>
        <v>2025</v>
      </c>
      <c r="H465" s="25" t="s">
        <v>1622</v>
      </c>
      <c r="I465" s="183" t="s">
        <v>1252</v>
      </c>
      <c r="N465" s="66" t="s">
        <v>1</v>
      </c>
      <c r="O465" s="162">
        <v>45842</v>
      </c>
      <c r="P465" t="s">
        <v>1929</v>
      </c>
    </row>
    <row r="466" spans="2:17" ht="43.2" hidden="1">
      <c r="C466" s="25">
        <f t="shared" si="15"/>
        <v>458</v>
      </c>
      <c r="D466" s="25" t="s">
        <v>1623</v>
      </c>
      <c r="E466" s="25" t="s">
        <v>1624</v>
      </c>
      <c r="F466" s="33">
        <v>45833</v>
      </c>
      <c r="G466" s="196">
        <f t="shared" si="17"/>
        <v>2025</v>
      </c>
      <c r="H466" s="25" t="s">
        <v>1625</v>
      </c>
      <c r="I466" s="184" t="s">
        <v>226</v>
      </c>
      <c r="J466" s="38" t="s">
        <v>1626</v>
      </c>
      <c r="K466" s="2" t="s">
        <v>2008</v>
      </c>
      <c r="N466" s="66" t="s">
        <v>1</v>
      </c>
      <c r="O466" s="33">
        <v>45859</v>
      </c>
      <c r="P466" t="s">
        <v>2009</v>
      </c>
    </row>
    <row r="467" spans="2:17" ht="28.8" hidden="1">
      <c r="B467" s="26"/>
      <c r="C467" s="25">
        <f t="shared" si="15"/>
        <v>459</v>
      </c>
      <c r="D467" s="25" t="s">
        <v>1623</v>
      </c>
      <c r="E467" s="25" t="s">
        <v>1627</v>
      </c>
      <c r="F467" s="33">
        <v>45833</v>
      </c>
      <c r="G467" s="196">
        <f t="shared" si="17"/>
        <v>2025</v>
      </c>
      <c r="H467" s="25" t="s">
        <v>1625</v>
      </c>
      <c r="I467" s="184" t="s">
        <v>226</v>
      </c>
      <c r="J467" s="25" t="s">
        <v>1628</v>
      </c>
      <c r="K467" s="26"/>
      <c r="L467" s="26"/>
      <c r="M467" s="26"/>
      <c r="N467" s="66" t="s">
        <v>1</v>
      </c>
      <c r="O467" s="64">
        <v>45833</v>
      </c>
      <c r="P467" s="1" t="s">
        <v>1629</v>
      </c>
    </row>
    <row r="468" spans="2:17" ht="28.8" hidden="1">
      <c r="C468" s="25">
        <f t="shared" si="15"/>
        <v>460</v>
      </c>
      <c r="D468" s="25" t="s">
        <v>320</v>
      </c>
      <c r="E468" s="186" t="s">
        <v>1630</v>
      </c>
      <c r="F468" s="33">
        <v>45833</v>
      </c>
      <c r="G468" s="196">
        <f t="shared" si="17"/>
        <v>2025</v>
      </c>
      <c r="H468" s="185" t="s">
        <v>1631</v>
      </c>
      <c r="I468" s="25" t="s">
        <v>130</v>
      </c>
      <c r="K468" s="1" t="s">
        <v>1632</v>
      </c>
      <c r="N468" s="66" t="s">
        <v>1</v>
      </c>
      <c r="O468" s="162">
        <v>45866</v>
      </c>
      <c r="P468" t="s">
        <v>2028</v>
      </c>
    </row>
    <row r="469" spans="2:17" ht="57.6" hidden="1">
      <c r="C469" s="25">
        <f t="shared" si="15"/>
        <v>461</v>
      </c>
      <c r="D469" s="25" t="s">
        <v>1045</v>
      </c>
      <c r="E469" s="25" t="s">
        <v>1633</v>
      </c>
      <c r="F469" s="33">
        <v>45833</v>
      </c>
      <c r="G469" s="196">
        <f t="shared" si="17"/>
        <v>2025</v>
      </c>
      <c r="H469" s="25" t="s">
        <v>1634</v>
      </c>
      <c r="I469" s="184" t="s">
        <v>802</v>
      </c>
      <c r="J469" s="25" t="s">
        <v>1635</v>
      </c>
      <c r="K469" s="49" t="s">
        <v>2071</v>
      </c>
      <c r="N469" s="66" t="s">
        <v>1</v>
      </c>
      <c r="O469" s="64">
        <v>45889</v>
      </c>
      <c r="P469" s="197" t="s">
        <v>2112</v>
      </c>
      <c r="Q469" t="s">
        <v>691</v>
      </c>
    </row>
    <row r="470" spans="2:17" ht="72" hidden="1">
      <c r="C470" s="25">
        <f t="shared" si="15"/>
        <v>462</v>
      </c>
      <c r="D470" s="25" t="s">
        <v>270</v>
      </c>
      <c r="E470" s="25" t="s">
        <v>1636</v>
      </c>
      <c r="F470" s="33">
        <v>45833</v>
      </c>
      <c r="G470" s="196">
        <f t="shared" si="17"/>
        <v>2025</v>
      </c>
      <c r="H470" s="25" t="s">
        <v>1637</v>
      </c>
      <c r="I470" s="184" t="s">
        <v>226</v>
      </c>
      <c r="K470" s="1" t="s">
        <v>2162</v>
      </c>
      <c r="N470" s="71" t="s">
        <v>4</v>
      </c>
    </row>
    <row r="471" spans="2:17" hidden="1">
      <c r="C471" s="25">
        <f t="shared" si="15"/>
        <v>463</v>
      </c>
      <c r="D471" s="25" t="s">
        <v>1623</v>
      </c>
      <c r="E471" s="25" t="s">
        <v>1638</v>
      </c>
      <c r="F471" s="33">
        <v>45833</v>
      </c>
      <c r="G471" s="196">
        <f t="shared" si="17"/>
        <v>2025</v>
      </c>
      <c r="H471" s="24" t="s">
        <v>1639</v>
      </c>
      <c r="I471" s="24" t="s">
        <v>226</v>
      </c>
      <c r="K471" s="1" t="s">
        <v>2095</v>
      </c>
      <c r="N471" s="66" t="s">
        <v>1</v>
      </c>
      <c r="O471" s="162">
        <v>45922</v>
      </c>
      <c r="P471" t="s">
        <v>2222</v>
      </c>
    </row>
    <row r="472" spans="2:17" hidden="1">
      <c r="C472" s="25">
        <f t="shared" si="15"/>
        <v>464</v>
      </c>
      <c r="D472" s="25" t="s">
        <v>1623</v>
      </c>
      <c r="E472" s="25" t="s">
        <v>1640</v>
      </c>
      <c r="F472" s="33">
        <v>45833</v>
      </c>
      <c r="G472" s="196">
        <f t="shared" si="17"/>
        <v>2025</v>
      </c>
      <c r="H472" s="24" t="s">
        <v>1639</v>
      </c>
      <c r="I472" s="24" t="s">
        <v>226</v>
      </c>
      <c r="K472" s="1" t="s">
        <v>2095</v>
      </c>
      <c r="N472" s="66" t="s">
        <v>1</v>
      </c>
      <c r="O472" s="162">
        <v>45922</v>
      </c>
      <c r="P472" t="s">
        <v>2222</v>
      </c>
    </row>
    <row r="473" spans="2:17" hidden="1">
      <c r="C473" s="25">
        <f t="shared" si="15"/>
        <v>465</v>
      </c>
      <c r="D473" s="25" t="s">
        <v>1623</v>
      </c>
      <c r="E473" s="25" t="s">
        <v>1641</v>
      </c>
      <c r="F473" s="33">
        <v>45833</v>
      </c>
      <c r="G473" s="196">
        <f t="shared" si="17"/>
        <v>2025</v>
      </c>
      <c r="H473" s="24" t="s">
        <v>1639</v>
      </c>
      <c r="I473" s="24" t="s">
        <v>226</v>
      </c>
      <c r="K473" s="1" t="s">
        <v>2095</v>
      </c>
      <c r="N473" s="66" t="s">
        <v>1</v>
      </c>
      <c r="O473" s="162">
        <v>45895</v>
      </c>
      <c r="P473" t="s">
        <v>2140</v>
      </c>
    </row>
    <row r="474" spans="2:17" hidden="1">
      <c r="C474" s="25">
        <f t="shared" si="15"/>
        <v>466</v>
      </c>
      <c r="D474" s="25" t="s">
        <v>1623</v>
      </c>
      <c r="E474" s="25" t="s">
        <v>1642</v>
      </c>
      <c r="F474" s="33">
        <v>45833</v>
      </c>
      <c r="G474" s="196">
        <f t="shared" si="17"/>
        <v>2025</v>
      </c>
      <c r="H474" s="24" t="s">
        <v>1639</v>
      </c>
      <c r="I474" s="24" t="s">
        <v>226</v>
      </c>
      <c r="N474" s="66" t="s">
        <v>1</v>
      </c>
      <c r="O474" s="162">
        <v>45889</v>
      </c>
      <c r="P474" t="s">
        <v>2096</v>
      </c>
    </row>
    <row r="475" spans="2:17" hidden="1">
      <c r="C475" s="25">
        <f t="shared" si="15"/>
        <v>467</v>
      </c>
      <c r="D475" s="25" t="s">
        <v>204</v>
      </c>
      <c r="E475" s="25" t="s">
        <v>1643</v>
      </c>
      <c r="F475" s="33">
        <v>45833</v>
      </c>
      <c r="G475" s="196">
        <f t="shared" si="17"/>
        <v>2025</v>
      </c>
      <c r="H475" s="24" t="s">
        <v>206</v>
      </c>
      <c r="I475" s="25" t="s">
        <v>1193</v>
      </c>
      <c r="K475" t="s">
        <v>1930</v>
      </c>
      <c r="N475" s="66" t="s">
        <v>1</v>
      </c>
      <c r="O475" s="33">
        <v>45853</v>
      </c>
      <c r="P475" t="s">
        <v>2004</v>
      </c>
    </row>
    <row r="476" spans="2:17" ht="28.8" hidden="1">
      <c r="C476" s="25">
        <f>+C475+1</f>
        <v>468</v>
      </c>
      <c r="D476" s="25" t="s">
        <v>270</v>
      </c>
      <c r="E476" s="25" t="s">
        <v>1644</v>
      </c>
      <c r="F476" s="33">
        <v>45833</v>
      </c>
      <c r="G476" s="196">
        <f t="shared" si="17"/>
        <v>2025</v>
      </c>
      <c r="H476" s="25" t="s">
        <v>1645</v>
      </c>
      <c r="I476" s="25" t="s">
        <v>872</v>
      </c>
      <c r="K476" s="1" t="s">
        <v>2060</v>
      </c>
      <c r="N476" s="66" t="s">
        <v>1</v>
      </c>
      <c r="O476" s="162">
        <v>45895</v>
      </c>
    </row>
    <row r="477" spans="2:17" hidden="1">
      <c r="C477" s="25">
        <f t="shared" si="15"/>
        <v>469</v>
      </c>
      <c r="D477" s="25" t="s">
        <v>1596</v>
      </c>
      <c r="E477" s="25" t="s">
        <v>1646</v>
      </c>
      <c r="F477" s="33">
        <v>45833</v>
      </c>
      <c r="G477" s="196">
        <f t="shared" si="17"/>
        <v>2025</v>
      </c>
      <c r="H477" s="24" t="s">
        <v>622</v>
      </c>
      <c r="I477" s="25" t="s">
        <v>226</v>
      </c>
      <c r="K477" t="s">
        <v>1647</v>
      </c>
      <c r="N477" s="66" t="s">
        <v>1</v>
      </c>
      <c r="O477" s="33">
        <v>45853</v>
      </c>
      <c r="P477" t="s">
        <v>2005</v>
      </c>
    </row>
    <row r="478" spans="2:17" hidden="1">
      <c r="C478" s="25">
        <f t="shared" si="15"/>
        <v>470</v>
      </c>
      <c r="D478" s="25" t="s">
        <v>204</v>
      </c>
      <c r="E478" s="25" t="s">
        <v>1648</v>
      </c>
      <c r="F478" s="33">
        <v>45833</v>
      </c>
      <c r="G478" s="196">
        <f t="shared" si="17"/>
        <v>2025</v>
      </c>
      <c r="H478" s="24" t="s">
        <v>1649</v>
      </c>
      <c r="I478" s="25" t="s">
        <v>130</v>
      </c>
      <c r="J478" s="24" t="s">
        <v>1650</v>
      </c>
      <c r="K478" t="s">
        <v>1651</v>
      </c>
      <c r="N478" s="66" t="s">
        <v>1</v>
      </c>
      <c r="O478" s="64">
        <v>45833</v>
      </c>
      <c r="P478" t="s">
        <v>1652</v>
      </c>
    </row>
    <row r="479" spans="2:17" ht="28.8" hidden="1">
      <c r="C479" s="25">
        <f t="shared" ref="C479:C556" si="18">+C478+1</f>
        <v>471</v>
      </c>
      <c r="D479" s="25" t="s">
        <v>329</v>
      </c>
      <c r="E479" s="25" t="s">
        <v>1653</v>
      </c>
      <c r="F479" s="31">
        <v>45838</v>
      </c>
      <c r="G479" s="57">
        <f t="shared" si="17"/>
        <v>2025</v>
      </c>
      <c r="H479" s="24" t="s">
        <v>2434</v>
      </c>
      <c r="I479" s="25" t="s">
        <v>1261</v>
      </c>
      <c r="K479" s="1" t="s">
        <v>1946</v>
      </c>
      <c r="N479" s="66" t="s">
        <v>1</v>
      </c>
      <c r="O479" s="33">
        <v>45853</v>
      </c>
      <c r="P479" s="26" t="s">
        <v>1947</v>
      </c>
    </row>
    <row r="480" spans="2:17" ht="28.8" hidden="1">
      <c r="C480" s="25">
        <f t="shared" si="18"/>
        <v>472</v>
      </c>
      <c r="D480" s="25" t="s">
        <v>86</v>
      </c>
      <c r="E480" s="25" t="s">
        <v>1921</v>
      </c>
      <c r="F480" s="33">
        <v>45840</v>
      </c>
      <c r="G480" s="196">
        <f t="shared" si="17"/>
        <v>2025</v>
      </c>
      <c r="H480" s="25" t="s">
        <v>76</v>
      </c>
      <c r="I480" s="25" t="s">
        <v>76</v>
      </c>
      <c r="J480" s="26"/>
      <c r="K480" s="26"/>
      <c r="L480" s="26"/>
      <c r="M480" s="26"/>
      <c r="N480" s="66" t="s">
        <v>1</v>
      </c>
      <c r="O480" s="64">
        <v>45840</v>
      </c>
      <c r="P480" s="2" t="s">
        <v>1922</v>
      </c>
    </row>
    <row r="481" spans="3:17" ht="28.8" hidden="1">
      <c r="C481" s="25">
        <f t="shared" si="18"/>
        <v>473</v>
      </c>
      <c r="D481" s="25" t="s">
        <v>86</v>
      </c>
      <c r="E481" s="25" t="s">
        <v>1923</v>
      </c>
      <c r="F481" s="33">
        <v>45840</v>
      </c>
      <c r="G481" s="196">
        <f t="shared" si="17"/>
        <v>2025</v>
      </c>
      <c r="H481" s="25" t="s">
        <v>76</v>
      </c>
      <c r="I481" s="25" t="s">
        <v>76</v>
      </c>
      <c r="N481" s="66" t="s">
        <v>1</v>
      </c>
      <c r="O481" s="64">
        <v>45840</v>
      </c>
      <c r="P481" s="1" t="s">
        <v>1924</v>
      </c>
    </row>
    <row r="482" spans="3:17" ht="28.8" hidden="1">
      <c r="C482" s="25">
        <f t="shared" si="18"/>
        <v>474</v>
      </c>
      <c r="D482" s="25" t="s">
        <v>1045</v>
      </c>
      <c r="E482" s="25" t="s">
        <v>1932</v>
      </c>
      <c r="F482" s="31">
        <v>45846</v>
      </c>
      <c r="G482" s="57">
        <f t="shared" si="17"/>
        <v>2025</v>
      </c>
      <c r="H482" s="25" t="s">
        <v>1933</v>
      </c>
      <c r="I482" s="25" t="s">
        <v>1767</v>
      </c>
      <c r="J482" s="3" t="s">
        <v>1934</v>
      </c>
      <c r="N482" s="66" t="s">
        <v>1</v>
      </c>
      <c r="O482" s="33">
        <v>45853</v>
      </c>
      <c r="P482" s="1" t="s">
        <v>2006</v>
      </c>
    </row>
    <row r="483" spans="3:17" hidden="1">
      <c r="C483" s="25">
        <f t="shared" si="18"/>
        <v>475</v>
      </c>
      <c r="D483" s="25" t="s">
        <v>695</v>
      </c>
      <c r="E483" s="3" t="s">
        <v>1935</v>
      </c>
      <c r="F483" s="33">
        <v>45846</v>
      </c>
      <c r="G483" s="196">
        <f t="shared" si="17"/>
        <v>2025</v>
      </c>
      <c r="H483" s="25" t="s">
        <v>1637</v>
      </c>
      <c r="I483" s="25" t="s">
        <v>226</v>
      </c>
      <c r="J483" s="26"/>
      <c r="K483" s="26" t="s">
        <v>2010</v>
      </c>
      <c r="L483" s="26"/>
      <c r="M483" s="26"/>
      <c r="N483" s="66" t="s">
        <v>1</v>
      </c>
      <c r="O483" s="64">
        <v>45889</v>
      </c>
      <c r="Q483" t="s">
        <v>691</v>
      </c>
    </row>
    <row r="484" spans="3:17" hidden="1">
      <c r="C484" s="25">
        <f t="shared" si="18"/>
        <v>476</v>
      </c>
      <c r="D484" s="25" t="s">
        <v>1596</v>
      </c>
      <c r="E484" s="25" t="s">
        <v>1936</v>
      </c>
      <c r="F484" s="31">
        <v>45846</v>
      </c>
      <c r="G484" s="57">
        <f t="shared" si="17"/>
        <v>2025</v>
      </c>
      <c r="H484" s="24" t="s">
        <v>1937</v>
      </c>
      <c r="I484" s="25" t="s">
        <v>226</v>
      </c>
      <c r="N484" s="66" t="s">
        <v>1</v>
      </c>
      <c r="O484" s="33">
        <v>45854</v>
      </c>
      <c r="P484" t="s">
        <v>1999</v>
      </c>
    </row>
    <row r="485" spans="3:17" hidden="1">
      <c r="C485" s="25">
        <f t="shared" si="18"/>
        <v>477</v>
      </c>
      <c r="D485" s="25" t="s">
        <v>1387</v>
      </c>
      <c r="E485" s="25" t="s">
        <v>1938</v>
      </c>
      <c r="F485" s="31">
        <v>45848</v>
      </c>
      <c r="G485" s="57">
        <f t="shared" si="17"/>
        <v>2025</v>
      </c>
      <c r="H485" s="24" t="s">
        <v>1948</v>
      </c>
      <c r="I485" s="25" t="s">
        <v>130</v>
      </c>
      <c r="K485" t="s">
        <v>2011</v>
      </c>
      <c r="N485" s="66" t="s">
        <v>1</v>
      </c>
      <c r="O485" s="31">
        <v>45859</v>
      </c>
    </row>
    <row r="486" spans="3:17" hidden="1">
      <c r="C486" s="25">
        <f t="shared" si="18"/>
        <v>478</v>
      </c>
      <c r="D486" s="25" t="s">
        <v>204</v>
      </c>
      <c r="E486" s="25" t="s">
        <v>1939</v>
      </c>
      <c r="F486" s="31">
        <v>45848</v>
      </c>
      <c r="G486" s="57">
        <f t="shared" si="17"/>
        <v>2025</v>
      </c>
      <c r="H486" s="24" t="s">
        <v>425</v>
      </c>
      <c r="I486" s="25" t="s">
        <v>1261</v>
      </c>
      <c r="N486" s="66" t="s">
        <v>1</v>
      </c>
      <c r="O486" s="31">
        <v>45859</v>
      </c>
      <c r="P486" t="s">
        <v>2012</v>
      </c>
    </row>
    <row r="487" spans="3:17" hidden="1">
      <c r="C487" s="25">
        <f t="shared" si="18"/>
        <v>479</v>
      </c>
      <c r="D487" s="25" t="s">
        <v>440</v>
      </c>
      <c r="E487" s="25" t="s">
        <v>1940</v>
      </c>
      <c r="F487" s="31">
        <v>45849</v>
      </c>
      <c r="G487" s="57">
        <f t="shared" si="17"/>
        <v>2025</v>
      </c>
      <c r="H487" s="24" t="s">
        <v>832</v>
      </c>
      <c r="I487" s="25" t="s">
        <v>226</v>
      </c>
      <c r="K487" t="s">
        <v>2013</v>
      </c>
      <c r="N487" s="71" t="s">
        <v>4</v>
      </c>
    </row>
    <row r="488" spans="3:17" hidden="1">
      <c r="C488" s="25">
        <f t="shared" si="18"/>
        <v>480</v>
      </c>
      <c r="D488" s="25" t="s">
        <v>1418</v>
      </c>
      <c r="E488" s="25" t="s">
        <v>1941</v>
      </c>
      <c r="F488" s="31">
        <v>45852</v>
      </c>
      <c r="G488" s="57">
        <f t="shared" si="17"/>
        <v>2025</v>
      </c>
      <c r="H488" s="24" t="s">
        <v>119</v>
      </c>
      <c r="I488" s="24" t="s">
        <v>1261</v>
      </c>
      <c r="N488" s="66" t="s">
        <v>1</v>
      </c>
      <c r="O488" s="33">
        <v>45855</v>
      </c>
      <c r="P488" s="1" t="s">
        <v>2007</v>
      </c>
    </row>
    <row r="489" spans="3:17" hidden="1">
      <c r="C489" s="25">
        <f t="shared" si="18"/>
        <v>481</v>
      </c>
      <c r="D489" s="25" t="s">
        <v>1942</v>
      </c>
      <c r="E489" s="25" t="s">
        <v>1943</v>
      </c>
      <c r="F489" s="31">
        <v>45852</v>
      </c>
      <c r="G489" s="57">
        <f t="shared" si="17"/>
        <v>2025</v>
      </c>
      <c r="H489" s="24" t="s">
        <v>76</v>
      </c>
      <c r="I489" s="25" t="s">
        <v>76</v>
      </c>
      <c r="N489" s="66" t="s">
        <v>1</v>
      </c>
      <c r="O489" s="33">
        <v>45855</v>
      </c>
      <c r="P489" t="s">
        <v>2014</v>
      </c>
    </row>
    <row r="490" spans="3:17" ht="28.8" hidden="1">
      <c r="C490" s="25">
        <f t="shared" si="18"/>
        <v>482</v>
      </c>
      <c r="D490" s="25" t="s">
        <v>807</v>
      </c>
      <c r="E490" s="25" t="s">
        <v>1987</v>
      </c>
      <c r="F490" s="33">
        <v>45853</v>
      </c>
      <c r="G490" s="196">
        <f t="shared" si="17"/>
        <v>2025</v>
      </c>
      <c r="H490" s="24" t="s">
        <v>994</v>
      </c>
      <c r="I490" s="25" t="s">
        <v>226</v>
      </c>
      <c r="K490" s="1" t="s">
        <v>2084</v>
      </c>
      <c r="N490" s="66" t="s">
        <v>1</v>
      </c>
      <c r="O490" s="64">
        <v>45889</v>
      </c>
      <c r="Q490" t="s">
        <v>691</v>
      </c>
    </row>
    <row r="491" spans="3:17" hidden="1">
      <c r="C491" s="25">
        <f t="shared" si="18"/>
        <v>483</v>
      </c>
      <c r="D491" s="25" t="s">
        <v>320</v>
      </c>
      <c r="E491" s="25" t="s">
        <v>1988</v>
      </c>
      <c r="F491" s="31">
        <v>45853</v>
      </c>
      <c r="G491" s="57">
        <f t="shared" si="17"/>
        <v>2025</v>
      </c>
      <c r="H491" s="24" t="s">
        <v>1989</v>
      </c>
      <c r="I491" s="25" t="s">
        <v>1261</v>
      </c>
      <c r="N491" s="66" t="s">
        <v>1</v>
      </c>
      <c r="O491" s="31">
        <v>45853</v>
      </c>
      <c r="P491" t="s">
        <v>1992</v>
      </c>
    </row>
    <row r="492" spans="3:17" hidden="1">
      <c r="C492" s="25">
        <f t="shared" si="18"/>
        <v>484</v>
      </c>
      <c r="D492" s="25" t="s">
        <v>320</v>
      </c>
      <c r="E492" s="25" t="s">
        <v>1990</v>
      </c>
      <c r="F492" s="31">
        <v>45853</v>
      </c>
      <c r="G492" s="57">
        <f t="shared" si="17"/>
        <v>2025</v>
      </c>
      <c r="H492" s="24" t="s">
        <v>1989</v>
      </c>
      <c r="I492" s="25" t="s">
        <v>1261</v>
      </c>
      <c r="N492" s="66" t="s">
        <v>1</v>
      </c>
      <c r="O492" s="31">
        <v>45853</v>
      </c>
      <c r="P492" t="s">
        <v>1993</v>
      </c>
    </row>
    <row r="493" spans="3:17" ht="28.8" hidden="1">
      <c r="C493" s="25">
        <f t="shared" si="18"/>
        <v>485</v>
      </c>
      <c r="D493" s="25" t="s">
        <v>807</v>
      </c>
      <c r="E493" s="25" t="s">
        <v>1991</v>
      </c>
      <c r="F493" s="33">
        <v>45853</v>
      </c>
      <c r="G493" s="196">
        <f t="shared" si="17"/>
        <v>2025</v>
      </c>
      <c r="H493" s="25" t="s">
        <v>994</v>
      </c>
      <c r="I493" s="25" t="s">
        <v>226</v>
      </c>
      <c r="J493" s="26"/>
      <c r="K493" s="26" t="s">
        <v>2013</v>
      </c>
      <c r="L493" s="26"/>
      <c r="M493" s="26"/>
      <c r="N493" s="66" t="s">
        <v>1</v>
      </c>
      <c r="O493" s="33">
        <v>45873</v>
      </c>
      <c r="P493" s="2" t="s">
        <v>2054</v>
      </c>
    </row>
    <row r="494" spans="3:17" hidden="1">
      <c r="C494" s="25">
        <f t="shared" si="18"/>
        <v>486</v>
      </c>
      <c r="D494" s="25" t="s">
        <v>270</v>
      </c>
      <c r="E494" s="25" t="s">
        <v>1994</v>
      </c>
      <c r="F494" s="31">
        <v>45853</v>
      </c>
      <c r="G494" s="57">
        <f t="shared" si="17"/>
        <v>2025</v>
      </c>
      <c r="H494" s="25" t="s">
        <v>1637</v>
      </c>
      <c r="I494" s="25" t="s">
        <v>226</v>
      </c>
      <c r="K494" t="s">
        <v>2013</v>
      </c>
      <c r="N494" s="66" t="s">
        <v>1</v>
      </c>
      <c r="O494" s="162">
        <v>45869</v>
      </c>
      <c r="P494" t="s">
        <v>2031</v>
      </c>
    </row>
    <row r="495" spans="3:17" hidden="1">
      <c r="C495" s="25">
        <f t="shared" si="18"/>
        <v>487</v>
      </c>
      <c r="D495" s="25" t="s">
        <v>320</v>
      </c>
      <c r="E495" s="25" t="s">
        <v>1995</v>
      </c>
      <c r="F495" s="31">
        <v>45854</v>
      </c>
      <c r="G495" s="57">
        <f t="shared" si="17"/>
        <v>2025</v>
      </c>
      <c r="H495" s="24" t="s">
        <v>994</v>
      </c>
      <c r="I495" s="25" t="s">
        <v>226</v>
      </c>
      <c r="N495" s="66" t="s">
        <v>1</v>
      </c>
      <c r="O495" s="33">
        <v>45859</v>
      </c>
      <c r="P495" t="s">
        <v>2016</v>
      </c>
    </row>
    <row r="496" spans="3:17" hidden="1">
      <c r="C496" s="25">
        <f t="shared" si="18"/>
        <v>488</v>
      </c>
      <c r="D496" s="25" t="s">
        <v>320</v>
      </c>
      <c r="E496" s="25" t="s">
        <v>1996</v>
      </c>
      <c r="F496" s="31">
        <v>45854</v>
      </c>
      <c r="G496" s="57">
        <f t="shared" si="17"/>
        <v>2025</v>
      </c>
      <c r="H496" s="24" t="s">
        <v>994</v>
      </c>
      <c r="I496" s="25" t="s">
        <v>226</v>
      </c>
      <c r="N496" s="66" t="s">
        <v>1</v>
      </c>
      <c r="O496" s="33">
        <v>45859</v>
      </c>
      <c r="P496" t="s">
        <v>2016</v>
      </c>
    </row>
    <row r="497" spans="3:16" ht="43.2" hidden="1">
      <c r="C497" s="25">
        <f t="shared" si="18"/>
        <v>489</v>
      </c>
      <c r="D497" s="25" t="s">
        <v>1418</v>
      </c>
      <c r="E497" s="25" t="s">
        <v>1997</v>
      </c>
      <c r="F497" s="33">
        <v>45854</v>
      </c>
      <c r="G497" s="196">
        <f t="shared" si="17"/>
        <v>2025</v>
      </c>
      <c r="H497" s="25" t="s">
        <v>994</v>
      </c>
      <c r="I497" s="25" t="s">
        <v>226</v>
      </c>
      <c r="J497" s="3" t="s">
        <v>1998</v>
      </c>
      <c r="K497" s="26"/>
      <c r="L497" s="26"/>
      <c r="M497" s="26"/>
      <c r="N497" s="66" t="s">
        <v>1</v>
      </c>
      <c r="O497" s="33">
        <v>45859</v>
      </c>
      <c r="P497" s="26" t="s">
        <v>2015</v>
      </c>
    </row>
    <row r="498" spans="3:16" ht="28.8" hidden="1">
      <c r="C498" s="25">
        <f t="shared" si="18"/>
        <v>490</v>
      </c>
      <c r="D498" s="25" t="s">
        <v>270</v>
      </c>
      <c r="E498" s="25" t="s">
        <v>2000</v>
      </c>
      <c r="F498" s="33">
        <v>45854</v>
      </c>
      <c r="G498" s="196">
        <f t="shared" si="17"/>
        <v>2025</v>
      </c>
      <c r="H498" s="25" t="s">
        <v>994</v>
      </c>
      <c r="I498" s="25" t="s">
        <v>226</v>
      </c>
      <c r="J498" s="3" t="s">
        <v>2001</v>
      </c>
      <c r="K498" s="26" t="s">
        <v>2013</v>
      </c>
      <c r="N498" s="66" t="s">
        <v>1</v>
      </c>
      <c r="O498" s="33">
        <v>45859</v>
      </c>
      <c r="P498" t="s">
        <v>1519</v>
      </c>
    </row>
    <row r="499" spans="3:16" hidden="1">
      <c r="C499" s="25">
        <f t="shared" si="18"/>
        <v>491</v>
      </c>
      <c r="D499" s="25" t="s">
        <v>2025</v>
      </c>
      <c r="E499" s="25" t="s">
        <v>2017</v>
      </c>
      <c r="F499" s="31">
        <v>45859</v>
      </c>
      <c r="G499" s="57">
        <f t="shared" si="17"/>
        <v>2025</v>
      </c>
      <c r="H499" s="25" t="s">
        <v>2599</v>
      </c>
      <c r="I499" s="25" t="s">
        <v>1918</v>
      </c>
      <c r="N499" s="66" t="s">
        <v>1</v>
      </c>
      <c r="O499" s="162">
        <v>45869</v>
      </c>
      <c r="P499" t="s">
        <v>2032</v>
      </c>
    </row>
    <row r="500" spans="3:16" hidden="1">
      <c r="C500" s="25">
        <f t="shared" si="18"/>
        <v>492</v>
      </c>
      <c r="D500" s="25" t="s">
        <v>1045</v>
      </c>
      <c r="E500" s="25" t="s">
        <v>2018</v>
      </c>
      <c r="F500" s="31">
        <v>45859</v>
      </c>
      <c r="G500" s="57">
        <f t="shared" si="17"/>
        <v>2025</v>
      </c>
      <c r="H500" s="24" t="s">
        <v>2610</v>
      </c>
      <c r="I500" s="25" t="s">
        <v>2019</v>
      </c>
      <c r="N500" s="11" t="s">
        <v>1</v>
      </c>
      <c r="O500" s="162">
        <v>46006</v>
      </c>
      <c r="P500" t="s">
        <v>2522</v>
      </c>
    </row>
    <row r="501" spans="3:16" hidden="1">
      <c r="C501" s="25">
        <f t="shared" si="18"/>
        <v>493</v>
      </c>
      <c r="E501" s="25" t="s">
        <v>2020</v>
      </c>
      <c r="F501" s="31">
        <v>45859</v>
      </c>
      <c r="G501" s="57">
        <f t="shared" si="17"/>
        <v>2025</v>
      </c>
      <c r="H501" s="24" t="s">
        <v>76</v>
      </c>
      <c r="I501" s="25" t="s">
        <v>76</v>
      </c>
      <c r="N501" s="66" t="s">
        <v>1</v>
      </c>
      <c r="O501" s="162">
        <v>45866</v>
      </c>
      <c r="P501" t="s">
        <v>2029</v>
      </c>
    </row>
    <row r="502" spans="3:16" hidden="1">
      <c r="C502" s="25">
        <f t="shared" si="18"/>
        <v>494</v>
      </c>
      <c r="D502" s="25" t="s">
        <v>270</v>
      </c>
      <c r="E502" s="25" t="s">
        <v>2021</v>
      </c>
      <c r="F502" s="31">
        <v>45861</v>
      </c>
      <c r="G502" s="57">
        <f t="shared" si="17"/>
        <v>2025</v>
      </c>
      <c r="H502" s="24" t="s">
        <v>76</v>
      </c>
      <c r="I502" s="25" t="s">
        <v>76</v>
      </c>
      <c r="N502" s="66" t="s">
        <v>1</v>
      </c>
      <c r="O502" s="162">
        <v>45869</v>
      </c>
      <c r="P502" t="s">
        <v>2033</v>
      </c>
    </row>
    <row r="503" spans="3:16" hidden="1">
      <c r="C503" s="25">
        <f t="shared" si="18"/>
        <v>495</v>
      </c>
      <c r="D503" s="25" t="s">
        <v>463</v>
      </c>
      <c r="E503" s="25" t="s">
        <v>2022</v>
      </c>
      <c r="F503" s="31">
        <v>45861</v>
      </c>
      <c r="G503" s="57">
        <f t="shared" si="17"/>
        <v>2025</v>
      </c>
      <c r="H503" s="24" t="s">
        <v>206</v>
      </c>
      <c r="I503" s="25" t="s">
        <v>1193</v>
      </c>
      <c r="J503" s="25" t="s">
        <v>2023</v>
      </c>
      <c r="N503" s="66" t="s">
        <v>1</v>
      </c>
      <c r="O503" s="162">
        <v>45895</v>
      </c>
      <c r="P503" t="s">
        <v>2141</v>
      </c>
    </row>
    <row r="504" spans="3:16" hidden="1">
      <c r="C504" s="25">
        <f t="shared" si="18"/>
        <v>496</v>
      </c>
      <c r="D504" s="25" t="s">
        <v>1045</v>
      </c>
      <c r="E504" s="25" t="s">
        <v>2024</v>
      </c>
      <c r="F504" s="31">
        <v>45861</v>
      </c>
      <c r="G504" s="57">
        <f t="shared" si="17"/>
        <v>2025</v>
      </c>
      <c r="H504" s="24" t="s">
        <v>1211</v>
      </c>
      <c r="I504" s="25" t="s">
        <v>1261</v>
      </c>
      <c r="K504" t="s">
        <v>2113</v>
      </c>
      <c r="N504" s="66" t="s">
        <v>1</v>
      </c>
      <c r="O504" s="162">
        <v>45895</v>
      </c>
      <c r="P504" t="s">
        <v>2142</v>
      </c>
    </row>
    <row r="505" spans="3:16" ht="158.4" hidden="1">
      <c r="C505" s="25">
        <f t="shared" si="18"/>
        <v>497</v>
      </c>
      <c r="D505" s="25" t="s">
        <v>2035</v>
      </c>
      <c r="E505" s="25" t="s">
        <v>2036</v>
      </c>
      <c r="F505" s="33">
        <v>45868</v>
      </c>
      <c r="G505" s="196">
        <f t="shared" si="17"/>
        <v>2025</v>
      </c>
      <c r="H505" s="25" t="s">
        <v>2037</v>
      </c>
      <c r="I505" s="196" t="s">
        <v>130</v>
      </c>
      <c r="J505" s="38" t="s">
        <v>2053</v>
      </c>
      <c r="K505" s="26" t="s">
        <v>2083</v>
      </c>
      <c r="N505" s="66" t="s">
        <v>1</v>
      </c>
      <c r="O505" s="33">
        <v>45882</v>
      </c>
    </row>
    <row r="506" spans="3:16" ht="43.2" hidden="1">
      <c r="C506" s="25">
        <f t="shared" si="18"/>
        <v>498</v>
      </c>
      <c r="D506" s="25" t="s">
        <v>329</v>
      </c>
      <c r="E506" s="25" t="s">
        <v>2038</v>
      </c>
      <c r="F506" s="33">
        <v>45868</v>
      </c>
      <c r="G506" s="196">
        <f t="shared" si="17"/>
        <v>2025</v>
      </c>
      <c r="H506" s="25" t="s">
        <v>1595</v>
      </c>
      <c r="I506" s="25" t="s">
        <v>1261</v>
      </c>
      <c r="K506" s="1" t="s">
        <v>2163</v>
      </c>
      <c r="N506" s="66" t="s">
        <v>1</v>
      </c>
      <c r="O506" s="64">
        <v>45922</v>
      </c>
      <c r="P506" s="26" t="s">
        <v>2223</v>
      </c>
    </row>
    <row r="507" spans="3:16" hidden="1">
      <c r="C507" s="25">
        <f t="shared" si="18"/>
        <v>499</v>
      </c>
      <c r="D507" s="25" t="s">
        <v>1045</v>
      </c>
      <c r="E507" s="25" t="s">
        <v>2039</v>
      </c>
      <c r="F507" s="33">
        <v>45868</v>
      </c>
      <c r="G507" s="196">
        <f t="shared" si="17"/>
        <v>2025</v>
      </c>
      <c r="H507" s="24" t="s">
        <v>1595</v>
      </c>
      <c r="I507" s="24" t="s">
        <v>1261</v>
      </c>
      <c r="N507" s="66" t="s">
        <v>1</v>
      </c>
      <c r="O507" s="64">
        <v>45922</v>
      </c>
      <c r="P507" s="26" t="s">
        <v>2223</v>
      </c>
    </row>
    <row r="508" spans="3:16" hidden="1">
      <c r="C508" s="25">
        <f t="shared" si="18"/>
        <v>500</v>
      </c>
      <c r="D508" s="25" t="s">
        <v>2040</v>
      </c>
      <c r="E508" s="25" t="s">
        <v>2041</v>
      </c>
      <c r="F508" s="33">
        <v>45868</v>
      </c>
      <c r="G508" s="196">
        <f t="shared" si="17"/>
        <v>2025</v>
      </c>
      <c r="H508" s="24" t="s">
        <v>76</v>
      </c>
      <c r="I508" s="25" t="s">
        <v>76</v>
      </c>
      <c r="N508" s="66" t="s">
        <v>1</v>
      </c>
      <c r="O508" s="31">
        <v>45901</v>
      </c>
      <c r="P508" t="s">
        <v>2164</v>
      </c>
    </row>
    <row r="509" spans="3:16" hidden="1">
      <c r="C509" s="25">
        <f t="shared" si="18"/>
        <v>501</v>
      </c>
      <c r="D509" s="25" t="s">
        <v>320</v>
      </c>
      <c r="E509" s="25" t="s">
        <v>2043</v>
      </c>
      <c r="F509" s="33">
        <v>45868</v>
      </c>
      <c r="G509" s="196">
        <f t="shared" si="17"/>
        <v>2025</v>
      </c>
      <c r="H509" s="24" t="s">
        <v>2042</v>
      </c>
      <c r="I509" s="24" t="s">
        <v>226</v>
      </c>
      <c r="N509" s="66" t="s">
        <v>1</v>
      </c>
      <c r="O509" s="31">
        <v>45869</v>
      </c>
      <c r="P509" t="s">
        <v>2044</v>
      </c>
    </row>
    <row r="510" spans="3:16" hidden="1">
      <c r="C510" s="25">
        <f t="shared" si="18"/>
        <v>502</v>
      </c>
      <c r="D510" s="25" t="s">
        <v>270</v>
      </c>
      <c r="E510" s="25" t="s">
        <v>2046</v>
      </c>
      <c r="F510" s="33">
        <v>45868</v>
      </c>
      <c r="G510" s="196">
        <f t="shared" si="17"/>
        <v>2025</v>
      </c>
      <c r="H510" s="24" t="s">
        <v>76</v>
      </c>
      <c r="I510" s="25" t="s">
        <v>76</v>
      </c>
      <c r="N510" s="66" t="s">
        <v>1</v>
      </c>
      <c r="O510" s="31">
        <v>45869</v>
      </c>
      <c r="P510" t="s">
        <v>2047</v>
      </c>
    </row>
    <row r="511" spans="3:16" ht="57.6" hidden="1">
      <c r="C511" s="25">
        <f t="shared" si="18"/>
        <v>503</v>
      </c>
      <c r="D511" s="25" t="s">
        <v>270</v>
      </c>
      <c r="E511" s="25" t="s">
        <v>2045</v>
      </c>
      <c r="F511" s="33">
        <v>45868</v>
      </c>
      <c r="G511" s="196">
        <f t="shared" si="17"/>
        <v>2025</v>
      </c>
      <c r="H511" s="25" t="s">
        <v>759</v>
      </c>
      <c r="I511" s="25" t="s">
        <v>1767</v>
      </c>
      <c r="K511" s="1" t="s">
        <v>2224</v>
      </c>
      <c r="N511" s="66" t="s">
        <v>1</v>
      </c>
      <c r="O511" s="33">
        <v>45936</v>
      </c>
      <c r="P511" s="26" t="s">
        <v>2296</v>
      </c>
    </row>
    <row r="512" spans="3:16" hidden="1">
      <c r="C512" s="25">
        <f t="shared" si="18"/>
        <v>504</v>
      </c>
      <c r="D512" s="25" t="s">
        <v>270</v>
      </c>
      <c r="E512" s="25" t="s">
        <v>2048</v>
      </c>
      <c r="F512" s="33">
        <v>45868</v>
      </c>
      <c r="G512" s="196">
        <f t="shared" si="17"/>
        <v>2025</v>
      </c>
      <c r="H512" s="24" t="s">
        <v>2049</v>
      </c>
      <c r="I512" s="24" t="s">
        <v>130</v>
      </c>
      <c r="N512" s="66" t="s">
        <v>1</v>
      </c>
      <c r="O512" s="162">
        <v>45869</v>
      </c>
      <c r="P512" t="s">
        <v>2050</v>
      </c>
    </row>
    <row r="513" spans="3:17" hidden="1">
      <c r="C513" s="25">
        <f t="shared" si="18"/>
        <v>505</v>
      </c>
      <c r="D513" s="25" t="s">
        <v>270</v>
      </c>
      <c r="E513" s="25" t="s">
        <v>2052</v>
      </c>
      <c r="F513" s="33">
        <v>45868</v>
      </c>
      <c r="G513" s="196">
        <f t="shared" si="17"/>
        <v>2025</v>
      </c>
      <c r="H513" s="24" t="s">
        <v>2049</v>
      </c>
      <c r="I513" s="24" t="s">
        <v>130</v>
      </c>
      <c r="N513" s="66" t="s">
        <v>1</v>
      </c>
      <c r="O513" s="162">
        <v>45869</v>
      </c>
      <c r="P513" t="s">
        <v>2051</v>
      </c>
    </row>
    <row r="514" spans="3:17" hidden="1">
      <c r="C514" s="25">
        <f t="shared" si="18"/>
        <v>506</v>
      </c>
      <c r="D514" s="25" t="s">
        <v>304</v>
      </c>
      <c r="E514" s="25" t="s">
        <v>2055</v>
      </c>
      <c r="F514" s="33">
        <v>45868</v>
      </c>
      <c r="G514" s="196">
        <f t="shared" si="17"/>
        <v>2025</v>
      </c>
      <c r="H514" s="24" t="s">
        <v>994</v>
      </c>
      <c r="I514" s="24" t="s">
        <v>226</v>
      </c>
      <c r="N514" s="66" t="s">
        <v>1</v>
      </c>
      <c r="O514" s="31">
        <v>45873</v>
      </c>
      <c r="P514" t="s">
        <v>2056</v>
      </c>
    </row>
    <row r="515" spans="3:17" ht="28.8" hidden="1">
      <c r="C515" s="25">
        <f t="shared" si="18"/>
        <v>507</v>
      </c>
      <c r="D515" s="25" t="s">
        <v>329</v>
      </c>
      <c r="E515" s="25" t="s">
        <v>2058</v>
      </c>
      <c r="F515" s="33">
        <v>45868</v>
      </c>
      <c r="G515" s="196">
        <f t="shared" si="17"/>
        <v>2025</v>
      </c>
      <c r="H515" s="25" t="s">
        <v>2057</v>
      </c>
      <c r="I515" s="25" t="s">
        <v>1261</v>
      </c>
      <c r="J515" s="38" t="s">
        <v>2059</v>
      </c>
      <c r="K515" s="53" t="s">
        <v>2070</v>
      </c>
      <c r="N515" s="66" t="s">
        <v>1</v>
      </c>
      <c r="O515" s="162">
        <v>45895</v>
      </c>
      <c r="P515" t="s">
        <v>2142</v>
      </c>
    </row>
    <row r="516" spans="3:17" hidden="1">
      <c r="C516" s="25">
        <f t="shared" si="18"/>
        <v>508</v>
      </c>
      <c r="D516" s="25" t="s">
        <v>204</v>
      </c>
      <c r="E516" s="25" t="s">
        <v>2061</v>
      </c>
      <c r="F516" s="31">
        <v>45873</v>
      </c>
      <c r="G516" s="57">
        <f t="shared" si="17"/>
        <v>2025</v>
      </c>
      <c r="H516" s="24" t="s">
        <v>375</v>
      </c>
      <c r="I516" s="24" t="s">
        <v>1193</v>
      </c>
      <c r="J516" s="24" t="s">
        <v>2065</v>
      </c>
      <c r="K516" s="50" t="s">
        <v>2114</v>
      </c>
      <c r="N516" s="66" t="s">
        <v>1</v>
      </c>
      <c r="O516" s="162">
        <v>45895</v>
      </c>
      <c r="P516" t="s">
        <v>2143</v>
      </c>
    </row>
    <row r="517" spans="3:17" ht="86.4" hidden="1">
      <c r="C517" s="25">
        <f t="shared" si="18"/>
        <v>509</v>
      </c>
      <c r="D517" s="25" t="s">
        <v>204</v>
      </c>
      <c r="E517" s="25" t="s">
        <v>2062</v>
      </c>
      <c r="F517" s="33">
        <v>45873</v>
      </c>
      <c r="G517" s="196">
        <f t="shared" si="17"/>
        <v>2025</v>
      </c>
      <c r="H517" s="25" t="s">
        <v>2617</v>
      </c>
      <c r="I517" s="25" t="s">
        <v>1767</v>
      </c>
      <c r="J517" s="25" t="s">
        <v>2063</v>
      </c>
      <c r="K517" s="1" t="s">
        <v>2225</v>
      </c>
      <c r="N517" s="66" t="s">
        <v>1</v>
      </c>
      <c r="O517" s="33">
        <v>45936</v>
      </c>
      <c r="P517" s="26" t="s">
        <v>2297</v>
      </c>
    </row>
    <row r="518" spans="3:17" hidden="1">
      <c r="C518" s="25">
        <f t="shared" si="18"/>
        <v>510</v>
      </c>
      <c r="D518" s="25" t="s">
        <v>1045</v>
      </c>
      <c r="E518" s="25" t="s">
        <v>2064</v>
      </c>
      <c r="F518" s="33">
        <v>45873</v>
      </c>
      <c r="G518" s="196">
        <f t="shared" si="17"/>
        <v>2025</v>
      </c>
      <c r="H518" s="25" t="s">
        <v>76</v>
      </c>
      <c r="I518" s="25" t="s">
        <v>76</v>
      </c>
      <c r="J518" s="1" t="s">
        <v>2085</v>
      </c>
      <c r="N518" s="66" t="s">
        <v>1</v>
      </c>
      <c r="O518" s="64">
        <v>45889</v>
      </c>
      <c r="Q518" t="s">
        <v>691</v>
      </c>
    </row>
    <row r="519" spans="3:17" ht="28.8" hidden="1">
      <c r="C519" s="25">
        <f t="shared" si="18"/>
        <v>511</v>
      </c>
      <c r="D519" s="25" t="s">
        <v>204</v>
      </c>
      <c r="E519" s="25" t="s">
        <v>2066</v>
      </c>
      <c r="F519" s="33">
        <v>45881</v>
      </c>
      <c r="G519" s="196">
        <f t="shared" si="17"/>
        <v>2025</v>
      </c>
      <c r="H519" s="25" t="s">
        <v>206</v>
      </c>
      <c r="I519" s="25" t="s">
        <v>1193</v>
      </c>
      <c r="K519" s="1" t="s">
        <v>2086</v>
      </c>
      <c r="N519" s="66" t="s">
        <v>1</v>
      </c>
      <c r="O519" s="33">
        <v>45901</v>
      </c>
      <c r="P519" s="26"/>
    </row>
    <row r="520" spans="3:17" hidden="1">
      <c r="C520" s="25">
        <f t="shared" si="18"/>
        <v>512</v>
      </c>
      <c r="D520" s="25" t="s">
        <v>2068</v>
      </c>
      <c r="E520" s="25" t="s">
        <v>2069</v>
      </c>
      <c r="F520" s="31">
        <v>45881</v>
      </c>
      <c r="G520" s="57">
        <f t="shared" si="17"/>
        <v>2025</v>
      </c>
      <c r="H520" s="24" t="s">
        <v>2067</v>
      </c>
      <c r="I520" s="24" t="s">
        <v>1252</v>
      </c>
      <c r="N520" s="66" t="s">
        <v>1</v>
      </c>
      <c r="O520" s="162">
        <v>45889</v>
      </c>
      <c r="P520" t="s">
        <v>2097</v>
      </c>
    </row>
    <row r="521" spans="3:17" hidden="1">
      <c r="C521" s="25">
        <f t="shared" si="18"/>
        <v>513</v>
      </c>
      <c r="D521" s="57" t="s">
        <v>304</v>
      </c>
      <c r="E521" s="25" t="s">
        <v>2088</v>
      </c>
      <c r="F521" s="31">
        <v>45881</v>
      </c>
      <c r="G521" s="57">
        <f t="shared" ref="G521:G584" si="19">+YEAR(F521)</f>
        <v>2025</v>
      </c>
      <c r="H521" s="24" t="s">
        <v>2072</v>
      </c>
      <c r="I521" s="24" t="s">
        <v>130</v>
      </c>
      <c r="J521" s="24" t="s">
        <v>2073</v>
      </c>
      <c r="K521" t="s">
        <v>2087</v>
      </c>
      <c r="N521" s="66" t="s">
        <v>1</v>
      </c>
      <c r="O521" s="33">
        <v>45901</v>
      </c>
      <c r="P521" t="s">
        <v>2166</v>
      </c>
    </row>
    <row r="522" spans="3:17" hidden="1">
      <c r="C522" s="25">
        <f t="shared" si="18"/>
        <v>514</v>
      </c>
      <c r="D522" s="57" t="s">
        <v>304</v>
      </c>
      <c r="E522" s="25" t="s">
        <v>2088</v>
      </c>
      <c r="F522" s="31">
        <v>45881</v>
      </c>
      <c r="G522" s="57">
        <f t="shared" si="19"/>
        <v>2025</v>
      </c>
      <c r="H522" s="24" t="s">
        <v>2072</v>
      </c>
      <c r="I522" s="24" t="s">
        <v>130</v>
      </c>
      <c r="J522" s="24" t="s">
        <v>2074</v>
      </c>
      <c r="K522" t="s">
        <v>2087</v>
      </c>
      <c r="N522" s="66" t="s">
        <v>1</v>
      </c>
      <c r="O522" s="33">
        <v>45901</v>
      </c>
      <c r="P522" t="s">
        <v>2165</v>
      </c>
    </row>
    <row r="523" spans="3:17" ht="43.2" hidden="1">
      <c r="C523" s="25">
        <f>+C522+1</f>
        <v>515</v>
      </c>
      <c r="D523" s="25" t="s">
        <v>1045</v>
      </c>
      <c r="E523" s="25" t="s">
        <v>2075</v>
      </c>
      <c r="F523" s="33">
        <v>45881</v>
      </c>
      <c r="G523" s="196">
        <f t="shared" si="19"/>
        <v>2025</v>
      </c>
      <c r="H523" s="25" t="s">
        <v>1622</v>
      </c>
      <c r="I523" s="25" t="s">
        <v>1252</v>
      </c>
      <c r="K523" s="2" t="s">
        <v>2089</v>
      </c>
      <c r="N523" s="66" t="s">
        <v>1</v>
      </c>
      <c r="O523" s="162">
        <v>45895</v>
      </c>
      <c r="P523" t="s">
        <v>1347</v>
      </c>
    </row>
    <row r="524" spans="3:17" hidden="1">
      <c r="C524" s="25">
        <f>+C523+1</f>
        <v>516</v>
      </c>
      <c r="D524" s="25" t="s">
        <v>86</v>
      </c>
      <c r="F524" s="33">
        <v>45881</v>
      </c>
      <c r="G524" s="196">
        <f t="shared" si="19"/>
        <v>2025</v>
      </c>
      <c r="H524" s="24" t="s">
        <v>1625</v>
      </c>
      <c r="I524" s="24" t="s">
        <v>1252</v>
      </c>
      <c r="N524" s="66" t="s">
        <v>1</v>
      </c>
      <c r="O524" s="162">
        <v>45882</v>
      </c>
      <c r="P524" t="s">
        <v>2090</v>
      </c>
    </row>
    <row r="525" spans="3:17" ht="57.6" hidden="1">
      <c r="C525" s="25">
        <f t="shared" si="18"/>
        <v>517</v>
      </c>
      <c r="D525" s="25" t="s">
        <v>1045</v>
      </c>
      <c r="E525" s="25" t="s">
        <v>2076</v>
      </c>
      <c r="F525" s="33">
        <v>45881</v>
      </c>
      <c r="G525" s="196">
        <f t="shared" si="19"/>
        <v>2025</v>
      </c>
      <c r="H525" s="25" t="s">
        <v>76</v>
      </c>
      <c r="I525" s="25" t="s">
        <v>76</v>
      </c>
      <c r="K525" s="1" t="s">
        <v>2226</v>
      </c>
      <c r="N525" s="66" t="s">
        <v>1</v>
      </c>
    </row>
    <row r="526" spans="3:17" hidden="1">
      <c r="C526" s="25">
        <f t="shared" si="18"/>
        <v>518</v>
      </c>
      <c r="D526" s="25" t="s">
        <v>1045</v>
      </c>
      <c r="E526" s="25" t="s">
        <v>2077</v>
      </c>
      <c r="F526" s="33">
        <v>45881</v>
      </c>
      <c r="G526" s="196">
        <f t="shared" si="19"/>
        <v>2025</v>
      </c>
      <c r="H526" s="24" t="s">
        <v>2078</v>
      </c>
      <c r="I526" s="24" t="s">
        <v>1767</v>
      </c>
      <c r="J526" t="s">
        <v>2091</v>
      </c>
      <c r="N526" s="66" t="s">
        <v>1</v>
      </c>
      <c r="Q526" t="s">
        <v>691</v>
      </c>
    </row>
    <row r="527" spans="3:17" hidden="1">
      <c r="C527" s="25">
        <f t="shared" si="18"/>
        <v>519</v>
      </c>
      <c r="D527" s="25" t="s">
        <v>329</v>
      </c>
      <c r="E527" s="25" t="s">
        <v>2079</v>
      </c>
      <c r="F527" s="33">
        <v>45881</v>
      </c>
      <c r="G527" s="196">
        <f t="shared" si="19"/>
        <v>2025</v>
      </c>
      <c r="H527" s="24" t="s">
        <v>425</v>
      </c>
      <c r="I527" s="24" t="s">
        <v>1261</v>
      </c>
      <c r="K527" t="s">
        <v>2098</v>
      </c>
      <c r="N527" s="71" t="s">
        <v>4</v>
      </c>
      <c r="Q527" t="s">
        <v>691</v>
      </c>
    </row>
    <row r="528" spans="3:17" hidden="1">
      <c r="C528" s="25">
        <f t="shared" si="18"/>
        <v>520</v>
      </c>
      <c r="D528" s="25" t="s">
        <v>270</v>
      </c>
      <c r="E528" s="25" t="s">
        <v>2092</v>
      </c>
      <c r="F528" s="33">
        <v>45881</v>
      </c>
      <c r="G528" s="196">
        <f t="shared" si="19"/>
        <v>2025</v>
      </c>
      <c r="H528" s="25" t="s">
        <v>1553</v>
      </c>
      <c r="I528" s="24" t="s">
        <v>130</v>
      </c>
      <c r="N528" s="66" t="s">
        <v>1</v>
      </c>
      <c r="O528" s="162">
        <v>45895</v>
      </c>
      <c r="P528" t="s">
        <v>2144</v>
      </c>
    </row>
    <row r="529" spans="3:16" ht="43.2" hidden="1">
      <c r="C529" s="25">
        <f t="shared" si="18"/>
        <v>521</v>
      </c>
      <c r="D529" s="25" t="s">
        <v>270</v>
      </c>
      <c r="E529" s="25" t="s">
        <v>2094</v>
      </c>
      <c r="F529" s="33">
        <v>45882</v>
      </c>
      <c r="G529" s="196">
        <f t="shared" si="19"/>
        <v>2025</v>
      </c>
      <c r="H529" s="25" t="s">
        <v>630</v>
      </c>
      <c r="I529" s="25" t="s">
        <v>226</v>
      </c>
      <c r="K529" s="1" t="s">
        <v>2298</v>
      </c>
      <c r="N529" s="66" t="s">
        <v>1</v>
      </c>
      <c r="O529" s="33">
        <v>45936</v>
      </c>
      <c r="P529" s="26" t="s">
        <v>2299</v>
      </c>
    </row>
    <row r="530" spans="3:16" hidden="1">
      <c r="C530" s="25">
        <f t="shared" si="18"/>
        <v>522</v>
      </c>
      <c r="D530" s="25" t="s">
        <v>695</v>
      </c>
      <c r="E530" s="25" t="s">
        <v>2099</v>
      </c>
      <c r="F530" s="31">
        <v>45889</v>
      </c>
      <c r="G530" s="57">
        <f t="shared" si="19"/>
        <v>2025</v>
      </c>
      <c r="H530" s="24" t="s">
        <v>1224</v>
      </c>
      <c r="I530" s="24" t="s">
        <v>872</v>
      </c>
      <c r="N530" s="66" t="s">
        <v>1</v>
      </c>
      <c r="O530" s="162">
        <v>45895</v>
      </c>
      <c r="P530" t="s">
        <v>2145</v>
      </c>
    </row>
    <row r="531" spans="3:16" hidden="1">
      <c r="C531" s="25">
        <f t="shared" si="18"/>
        <v>523</v>
      </c>
      <c r="D531" s="25" t="s">
        <v>86</v>
      </c>
      <c r="E531" s="25" t="s">
        <v>1604</v>
      </c>
      <c r="F531" s="31">
        <v>45889</v>
      </c>
      <c r="G531" s="57">
        <f t="shared" si="19"/>
        <v>2025</v>
      </c>
      <c r="H531" s="24" t="s">
        <v>994</v>
      </c>
      <c r="I531" s="24" t="s">
        <v>226</v>
      </c>
      <c r="N531" s="66" t="s">
        <v>1</v>
      </c>
      <c r="O531" s="162">
        <v>45889</v>
      </c>
      <c r="P531" t="s">
        <v>2100</v>
      </c>
    </row>
    <row r="532" spans="3:16" ht="28.8" hidden="1">
      <c r="C532" s="25">
        <f t="shared" si="18"/>
        <v>524</v>
      </c>
      <c r="D532" s="25" t="s">
        <v>2101</v>
      </c>
      <c r="E532" s="25" t="s">
        <v>2102</v>
      </c>
      <c r="F532" s="33">
        <v>45889</v>
      </c>
      <c r="G532" s="196">
        <f t="shared" si="19"/>
        <v>2025</v>
      </c>
      <c r="H532" s="25" t="s">
        <v>2103</v>
      </c>
      <c r="I532" s="25" t="s">
        <v>1261</v>
      </c>
      <c r="J532" s="2" t="s">
        <v>2104</v>
      </c>
      <c r="K532" s="49" t="s">
        <v>2167</v>
      </c>
      <c r="N532" s="66" t="s">
        <v>1</v>
      </c>
      <c r="O532" s="33">
        <v>45936</v>
      </c>
      <c r="P532" s="26" t="s">
        <v>2300</v>
      </c>
    </row>
    <row r="533" spans="3:16" ht="72" hidden="1">
      <c r="C533" s="25">
        <f t="shared" si="18"/>
        <v>525</v>
      </c>
      <c r="D533" s="25" t="s">
        <v>329</v>
      </c>
      <c r="E533" s="25" t="s">
        <v>2105</v>
      </c>
      <c r="F533" s="33">
        <v>45889</v>
      </c>
      <c r="G533" s="196">
        <f t="shared" si="19"/>
        <v>2025</v>
      </c>
      <c r="H533" s="25" t="s">
        <v>2106</v>
      </c>
      <c r="I533" s="25" t="s">
        <v>130</v>
      </c>
      <c r="J533" s="59" t="s">
        <v>2107</v>
      </c>
      <c r="K533" s="49" t="s">
        <v>2227</v>
      </c>
      <c r="N533" s="66" t="s">
        <v>1</v>
      </c>
      <c r="O533" s="64">
        <v>45922</v>
      </c>
      <c r="P533" s="26" t="s">
        <v>2228</v>
      </c>
    </row>
    <row r="534" spans="3:16" ht="28.8" hidden="1">
      <c r="C534" s="25">
        <f t="shared" si="18"/>
        <v>526</v>
      </c>
      <c r="D534" s="25" t="s">
        <v>270</v>
      </c>
      <c r="E534" s="25" t="s">
        <v>2115</v>
      </c>
      <c r="F534" s="33">
        <v>45889</v>
      </c>
      <c r="G534" s="196">
        <f t="shared" si="19"/>
        <v>2025</v>
      </c>
      <c r="H534" s="25" t="s">
        <v>697</v>
      </c>
      <c r="I534" s="25" t="s">
        <v>226</v>
      </c>
      <c r="K534" s="1" t="s">
        <v>2168</v>
      </c>
      <c r="N534" s="66" t="s">
        <v>1</v>
      </c>
      <c r="O534" s="64">
        <v>45922</v>
      </c>
      <c r="P534" s="26" t="s">
        <v>2229</v>
      </c>
    </row>
    <row r="535" spans="3:16" hidden="1">
      <c r="C535" s="25">
        <f t="shared" si="18"/>
        <v>527</v>
      </c>
      <c r="D535" s="25" t="s">
        <v>270</v>
      </c>
      <c r="E535" s="25" t="s">
        <v>898</v>
      </c>
      <c r="F535" s="33">
        <v>45889</v>
      </c>
      <c r="G535" s="196">
        <f t="shared" si="19"/>
        <v>2025</v>
      </c>
      <c r="H535" s="24" t="s">
        <v>697</v>
      </c>
      <c r="I535" s="25" t="s">
        <v>226</v>
      </c>
      <c r="K535" t="s">
        <v>2146</v>
      </c>
      <c r="N535" s="66" t="s">
        <v>1</v>
      </c>
      <c r="O535" s="162">
        <v>45895</v>
      </c>
      <c r="P535" t="s">
        <v>2147</v>
      </c>
    </row>
    <row r="536" spans="3:16" hidden="1">
      <c r="C536" s="25">
        <f t="shared" si="18"/>
        <v>528</v>
      </c>
      <c r="D536" s="25" t="s">
        <v>204</v>
      </c>
      <c r="E536" s="25" t="s">
        <v>2116</v>
      </c>
      <c r="F536" s="33">
        <v>45889</v>
      </c>
      <c r="G536" s="196">
        <f t="shared" si="19"/>
        <v>2025</v>
      </c>
      <c r="H536" s="24" t="s">
        <v>2117</v>
      </c>
      <c r="I536" s="25" t="s">
        <v>1261</v>
      </c>
      <c r="K536" t="s">
        <v>2148</v>
      </c>
      <c r="N536" s="66" t="s">
        <v>1</v>
      </c>
      <c r="O536" s="33">
        <v>45901</v>
      </c>
      <c r="P536" t="s">
        <v>2169</v>
      </c>
    </row>
    <row r="537" spans="3:16" ht="86.4" hidden="1">
      <c r="C537" s="25">
        <f t="shared" si="18"/>
        <v>529</v>
      </c>
      <c r="D537" s="25" t="s">
        <v>1045</v>
      </c>
      <c r="E537" s="25" t="s">
        <v>2149</v>
      </c>
      <c r="F537" s="33">
        <v>45895</v>
      </c>
      <c r="G537" s="196">
        <f t="shared" si="19"/>
        <v>2025</v>
      </c>
      <c r="H537" s="25" t="s">
        <v>425</v>
      </c>
      <c r="I537" s="25" t="s">
        <v>1261</v>
      </c>
      <c r="J537" s="61" t="s">
        <v>2150</v>
      </c>
      <c r="K537" s="2" t="s">
        <v>2389</v>
      </c>
      <c r="N537" s="71" t="s">
        <v>4</v>
      </c>
    </row>
    <row r="538" spans="3:16" ht="43.2" hidden="1">
      <c r="C538" s="25">
        <f t="shared" si="18"/>
        <v>530</v>
      </c>
      <c r="D538" s="25" t="s">
        <v>1045</v>
      </c>
      <c r="E538" s="25" t="s">
        <v>2152</v>
      </c>
      <c r="F538" s="33">
        <v>45895</v>
      </c>
      <c r="G538" s="196">
        <f t="shared" si="19"/>
        <v>2025</v>
      </c>
      <c r="H538" s="25" t="s">
        <v>2611</v>
      </c>
      <c r="I538" s="25" t="s">
        <v>226</v>
      </c>
      <c r="J538" s="2" t="s">
        <v>2151</v>
      </c>
      <c r="K538" s="49" t="s">
        <v>2342</v>
      </c>
      <c r="N538" s="66" t="s">
        <v>1</v>
      </c>
      <c r="O538" s="64">
        <v>45950</v>
      </c>
      <c r="P538" s="26" t="s">
        <v>2374</v>
      </c>
    </row>
    <row r="539" spans="3:16" ht="43.2" hidden="1">
      <c r="C539" s="25">
        <f t="shared" si="18"/>
        <v>531</v>
      </c>
      <c r="D539" s="25" t="s">
        <v>1045</v>
      </c>
      <c r="E539" s="25" t="s">
        <v>2153</v>
      </c>
      <c r="F539" s="33">
        <v>45895</v>
      </c>
      <c r="G539" s="196">
        <f t="shared" si="19"/>
        <v>2025</v>
      </c>
      <c r="H539" s="25" t="s">
        <v>2117</v>
      </c>
      <c r="I539" s="25" t="s">
        <v>1261</v>
      </c>
      <c r="J539" s="202" t="s">
        <v>2154</v>
      </c>
      <c r="N539" s="66" t="s">
        <v>1</v>
      </c>
      <c r="O539" s="33">
        <v>45940</v>
      </c>
      <c r="P539" s="26" t="s">
        <v>2327</v>
      </c>
    </row>
    <row r="540" spans="3:16" ht="57.6" hidden="1">
      <c r="C540" s="25">
        <f t="shared" si="18"/>
        <v>532</v>
      </c>
      <c r="D540" s="25" t="s">
        <v>1623</v>
      </c>
      <c r="E540" s="3" t="s">
        <v>2170</v>
      </c>
      <c r="F540" s="33">
        <v>45895</v>
      </c>
      <c r="G540" s="196">
        <f t="shared" si="19"/>
        <v>2025</v>
      </c>
      <c r="H540" s="25" t="s">
        <v>2117</v>
      </c>
      <c r="I540" s="25" t="s">
        <v>1261</v>
      </c>
      <c r="J540" s="53" t="s">
        <v>2171</v>
      </c>
      <c r="K540" s="1" t="s">
        <v>2416</v>
      </c>
      <c r="N540" s="71" t="s">
        <v>4</v>
      </c>
    </row>
    <row r="541" spans="3:16" hidden="1">
      <c r="C541" s="25">
        <f t="shared" si="18"/>
        <v>533</v>
      </c>
      <c r="D541" s="25" t="s">
        <v>1045</v>
      </c>
      <c r="E541" s="25" t="s">
        <v>2155</v>
      </c>
      <c r="F541" s="33">
        <v>45895</v>
      </c>
      <c r="G541" s="196">
        <f t="shared" si="19"/>
        <v>2025</v>
      </c>
      <c r="H541" s="25" t="s">
        <v>76</v>
      </c>
      <c r="I541" s="25" t="s">
        <v>76</v>
      </c>
      <c r="J541" s="202" t="s">
        <v>2156</v>
      </c>
      <c r="N541" s="66" t="s">
        <v>1</v>
      </c>
      <c r="O541" s="33">
        <v>45901</v>
      </c>
      <c r="P541" s="26" t="s">
        <v>2172</v>
      </c>
    </row>
    <row r="542" spans="3:16" hidden="1">
      <c r="C542" s="25">
        <f t="shared" si="18"/>
        <v>534</v>
      </c>
      <c r="D542" s="25" t="s">
        <v>1045</v>
      </c>
      <c r="E542" s="25" t="s">
        <v>2157</v>
      </c>
      <c r="F542" s="33">
        <v>45895</v>
      </c>
      <c r="G542" s="196">
        <f t="shared" si="19"/>
        <v>2025</v>
      </c>
      <c r="H542" s="25" t="s">
        <v>2612</v>
      </c>
      <c r="I542" s="25" t="s">
        <v>2019</v>
      </c>
      <c r="N542" s="66" t="s">
        <v>1</v>
      </c>
    </row>
    <row r="543" spans="3:16" hidden="1">
      <c r="C543" s="25">
        <f t="shared" si="18"/>
        <v>535</v>
      </c>
      <c r="D543" s="25" t="s">
        <v>1045</v>
      </c>
      <c r="E543" s="25" t="s">
        <v>2158</v>
      </c>
      <c r="F543" s="33">
        <v>45895</v>
      </c>
      <c r="G543" s="196">
        <f t="shared" si="19"/>
        <v>2025</v>
      </c>
      <c r="H543" s="25" t="s">
        <v>2599</v>
      </c>
      <c r="I543" s="25" t="s">
        <v>1918</v>
      </c>
      <c r="N543" s="66" t="s">
        <v>1</v>
      </c>
    </row>
    <row r="544" spans="3:16" hidden="1">
      <c r="C544" s="25">
        <f t="shared" si="18"/>
        <v>536</v>
      </c>
      <c r="D544" s="25" t="s">
        <v>270</v>
      </c>
      <c r="E544" s="25" t="s">
        <v>2231</v>
      </c>
      <c r="F544" s="31">
        <v>45901</v>
      </c>
      <c r="G544" s="57">
        <f t="shared" si="19"/>
        <v>2025</v>
      </c>
      <c r="H544" s="25" t="s">
        <v>2159</v>
      </c>
      <c r="J544" s="53" t="s">
        <v>2173</v>
      </c>
      <c r="K544" t="s">
        <v>2174</v>
      </c>
      <c r="N544" s="66" t="s">
        <v>1</v>
      </c>
      <c r="O544" s="162">
        <v>45922</v>
      </c>
      <c r="P544" t="s">
        <v>2230</v>
      </c>
    </row>
    <row r="545" spans="3:16" hidden="1">
      <c r="C545" s="25">
        <f t="shared" si="18"/>
        <v>537</v>
      </c>
      <c r="D545" s="25" t="s">
        <v>270</v>
      </c>
      <c r="E545" s="25" t="s">
        <v>2176</v>
      </c>
      <c r="F545" s="31">
        <v>45901</v>
      </c>
      <c r="G545" s="57">
        <f t="shared" si="19"/>
        <v>2025</v>
      </c>
      <c r="H545" s="25" t="s">
        <v>2175</v>
      </c>
      <c r="I545" s="25" t="s">
        <v>130</v>
      </c>
      <c r="K545" s="53" t="s">
        <v>2177</v>
      </c>
      <c r="N545" s="66" t="s">
        <v>1</v>
      </c>
      <c r="O545" s="33">
        <v>45901</v>
      </c>
      <c r="P545" t="s">
        <v>2178</v>
      </c>
    </row>
    <row r="546" spans="3:16" hidden="1">
      <c r="C546" s="25">
        <f t="shared" si="18"/>
        <v>538</v>
      </c>
      <c r="D546" s="25" t="s">
        <v>2180</v>
      </c>
      <c r="E546" s="25" t="s">
        <v>2179</v>
      </c>
      <c r="F546" s="31">
        <v>45901</v>
      </c>
      <c r="G546" s="57">
        <f t="shared" si="19"/>
        <v>2025</v>
      </c>
      <c r="H546" s="25" t="s">
        <v>2159</v>
      </c>
      <c r="N546" s="66" t="s">
        <v>1</v>
      </c>
      <c r="O546" s="33">
        <v>45901</v>
      </c>
      <c r="P546" t="s">
        <v>2181</v>
      </c>
    </row>
    <row r="547" spans="3:16" hidden="1">
      <c r="C547" s="25">
        <f t="shared" si="18"/>
        <v>539</v>
      </c>
      <c r="D547" s="25" t="s">
        <v>1045</v>
      </c>
      <c r="E547" s="25" t="s">
        <v>2182</v>
      </c>
      <c r="F547" s="31">
        <v>45901</v>
      </c>
      <c r="G547" s="57">
        <f t="shared" si="19"/>
        <v>2025</v>
      </c>
      <c r="H547" s="25" t="s">
        <v>2183</v>
      </c>
      <c r="I547" s="25" t="s">
        <v>1261</v>
      </c>
      <c r="N547" s="66" t="s">
        <v>1</v>
      </c>
      <c r="O547" s="33">
        <v>45901</v>
      </c>
      <c r="P547" t="s">
        <v>2184</v>
      </c>
    </row>
    <row r="548" spans="3:16" ht="27" hidden="1" customHeight="1">
      <c r="C548" s="25">
        <f t="shared" si="18"/>
        <v>540</v>
      </c>
      <c r="D548" s="25" t="s">
        <v>320</v>
      </c>
      <c r="E548" s="25" t="s">
        <v>2185</v>
      </c>
      <c r="F548" s="31">
        <v>45902</v>
      </c>
      <c r="G548" s="57">
        <f t="shared" si="19"/>
        <v>2025</v>
      </c>
      <c r="H548" s="25" t="s">
        <v>2196</v>
      </c>
      <c r="I548" s="25" t="s">
        <v>226</v>
      </c>
      <c r="J548" s="1" t="s">
        <v>2186</v>
      </c>
      <c r="K548" s="26" t="s">
        <v>2202</v>
      </c>
      <c r="N548" s="66" t="s">
        <v>1</v>
      </c>
      <c r="O548" s="162">
        <v>45922</v>
      </c>
      <c r="P548" t="s">
        <v>2232</v>
      </c>
    </row>
    <row r="549" spans="3:16" hidden="1">
      <c r="C549" s="25">
        <f t="shared" si="18"/>
        <v>541</v>
      </c>
      <c r="D549" s="25" t="s">
        <v>270</v>
      </c>
      <c r="E549" s="25" t="s">
        <v>2233</v>
      </c>
      <c r="F549" s="31">
        <v>45904</v>
      </c>
      <c r="G549" s="57">
        <f t="shared" si="19"/>
        <v>2025</v>
      </c>
      <c r="H549" s="25" t="s">
        <v>2187</v>
      </c>
      <c r="I549" s="25" t="s">
        <v>130</v>
      </c>
      <c r="J549" s="53" t="s">
        <v>2188</v>
      </c>
      <c r="N549" s="66" t="s">
        <v>1</v>
      </c>
      <c r="O549" s="162">
        <v>45922</v>
      </c>
      <c r="P549" t="s">
        <v>2234</v>
      </c>
    </row>
    <row r="550" spans="3:16" hidden="1">
      <c r="C550" s="25">
        <f t="shared" si="18"/>
        <v>542</v>
      </c>
      <c r="D550" s="25" t="s">
        <v>270</v>
      </c>
      <c r="E550" s="203" t="s">
        <v>2215</v>
      </c>
      <c r="F550" s="31">
        <v>45908</v>
      </c>
      <c r="G550" s="57">
        <f t="shared" si="19"/>
        <v>2025</v>
      </c>
      <c r="H550" s="24" t="s">
        <v>2197</v>
      </c>
      <c r="I550" s="25" t="s">
        <v>226</v>
      </c>
      <c r="J550" t="s">
        <v>2235</v>
      </c>
      <c r="N550" s="66" t="s">
        <v>1</v>
      </c>
      <c r="O550" s="162">
        <v>45922</v>
      </c>
      <c r="P550" t="s">
        <v>2234</v>
      </c>
    </row>
    <row r="551" spans="3:16" hidden="1">
      <c r="C551" s="25">
        <f t="shared" si="18"/>
        <v>543</v>
      </c>
      <c r="D551" s="25" t="s">
        <v>1045</v>
      </c>
      <c r="E551" s="25" t="s">
        <v>2189</v>
      </c>
      <c r="F551" s="31">
        <v>45910</v>
      </c>
      <c r="G551" s="57">
        <f t="shared" si="19"/>
        <v>2025</v>
      </c>
      <c r="H551" s="25" t="s">
        <v>2190</v>
      </c>
      <c r="I551" s="24" t="s">
        <v>226</v>
      </c>
      <c r="J551" s="26" t="s">
        <v>2191</v>
      </c>
      <c r="N551" s="66" t="s">
        <v>1</v>
      </c>
      <c r="O551" s="162">
        <v>45922</v>
      </c>
      <c r="P551" t="s">
        <v>2236</v>
      </c>
    </row>
    <row r="552" spans="3:16" hidden="1">
      <c r="C552" s="25">
        <f t="shared" si="18"/>
        <v>544</v>
      </c>
      <c r="D552" s="25" t="s">
        <v>204</v>
      </c>
      <c r="E552" s="25" t="s">
        <v>2192</v>
      </c>
      <c r="F552" s="31">
        <v>45911</v>
      </c>
      <c r="G552" s="57">
        <f t="shared" si="19"/>
        <v>2025</v>
      </c>
      <c r="H552" s="24" t="s">
        <v>2193</v>
      </c>
      <c r="I552" s="25" t="s">
        <v>2194</v>
      </c>
      <c r="J552" s="53" t="s">
        <v>2195</v>
      </c>
      <c r="N552" s="66" t="s">
        <v>1</v>
      </c>
      <c r="O552" s="31">
        <v>45936</v>
      </c>
      <c r="P552" t="s">
        <v>2301</v>
      </c>
    </row>
    <row r="553" spans="3:16" hidden="1">
      <c r="C553" s="25">
        <f t="shared" si="18"/>
        <v>545</v>
      </c>
      <c r="D553" s="25" t="s">
        <v>329</v>
      </c>
      <c r="E553" s="25" t="s">
        <v>2198</v>
      </c>
      <c r="F553" s="31">
        <v>45911</v>
      </c>
      <c r="G553" s="57">
        <f t="shared" si="19"/>
        <v>2025</v>
      </c>
      <c r="H553" s="24" t="s">
        <v>2193</v>
      </c>
      <c r="I553" s="25" t="s">
        <v>2194</v>
      </c>
      <c r="J553" s="53" t="s">
        <v>2199</v>
      </c>
      <c r="K553" t="s">
        <v>2237</v>
      </c>
      <c r="N553" s="66" t="s">
        <v>1</v>
      </c>
      <c r="O553" s="31">
        <v>45936</v>
      </c>
      <c r="P553" t="s">
        <v>2301</v>
      </c>
    </row>
    <row r="554" spans="3:16" hidden="1">
      <c r="C554" s="25">
        <f t="shared" si="18"/>
        <v>546</v>
      </c>
      <c r="D554" s="25" t="s">
        <v>1045</v>
      </c>
      <c r="E554" s="25" t="s">
        <v>2249</v>
      </c>
      <c r="F554" s="31">
        <f>F553</f>
        <v>45911</v>
      </c>
      <c r="G554" s="57">
        <f t="shared" si="19"/>
        <v>2025</v>
      </c>
      <c r="H554" s="24" t="s">
        <v>76</v>
      </c>
      <c r="I554" s="25" t="s">
        <v>1261</v>
      </c>
      <c r="J554" s="53" t="s">
        <v>2201</v>
      </c>
      <c r="K554" t="s">
        <v>2238</v>
      </c>
      <c r="N554" s="66" t="s">
        <v>1</v>
      </c>
      <c r="O554" s="31">
        <v>45936</v>
      </c>
      <c r="P554" t="s">
        <v>2316</v>
      </c>
    </row>
    <row r="555" spans="3:16" hidden="1">
      <c r="C555" s="25">
        <f t="shared" si="18"/>
        <v>547</v>
      </c>
      <c r="D555" s="25" t="s">
        <v>1045</v>
      </c>
      <c r="E555" s="25" t="s">
        <v>2203</v>
      </c>
      <c r="F555" s="31">
        <f>F554</f>
        <v>45911</v>
      </c>
      <c r="G555" s="57">
        <f t="shared" si="19"/>
        <v>2025</v>
      </c>
      <c r="H555" s="24" t="s">
        <v>2204</v>
      </c>
      <c r="I555" s="25" t="s">
        <v>130</v>
      </c>
      <c r="J555" s="53" t="s">
        <v>2205</v>
      </c>
      <c r="K555" t="s">
        <v>2206</v>
      </c>
      <c r="N555" s="66" t="s">
        <v>1</v>
      </c>
      <c r="O555" s="162">
        <v>45922</v>
      </c>
      <c r="P555" t="s">
        <v>2236</v>
      </c>
    </row>
    <row r="556" spans="3:16" hidden="1">
      <c r="C556" s="25">
        <f t="shared" si="18"/>
        <v>548</v>
      </c>
      <c r="D556" s="25" t="s">
        <v>1045</v>
      </c>
      <c r="E556" s="25" t="s">
        <v>2207</v>
      </c>
      <c r="F556" s="31">
        <f t="shared" ref="F556:F557" si="20">F555</f>
        <v>45911</v>
      </c>
      <c r="G556" s="57">
        <f t="shared" si="19"/>
        <v>2025</v>
      </c>
      <c r="H556" s="24" t="s">
        <v>2208</v>
      </c>
      <c r="I556" s="25" t="s">
        <v>1206</v>
      </c>
      <c r="J556" s="53" t="s">
        <v>2209</v>
      </c>
      <c r="K556" t="s">
        <v>2239</v>
      </c>
      <c r="N556" s="71" t="s">
        <v>4</v>
      </c>
    </row>
    <row r="557" spans="3:16" hidden="1">
      <c r="C557" s="25">
        <f t="shared" ref="C557:C600" si="21">+C556+1</f>
        <v>549</v>
      </c>
      <c r="D557" s="25" t="s">
        <v>1045</v>
      </c>
      <c r="E557" s="25" t="s">
        <v>2210</v>
      </c>
      <c r="F557" s="31">
        <f t="shared" si="20"/>
        <v>45911</v>
      </c>
      <c r="G557" s="57">
        <f t="shared" si="19"/>
        <v>2025</v>
      </c>
      <c r="H557" s="24" t="s">
        <v>2434</v>
      </c>
      <c r="I557" s="25" t="s">
        <v>1261</v>
      </c>
      <c r="J557" s="53" t="s">
        <v>2211</v>
      </c>
      <c r="K557" t="s">
        <v>2240</v>
      </c>
      <c r="N557" s="66" t="s">
        <v>1</v>
      </c>
      <c r="O557" s="31">
        <v>45939</v>
      </c>
      <c r="P557" t="s">
        <v>2308</v>
      </c>
    </row>
    <row r="558" spans="3:16" hidden="1">
      <c r="C558" s="25">
        <f t="shared" si="21"/>
        <v>550</v>
      </c>
      <c r="D558" s="25" t="s">
        <v>2101</v>
      </c>
      <c r="E558" s="25" t="s">
        <v>2213</v>
      </c>
      <c r="F558" s="31">
        <v>45908</v>
      </c>
      <c r="G558" s="57">
        <f t="shared" si="19"/>
        <v>2025</v>
      </c>
      <c r="H558" s="24" t="s">
        <v>2212</v>
      </c>
      <c r="I558" s="25" t="s">
        <v>226</v>
      </c>
      <c r="J558" s="53" t="s">
        <v>2214</v>
      </c>
      <c r="K558" t="s">
        <v>2241</v>
      </c>
      <c r="N558" s="66" t="s">
        <v>1</v>
      </c>
      <c r="O558" s="31">
        <v>45939</v>
      </c>
      <c r="P558" t="s">
        <v>2214</v>
      </c>
    </row>
    <row r="559" spans="3:16" hidden="1">
      <c r="C559" s="25">
        <f t="shared" si="21"/>
        <v>551</v>
      </c>
      <c r="D559" s="25" t="s">
        <v>204</v>
      </c>
      <c r="E559" s="25" t="s">
        <v>2216</v>
      </c>
      <c r="F559" s="31">
        <v>45911</v>
      </c>
      <c r="G559" s="57">
        <f t="shared" si="19"/>
        <v>2025</v>
      </c>
      <c r="H559" s="24" t="s">
        <v>76</v>
      </c>
      <c r="I559" s="25" t="s">
        <v>76</v>
      </c>
      <c r="J559" s="53" t="s">
        <v>2218</v>
      </c>
      <c r="K559" t="s">
        <v>2390</v>
      </c>
      <c r="N559" s="66" t="s">
        <v>1</v>
      </c>
      <c r="O559" s="162">
        <v>45957</v>
      </c>
      <c r="P559" t="s">
        <v>2391</v>
      </c>
    </row>
    <row r="560" spans="3:16" hidden="1">
      <c r="C560" s="25">
        <f t="shared" si="21"/>
        <v>552</v>
      </c>
      <c r="D560" s="25" t="s">
        <v>304</v>
      </c>
      <c r="E560" s="25" t="s">
        <v>2219</v>
      </c>
      <c r="F560" s="31">
        <v>45911</v>
      </c>
      <c r="G560" s="57">
        <f t="shared" si="19"/>
        <v>2025</v>
      </c>
      <c r="H560" s="24" t="s">
        <v>306</v>
      </c>
      <c r="I560" s="25" t="s">
        <v>226</v>
      </c>
      <c r="J560" s="53" t="s">
        <v>2242</v>
      </c>
      <c r="N560" s="71" t="s">
        <v>4</v>
      </c>
    </row>
    <row r="561" spans="3:16" hidden="1">
      <c r="C561" s="25">
        <f t="shared" si="21"/>
        <v>553</v>
      </c>
      <c r="D561" s="25" t="s">
        <v>807</v>
      </c>
      <c r="E561" s="25" t="s">
        <v>2243</v>
      </c>
      <c r="F561" s="31">
        <v>45911</v>
      </c>
      <c r="G561" s="57">
        <f t="shared" si="19"/>
        <v>2025</v>
      </c>
      <c r="H561" s="24" t="s">
        <v>2245</v>
      </c>
      <c r="I561" s="25" t="s">
        <v>226</v>
      </c>
      <c r="N561" s="66" t="s">
        <v>1</v>
      </c>
      <c r="O561" s="162">
        <v>45922</v>
      </c>
      <c r="P561" t="s">
        <v>2248</v>
      </c>
    </row>
    <row r="562" spans="3:16" hidden="1">
      <c r="C562" s="25">
        <f t="shared" si="21"/>
        <v>554</v>
      </c>
      <c r="D562" s="25" t="s">
        <v>807</v>
      </c>
      <c r="E562" s="25" t="s">
        <v>2244</v>
      </c>
      <c r="F562" s="31">
        <v>45922</v>
      </c>
      <c r="G562" s="57">
        <f t="shared" si="19"/>
        <v>2025</v>
      </c>
      <c r="H562" s="24" t="s">
        <v>2245</v>
      </c>
      <c r="I562" s="25" t="s">
        <v>226</v>
      </c>
      <c r="N562" s="66" t="s">
        <v>1</v>
      </c>
      <c r="O562" s="31">
        <v>45943</v>
      </c>
      <c r="P562" t="s">
        <v>2343</v>
      </c>
    </row>
    <row r="563" spans="3:16" ht="115.2" hidden="1">
      <c r="C563" s="25">
        <f t="shared" si="21"/>
        <v>555</v>
      </c>
      <c r="D563" s="25" t="s">
        <v>1045</v>
      </c>
      <c r="E563" s="25" t="s">
        <v>923</v>
      </c>
      <c r="F563" s="33">
        <v>45922</v>
      </c>
      <c r="G563" s="196">
        <f t="shared" si="19"/>
        <v>2025</v>
      </c>
      <c r="H563" s="25" t="s">
        <v>2246</v>
      </c>
      <c r="I563" s="25" t="s">
        <v>226</v>
      </c>
      <c r="J563" s="53" t="s">
        <v>2247</v>
      </c>
      <c r="K563" s="1" t="s">
        <v>2775</v>
      </c>
      <c r="N563" s="71" t="s">
        <v>4</v>
      </c>
    </row>
    <row r="564" spans="3:16" ht="28.8" hidden="1">
      <c r="C564" s="25">
        <f t="shared" si="21"/>
        <v>556</v>
      </c>
      <c r="D564" s="25" t="s">
        <v>2278</v>
      </c>
      <c r="E564" s="25" t="s">
        <v>2309</v>
      </c>
      <c r="F564" s="33">
        <v>45933</v>
      </c>
      <c r="G564" s="196">
        <f t="shared" si="19"/>
        <v>2025</v>
      </c>
      <c r="H564" s="25" t="s">
        <v>2279</v>
      </c>
      <c r="I564" s="25" t="s">
        <v>1252</v>
      </c>
      <c r="J564" s="49" t="s">
        <v>2280</v>
      </c>
      <c r="K564" s="49" t="s">
        <v>2392</v>
      </c>
      <c r="N564" s="66" t="s">
        <v>1</v>
      </c>
    </row>
    <row r="565" spans="3:16" ht="28.8" hidden="1">
      <c r="C565" s="25">
        <f t="shared" si="21"/>
        <v>557</v>
      </c>
      <c r="D565" s="25" t="s">
        <v>270</v>
      </c>
      <c r="E565" s="25" t="s">
        <v>2282</v>
      </c>
      <c r="F565" s="33">
        <v>45933</v>
      </c>
      <c r="G565" s="196">
        <f t="shared" si="19"/>
        <v>2025</v>
      </c>
      <c r="H565" s="25" t="s">
        <v>2283</v>
      </c>
      <c r="I565" s="25" t="s">
        <v>1252</v>
      </c>
      <c r="J565" s="49" t="s">
        <v>2284</v>
      </c>
      <c r="K565" s="53" t="s">
        <v>2344</v>
      </c>
      <c r="N565" s="66" t="s">
        <v>1</v>
      </c>
      <c r="O565" s="33">
        <v>45950</v>
      </c>
      <c r="P565" s="26" t="s">
        <v>2375</v>
      </c>
    </row>
    <row r="566" spans="3:16" hidden="1">
      <c r="C566" s="25">
        <f t="shared" si="21"/>
        <v>558</v>
      </c>
      <c r="D566" s="25" t="s">
        <v>1285</v>
      </c>
      <c r="E566" s="25" t="s">
        <v>2281</v>
      </c>
      <c r="F566" s="33">
        <v>45933</v>
      </c>
      <c r="G566" s="196">
        <f t="shared" si="19"/>
        <v>2025</v>
      </c>
      <c r="H566" s="25" t="s">
        <v>2599</v>
      </c>
      <c r="I566" s="25" t="s">
        <v>1918</v>
      </c>
      <c r="N566" s="134" t="s">
        <v>3</v>
      </c>
      <c r="O566" s="31">
        <v>45939</v>
      </c>
      <c r="P566" t="s">
        <v>2322</v>
      </c>
    </row>
    <row r="567" spans="3:16" hidden="1">
      <c r="C567" s="25">
        <f t="shared" si="21"/>
        <v>559</v>
      </c>
      <c r="D567" s="25" t="s">
        <v>1045</v>
      </c>
      <c r="E567" s="24" t="s">
        <v>2263</v>
      </c>
      <c r="F567" s="33">
        <v>45933</v>
      </c>
      <c r="G567" s="196">
        <f t="shared" si="19"/>
        <v>2025</v>
      </c>
      <c r="H567" s="25" t="s">
        <v>2312</v>
      </c>
      <c r="J567" t="s">
        <v>2313</v>
      </c>
      <c r="N567" s="66" t="s">
        <v>1</v>
      </c>
      <c r="O567" s="31">
        <v>45938</v>
      </c>
      <c r="P567" t="s">
        <v>2323</v>
      </c>
    </row>
    <row r="568" spans="3:16" hidden="1">
      <c r="C568" s="25">
        <f t="shared" si="21"/>
        <v>560</v>
      </c>
      <c r="D568" s="25" t="s">
        <v>1045</v>
      </c>
      <c r="E568" s="24" t="s">
        <v>2264</v>
      </c>
      <c r="F568" s="33">
        <v>45933</v>
      </c>
      <c r="G568" s="196">
        <f t="shared" si="19"/>
        <v>2025</v>
      </c>
      <c r="H568" s="25" t="s">
        <v>76</v>
      </c>
      <c r="I568" s="25" t="s">
        <v>76</v>
      </c>
      <c r="N568" s="66" t="s">
        <v>1</v>
      </c>
      <c r="O568" s="33">
        <v>45950</v>
      </c>
      <c r="P568" t="s">
        <v>2376</v>
      </c>
    </row>
    <row r="569" spans="3:16" hidden="1">
      <c r="C569" s="25">
        <f t="shared" si="21"/>
        <v>561</v>
      </c>
      <c r="D569" s="25" t="s">
        <v>1045</v>
      </c>
      <c r="E569" s="24" t="s">
        <v>2265</v>
      </c>
      <c r="F569" s="33">
        <v>45933</v>
      </c>
      <c r="G569" s="196">
        <f t="shared" si="19"/>
        <v>2025</v>
      </c>
      <c r="H569" s="25" t="s">
        <v>2434</v>
      </c>
      <c r="I569" s="25" t="s">
        <v>1252</v>
      </c>
      <c r="K569" t="s">
        <v>2324</v>
      </c>
      <c r="N569" s="66" t="s">
        <v>1</v>
      </c>
      <c r="O569" s="31">
        <v>45943</v>
      </c>
      <c r="P569" t="s">
        <v>2325</v>
      </c>
    </row>
    <row r="570" spans="3:16" ht="28.8" hidden="1">
      <c r="C570" s="25">
        <f t="shared" si="21"/>
        <v>562</v>
      </c>
      <c r="D570" s="25" t="s">
        <v>2289</v>
      </c>
      <c r="E570" s="25" t="s">
        <v>2287</v>
      </c>
      <c r="F570" s="33">
        <v>45933</v>
      </c>
      <c r="G570" s="196">
        <f t="shared" si="19"/>
        <v>2025</v>
      </c>
      <c r="H570" s="25" t="s">
        <v>2288</v>
      </c>
      <c r="I570" s="25" t="s">
        <v>130</v>
      </c>
      <c r="J570" s="49" t="s">
        <v>2290</v>
      </c>
      <c r="K570" s="53" t="s">
        <v>2345</v>
      </c>
      <c r="N570" s="66" t="s">
        <v>1</v>
      </c>
      <c r="O570" s="24"/>
    </row>
    <row r="571" spans="3:16" hidden="1">
      <c r="C571" s="25">
        <f t="shared" si="21"/>
        <v>563</v>
      </c>
      <c r="D571" s="25" t="s">
        <v>304</v>
      </c>
      <c r="E571" s="24" t="s">
        <v>2304</v>
      </c>
      <c r="F571" s="33">
        <v>45933</v>
      </c>
      <c r="G571" s="196">
        <f t="shared" si="19"/>
        <v>2025</v>
      </c>
      <c r="H571" s="25" t="s">
        <v>1050</v>
      </c>
      <c r="I571" s="25" t="s">
        <v>226</v>
      </c>
      <c r="J571" s="50"/>
      <c r="K571" t="s">
        <v>2286</v>
      </c>
      <c r="N571" s="66" t="s">
        <v>1</v>
      </c>
      <c r="O571" s="24"/>
    </row>
    <row r="572" spans="3:16" ht="100.8" hidden="1">
      <c r="C572" s="25">
        <f t="shared" si="21"/>
        <v>564</v>
      </c>
      <c r="D572" s="25" t="s">
        <v>2291</v>
      </c>
      <c r="E572" s="25" t="s">
        <v>2292</v>
      </c>
      <c r="F572" s="33">
        <v>45933</v>
      </c>
      <c r="G572" s="196">
        <f t="shared" si="19"/>
        <v>2025</v>
      </c>
      <c r="H572" s="25" t="s">
        <v>2288</v>
      </c>
      <c r="I572" s="25" t="s">
        <v>130</v>
      </c>
      <c r="J572" s="1" t="s">
        <v>2293</v>
      </c>
      <c r="N572" s="66" t="s">
        <v>1</v>
      </c>
      <c r="O572" s="33">
        <v>45943</v>
      </c>
      <c r="P572" s="53" t="s">
        <v>1613</v>
      </c>
    </row>
    <row r="573" spans="3:16" hidden="1">
      <c r="C573" s="25">
        <f t="shared" si="21"/>
        <v>565</v>
      </c>
      <c r="D573" s="25" t="s">
        <v>2291</v>
      </c>
      <c r="E573" s="24" t="s">
        <v>2294</v>
      </c>
      <c r="F573" s="33">
        <v>45933</v>
      </c>
      <c r="G573" s="196">
        <f t="shared" si="19"/>
        <v>2025</v>
      </c>
      <c r="H573" s="25" t="s">
        <v>2295</v>
      </c>
      <c r="I573" s="25" t="s">
        <v>226</v>
      </c>
      <c r="N573" s="66" t="s">
        <v>1</v>
      </c>
      <c r="O573" s="31">
        <v>45936</v>
      </c>
      <c r="P573" t="s">
        <v>2014</v>
      </c>
    </row>
    <row r="574" spans="3:16" hidden="1">
      <c r="C574" s="25">
        <f t="shared" si="21"/>
        <v>566</v>
      </c>
      <c r="D574" s="25" t="s">
        <v>1045</v>
      </c>
      <c r="E574" s="25" t="s">
        <v>2302</v>
      </c>
      <c r="F574" s="33">
        <v>45933</v>
      </c>
      <c r="G574" s="196">
        <f t="shared" si="19"/>
        <v>2025</v>
      </c>
      <c r="H574" s="25" t="s">
        <v>408</v>
      </c>
      <c r="I574" s="25" t="s">
        <v>226</v>
      </c>
      <c r="J574" s="53" t="s">
        <v>2334</v>
      </c>
      <c r="K574" s="25" t="s">
        <v>2303</v>
      </c>
      <c r="N574" s="66" t="s">
        <v>1</v>
      </c>
      <c r="O574" s="31">
        <v>45943</v>
      </c>
      <c r="P574" t="s">
        <v>2335</v>
      </c>
    </row>
    <row r="575" spans="3:16" hidden="1">
      <c r="C575" s="25">
        <f t="shared" si="21"/>
        <v>567</v>
      </c>
      <c r="D575" s="25" t="s">
        <v>1045</v>
      </c>
      <c r="E575" s="25" t="s">
        <v>2317</v>
      </c>
      <c r="F575" s="31">
        <v>45940</v>
      </c>
      <c r="G575" s="57">
        <f t="shared" si="19"/>
        <v>2025</v>
      </c>
      <c r="H575" s="25" t="s">
        <v>2318</v>
      </c>
      <c r="I575" s="25" t="s">
        <v>1252</v>
      </c>
      <c r="J575" s="25" t="s">
        <v>2319</v>
      </c>
      <c r="N575" s="66" t="s">
        <v>1</v>
      </c>
      <c r="O575" s="31">
        <v>45943</v>
      </c>
      <c r="P575" t="s">
        <v>2320</v>
      </c>
    </row>
    <row r="576" spans="3:16" hidden="1">
      <c r="C576" s="25">
        <f t="shared" si="21"/>
        <v>568</v>
      </c>
      <c r="D576" s="25" t="s">
        <v>1045</v>
      </c>
      <c r="E576" s="25" t="s">
        <v>2017</v>
      </c>
      <c r="F576" s="31">
        <v>45940</v>
      </c>
      <c r="G576" s="57">
        <f t="shared" si="19"/>
        <v>2025</v>
      </c>
      <c r="H576" s="25" t="s">
        <v>2599</v>
      </c>
      <c r="I576" s="25" t="s">
        <v>1918</v>
      </c>
      <c r="J576" s="53" t="s">
        <v>2321</v>
      </c>
      <c r="N576" s="66" t="s">
        <v>1</v>
      </c>
      <c r="O576" s="31">
        <v>45986</v>
      </c>
      <c r="P576" t="s">
        <v>2479</v>
      </c>
    </row>
    <row r="577" spans="3:16" ht="28.8" hidden="1">
      <c r="C577" s="25">
        <f t="shared" si="21"/>
        <v>569</v>
      </c>
      <c r="D577" s="25" t="s">
        <v>329</v>
      </c>
      <c r="E577" s="25" t="s">
        <v>2326</v>
      </c>
      <c r="F577" s="33">
        <v>45940</v>
      </c>
      <c r="G577" s="196">
        <f t="shared" si="19"/>
        <v>2025</v>
      </c>
      <c r="H577" s="25" t="s">
        <v>2117</v>
      </c>
      <c r="I577" s="25" t="s">
        <v>1261</v>
      </c>
      <c r="J577" s="55" t="s">
        <v>2377</v>
      </c>
      <c r="K577" s="49" t="s">
        <v>2417</v>
      </c>
      <c r="N577" s="66" t="s">
        <v>1</v>
      </c>
      <c r="O577" s="24"/>
    </row>
    <row r="578" spans="3:16" hidden="1">
      <c r="C578" s="25">
        <f t="shared" si="21"/>
        <v>570</v>
      </c>
      <c r="D578" s="25" t="s">
        <v>2329</v>
      </c>
      <c r="E578" s="25" t="s">
        <v>2328</v>
      </c>
      <c r="F578" s="31">
        <v>45940</v>
      </c>
      <c r="G578" s="57">
        <f t="shared" si="19"/>
        <v>2025</v>
      </c>
      <c r="H578" s="25" t="s">
        <v>994</v>
      </c>
      <c r="I578" s="25" t="s">
        <v>226</v>
      </c>
      <c r="J578" s="25" t="s">
        <v>2330</v>
      </c>
      <c r="N578" s="66" t="s">
        <v>1</v>
      </c>
      <c r="O578" s="31">
        <v>45953</v>
      </c>
      <c r="P578" t="s">
        <v>2385</v>
      </c>
    </row>
    <row r="579" spans="3:16" ht="115.2" hidden="1">
      <c r="C579" s="25">
        <f t="shared" si="21"/>
        <v>571</v>
      </c>
      <c r="D579" s="25" t="s">
        <v>807</v>
      </c>
      <c r="E579" s="25" t="s">
        <v>2331</v>
      </c>
      <c r="F579" s="33">
        <v>45940</v>
      </c>
      <c r="G579" s="196">
        <f t="shared" si="19"/>
        <v>2025</v>
      </c>
      <c r="H579" s="25" t="s">
        <v>994</v>
      </c>
      <c r="I579" s="25" t="s">
        <v>226</v>
      </c>
      <c r="J579" s="55" t="s">
        <v>2332</v>
      </c>
      <c r="K579" s="53" t="s">
        <v>2393</v>
      </c>
      <c r="N579" s="66" t="s">
        <v>1</v>
      </c>
      <c r="O579" s="33">
        <v>46051</v>
      </c>
      <c r="P579" s="26" t="s">
        <v>1555</v>
      </c>
    </row>
    <row r="580" spans="3:16" hidden="1">
      <c r="C580" s="25">
        <f t="shared" si="21"/>
        <v>572</v>
      </c>
      <c r="D580" s="25" t="s">
        <v>1045</v>
      </c>
      <c r="E580" s="25" t="s">
        <v>2336</v>
      </c>
      <c r="F580" s="33">
        <v>45940</v>
      </c>
      <c r="G580" s="196">
        <f t="shared" si="19"/>
        <v>2025</v>
      </c>
      <c r="H580" s="25" t="s">
        <v>2337</v>
      </c>
      <c r="I580" s="25" t="s">
        <v>1261</v>
      </c>
      <c r="J580" s="53" t="s">
        <v>2338</v>
      </c>
      <c r="N580" s="66" t="s">
        <v>1</v>
      </c>
      <c r="O580" s="31">
        <v>45953</v>
      </c>
      <c r="P580" t="s">
        <v>2394</v>
      </c>
    </row>
    <row r="581" spans="3:16" ht="28.8" hidden="1">
      <c r="C581" s="25">
        <f t="shared" si="21"/>
        <v>573</v>
      </c>
      <c r="D581" s="25" t="s">
        <v>1045</v>
      </c>
      <c r="E581" s="25" t="s">
        <v>2339</v>
      </c>
      <c r="F581" s="33">
        <v>45940</v>
      </c>
      <c r="G581" s="196">
        <f t="shared" si="19"/>
        <v>2025</v>
      </c>
      <c r="H581" s="25" t="s">
        <v>76</v>
      </c>
      <c r="I581" s="25" t="s">
        <v>76</v>
      </c>
      <c r="J581" s="53" t="s">
        <v>2340</v>
      </c>
      <c r="K581" s="2" t="s">
        <v>2341</v>
      </c>
      <c r="N581" s="66" t="s">
        <v>1</v>
      </c>
    </row>
    <row r="582" spans="3:16" hidden="1">
      <c r="C582" s="25">
        <f t="shared" si="21"/>
        <v>574</v>
      </c>
      <c r="D582" s="25" t="s">
        <v>1045</v>
      </c>
      <c r="E582" s="25" t="s">
        <v>2372</v>
      </c>
      <c r="F582" s="31">
        <v>45947</v>
      </c>
      <c r="G582" s="57">
        <f t="shared" si="19"/>
        <v>2025</v>
      </c>
      <c r="H582" s="25" t="s">
        <v>76</v>
      </c>
      <c r="I582" s="25" t="s">
        <v>76</v>
      </c>
      <c r="J582" s="53" t="s">
        <v>2378</v>
      </c>
      <c r="K582" s="2" t="s">
        <v>2382</v>
      </c>
      <c r="N582" s="66" t="s">
        <v>1</v>
      </c>
    </row>
    <row r="583" spans="3:16" hidden="1">
      <c r="C583" s="25">
        <f t="shared" si="21"/>
        <v>575</v>
      </c>
      <c r="D583" s="25" t="s">
        <v>329</v>
      </c>
      <c r="E583" s="25" t="s">
        <v>2366</v>
      </c>
      <c r="F583" s="31">
        <v>45947</v>
      </c>
      <c r="G583" s="57">
        <f t="shared" si="19"/>
        <v>2025</v>
      </c>
      <c r="H583" s="25" t="s">
        <v>2373</v>
      </c>
      <c r="I583" s="25" t="s">
        <v>130</v>
      </c>
      <c r="K583" s="2" t="s">
        <v>2379</v>
      </c>
      <c r="N583" s="66" t="s">
        <v>1</v>
      </c>
    </row>
    <row r="584" spans="3:16" ht="43.2" hidden="1">
      <c r="C584" s="25">
        <f t="shared" si="21"/>
        <v>576</v>
      </c>
      <c r="D584" s="25" t="s">
        <v>329</v>
      </c>
      <c r="E584" s="25" t="s">
        <v>2369</v>
      </c>
      <c r="F584" s="33">
        <v>45947</v>
      </c>
      <c r="G584" s="196">
        <f t="shared" si="19"/>
        <v>2025</v>
      </c>
      <c r="H584" s="25" t="s">
        <v>728</v>
      </c>
      <c r="I584" s="25" t="s">
        <v>1261</v>
      </c>
      <c r="J584" s="53" t="s">
        <v>2381</v>
      </c>
      <c r="K584" s="2" t="s">
        <v>2442</v>
      </c>
      <c r="N584" s="71" t="s">
        <v>4</v>
      </c>
    </row>
    <row r="585" spans="3:16" hidden="1">
      <c r="C585" s="25">
        <f t="shared" si="21"/>
        <v>577</v>
      </c>
      <c r="D585" s="25" t="s">
        <v>329</v>
      </c>
      <c r="E585" s="25" t="s">
        <v>2367</v>
      </c>
      <c r="F585" s="31">
        <v>45943</v>
      </c>
      <c r="G585" s="57">
        <f t="shared" ref="G585:G641" si="22">+YEAR(F585)</f>
        <v>2025</v>
      </c>
      <c r="H585" s="25" t="s">
        <v>759</v>
      </c>
      <c r="I585" s="25" t="s">
        <v>2019</v>
      </c>
      <c r="K585" s="2" t="s">
        <v>2395</v>
      </c>
      <c r="N585" s="71" t="s">
        <v>4</v>
      </c>
    </row>
    <row r="586" spans="3:16" hidden="1">
      <c r="C586" s="25">
        <f t="shared" si="21"/>
        <v>578</v>
      </c>
      <c r="D586" s="25" t="s">
        <v>329</v>
      </c>
      <c r="E586" s="25" t="s">
        <v>2351</v>
      </c>
      <c r="F586" s="31">
        <v>45943</v>
      </c>
      <c r="G586" s="57">
        <f t="shared" si="22"/>
        <v>2025</v>
      </c>
      <c r="H586" s="25" t="s">
        <v>76</v>
      </c>
      <c r="I586" s="25" t="s">
        <v>76</v>
      </c>
      <c r="N586" s="66" t="s">
        <v>1</v>
      </c>
      <c r="O586" s="162">
        <v>46006</v>
      </c>
      <c r="P586" t="s">
        <v>2523</v>
      </c>
    </row>
    <row r="587" spans="3:16" hidden="1">
      <c r="C587" s="25">
        <f t="shared" si="21"/>
        <v>579</v>
      </c>
      <c r="D587" s="25" t="s">
        <v>1045</v>
      </c>
      <c r="E587" s="25" t="s">
        <v>2383</v>
      </c>
      <c r="F587" s="31">
        <v>45951</v>
      </c>
      <c r="G587" s="57">
        <f t="shared" si="22"/>
        <v>2025</v>
      </c>
      <c r="H587" s="25" t="s">
        <v>76</v>
      </c>
      <c r="I587" s="25" t="s">
        <v>76</v>
      </c>
      <c r="J587" s="26" t="s">
        <v>2396</v>
      </c>
      <c r="N587" s="66" t="s">
        <v>1</v>
      </c>
      <c r="O587" s="31">
        <v>45953</v>
      </c>
      <c r="P587" t="s">
        <v>2394</v>
      </c>
    </row>
    <row r="588" spans="3:16" hidden="1">
      <c r="C588" s="25">
        <f t="shared" si="21"/>
        <v>580</v>
      </c>
      <c r="D588" s="25" t="s">
        <v>1045</v>
      </c>
      <c r="E588" s="25" t="s">
        <v>2386</v>
      </c>
      <c r="F588" s="31">
        <v>45951</v>
      </c>
      <c r="G588" s="57">
        <f t="shared" si="22"/>
        <v>2025</v>
      </c>
      <c r="H588" s="25" t="s">
        <v>76</v>
      </c>
      <c r="I588" s="25" t="s">
        <v>76</v>
      </c>
      <c r="K588" s="53" t="s">
        <v>2419</v>
      </c>
      <c r="N588" s="66" t="s">
        <v>1</v>
      </c>
      <c r="O588" s="31">
        <v>45986</v>
      </c>
      <c r="P588" t="s">
        <v>2480</v>
      </c>
    </row>
    <row r="589" spans="3:16" ht="72" hidden="1">
      <c r="C589" s="25">
        <f t="shared" si="21"/>
        <v>581</v>
      </c>
      <c r="D589" s="25" t="s">
        <v>1045</v>
      </c>
      <c r="E589" s="25" t="s">
        <v>2387</v>
      </c>
      <c r="F589" s="33">
        <v>45951</v>
      </c>
      <c r="G589" s="196">
        <f t="shared" si="22"/>
        <v>2025</v>
      </c>
      <c r="H589" s="25" t="s">
        <v>1071</v>
      </c>
      <c r="I589" s="25" t="s">
        <v>1072</v>
      </c>
      <c r="J589" s="59" t="s">
        <v>2397</v>
      </c>
      <c r="N589" s="66" t="s">
        <v>1</v>
      </c>
      <c r="O589" s="33">
        <v>45953</v>
      </c>
      <c r="P589" s="26" t="s">
        <v>2402</v>
      </c>
    </row>
    <row r="590" spans="3:16" ht="28.8" hidden="1">
      <c r="C590" s="25">
        <f t="shared" si="21"/>
        <v>582</v>
      </c>
      <c r="D590" s="25" t="s">
        <v>807</v>
      </c>
      <c r="E590" s="25" t="s">
        <v>2388</v>
      </c>
      <c r="F590" s="33">
        <v>45951</v>
      </c>
      <c r="G590" s="196">
        <f t="shared" si="22"/>
        <v>2025</v>
      </c>
      <c r="H590" s="25" t="s">
        <v>759</v>
      </c>
      <c r="I590" s="25" t="s">
        <v>1767</v>
      </c>
      <c r="K590" s="26" t="s">
        <v>2408</v>
      </c>
      <c r="N590" s="66" t="s">
        <v>1</v>
      </c>
      <c r="O590" s="33">
        <v>45971</v>
      </c>
      <c r="P590" s="1" t="s">
        <v>2418</v>
      </c>
    </row>
    <row r="591" spans="3:16" hidden="1">
      <c r="C591" s="25">
        <f t="shared" si="21"/>
        <v>583</v>
      </c>
      <c r="D591" s="25" t="s">
        <v>270</v>
      </c>
      <c r="E591" s="25" t="s">
        <v>2398</v>
      </c>
      <c r="F591" s="33">
        <v>45951</v>
      </c>
      <c r="G591" s="196">
        <f t="shared" si="22"/>
        <v>2025</v>
      </c>
      <c r="H591" s="25" t="s">
        <v>2399</v>
      </c>
      <c r="I591" s="25" t="s">
        <v>130</v>
      </c>
      <c r="N591" s="66" t="s">
        <v>1</v>
      </c>
      <c r="O591" s="31">
        <v>45964</v>
      </c>
      <c r="P591" t="s">
        <v>2409</v>
      </c>
    </row>
    <row r="592" spans="3:16" hidden="1">
      <c r="C592" s="25">
        <f t="shared" si="21"/>
        <v>584</v>
      </c>
      <c r="D592" s="25" t="s">
        <v>270</v>
      </c>
      <c r="E592" s="25" t="s">
        <v>2400</v>
      </c>
      <c r="F592" s="33">
        <v>45961</v>
      </c>
      <c r="G592" s="196">
        <f t="shared" si="22"/>
        <v>2025</v>
      </c>
      <c r="H592" s="25" t="s">
        <v>1248</v>
      </c>
      <c r="I592" s="25" t="s">
        <v>226</v>
      </c>
      <c r="K592" t="s">
        <v>2401</v>
      </c>
      <c r="N592" s="66" t="s">
        <v>1</v>
      </c>
    </row>
    <row r="593" spans="3:16" hidden="1">
      <c r="C593" s="25">
        <f t="shared" si="21"/>
        <v>585</v>
      </c>
      <c r="D593" s="25" t="s">
        <v>1045</v>
      </c>
      <c r="E593" s="25" t="s">
        <v>2403</v>
      </c>
      <c r="F593" s="33">
        <v>45961</v>
      </c>
      <c r="G593" s="196">
        <f t="shared" si="22"/>
        <v>2025</v>
      </c>
      <c r="H593" s="25" t="s">
        <v>2481</v>
      </c>
      <c r="I593" s="25" t="s">
        <v>226</v>
      </c>
      <c r="N593" s="66" t="s">
        <v>1</v>
      </c>
      <c r="O593" s="162">
        <v>45994</v>
      </c>
      <c r="P593" t="s">
        <v>2498</v>
      </c>
    </row>
    <row r="594" spans="3:16" ht="43.2" hidden="1">
      <c r="C594" s="25">
        <f t="shared" si="21"/>
        <v>586</v>
      </c>
      <c r="D594" s="25" t="s">
        <v>270</v>
      </c>
      <c r="E594" s="25" t="s">
        <v>2404</v>
      </c>
      <c r="F594" s="33">
        <v>45961</v>
      </c>
      <c r="G594" s="196">
        <f t="shared" si="22"/>
        <v>2025</v>
      </c>
      <c r="H594" s="25" t="s">
        <v>1989</v>
      </c>
      <c r="I594" s="25" t="s">
        <v>1261</v>
      </c>
      <c r="K594" s="49" t="s">
        <v>2525</v>
      </c>
      <c r="N594" s="71" t="s">
        <v>4</v>
      </c>
    </row>
    <row r="595" spans="3:16" ht="43.2" hidden="1">
      <c r="C595" s="25">
        <f t="shared" si="21"/>
        <v>587</v>
      </c>
      <c r="D595" s="25" t="s">
        <v>1045</v>
      </c>
      <c r="E595" s="25" t="s">
        <v>2405</v>
      </c>
      <c r="F595" s="33">
        <v>45961</v>
      </c>
      <c r="G595" s="196">
        <f t="shared" si="22"/>
        <v>2025</v>
      </c>
      <c r="H595" s="25" t="s">
        <v>76</v>
      </c>
      <c r="I595" s="25" t="s">
        <v>76</v>
      </c>
      <c r="J595" s="1" t="s">
        <v>2406</v>
      </c>
      <c r="N595" s="66" t="s">
        <v>1</v>
      </c>
      <c r="O595" s="33">
        <v>45964</v>
      </c>
      <c r="P595" s="26" t="s">
        <v>2415</v>
      </c>
    </row>
    <row r="596" spans="3:16" hidden="1">
      <c r="C596" s="25">
        <f t="shared" si="21"/>
        <v>588</v>
      </c>
      <c r="D596" s="25" t="s">
        <v>1045</v>
      </c>
      <c r="E596" s="25" t="s">
        <v>2407</v>
      </c>
      <c r="F596" s="33">
        <v>45961</v>
      </c>
      <c r="G596" s="196">
        <f t="shared" si="22"/>
        <v>2025</v>
      </c>
      <c r="H596" s="25" t="s">
        <v>2618</v>
      </c>
      <c r="I596" s="25" t="s">
        <v>1767</v>
      </c>
      <c r="K596" s="53" t="s">
        <v>2443</v>
      </c>
      <c r="N596" s="66" t="s">
        <v>1</v>
      </c>
      <c r="O596" s="162">
        <v>46006</v>
      </c>
      <c r="P596" t="s">
        <v>2526</v>
      </c>
    </row>
    <row r="597" spans="3:16" hidden="1">
      <c r="C597" s="25">
        <f t="shared" si="21"/>
        <v>589</v>
      </c>
      <c r="D597" s="25" t="s">
        <v>807</v>
      </c>
      <c r="E597" s="25" t="s">
        <v>2412</v>
      </c>
      <c r="F597" s="33">
        <v>45961</v>
      </c>
      <c r="G597" s="196">
        <f t="shared" si="22"/>
        <v>2025</v>
      </c>
      <c r="H597" s="25" t="s">
        <v>2413</v>
      </c>
      <c r="I597" s="25" t="s">
        <v>130</v>
      </c>
      <c r="N597" s="66" t="s">
        <v>1</v>
      </c>
      <c r="O597" s="31">
        <v>45978</v>
      </c>
      <c r="P597" t="s">
        <v>2444</v>
      </c>
    </row>
    <row r="598" spans="3:16" ht="57.6" hidden="1">
      <c r="C598" s="25">
        <f t="shared" si="21"/>
        <v>590</v>
      </c>
      <c r="D598" s="25" t="s">
        <v>270</v>
      </c>
      <c r="E598" s="25" t="s">
        <v>2410</v>
      </c>
      <c r="F598" s="33">
        <v>45961</v>
      </c>
      <c r="G598" s="196">
        <f t="shared" si="22"/>
        <v>2025</v>
      </c>
      <c r="H598" s="25" t="s">
        <v>2411</v>
      </c>
      <c r="I598" s="25" t="s">
        <v>226</v>
      </c>
      <c r="K598" s="49" t="s">
        <v>2653</v>
      </c>
      <c r="N598" s="66" t="s">
        <v>1</v>
      </c>
      <c r="O598" s="33">
        <v>46084</v>
      </c>
      <c r="P598" s="26" t="s">
        <v>2704</v>
      </c>
    </row>
    <row r="599" spans="3:16" ht="28.8" hidden="1">
      <c r="C599" s="25">
        <f t="shared" si="21"/>
        <v>591</v>
      </c>
      <c r="D599" s="25" t="s">
        <v>270</v>
      </c>
      <c r="E599" s="25" t="s">
        <v>2414</v>
      </c>
      <c r="F599" s="33">
        <v>45961</v>
      </c>
      <c r="G599" s="196">
        <f t="shared" si="22"/>
        <v>2025</v>
      </c>
      <c r="H599" s="25" t="s">
        <v>759</v>
      </c>
      <c r="I599" s="25" t="s">
        <v>1767</v>
      </c>
      <c r="K599" s="49" t="s">
        <v>2445</v>
      </c>
      <c r="N599" s="66" t="s">
        <v>1</v>
      </c>
      <c r="O599" s="31">
        <v>45978</v>
      </c>
      <c r="P599" t="s">
        <v>2446</v>
      </c>
    </row>
    <row r="600" spans="3:16" hidden="1">
      <c r="C600" s="25">
        <f t="shared" si="21"/>
        <v>592</v>
      </c>
      <c r="D600" s="25" t="s">
        <v>270</v>
      </c>
      <c r="E600" s="25" t="s">
        <v>2420</v>
      </c>
      <c r="F600" s="31">
        <v>45964</v>
      </c>
      <c r="G600" s="57">
        <f t="shared" si="22"/>
        <v>2025</v>
      </c>
      <c r="H600" s="25" t="s">
        <v>2421</v>
      </c>
      <c r="I600" s="25" t="s">
        <v>2422</v>
      </c>
      <c r="K600" s="53" t="s">
        <v>2423</v>
      </c>
      <c r="N600" s="66" t="s">
        <v>1</v>
      </c>
      <c r="O600" s="31">
        <v>46041</v>
      </c>
      <c r="P600" t="s">
        <v>2630</v>
      </c>
    </row>
    <row r="601" spans="3:16" ht="57.6" hidden="1">
      <c r="C601" s="25">
        <f t="shared" ref="C601:C615" si="23">+C600+1</f>
        <v>593</v>
      </c>
      <c r="D601" s="25" t="s">
        <v>1045</v>
      </c>
      <c r="E601" s="25" t="s">
        <v>2425</v>
      </c>
      <c r="F601" s="33">
        <v>45964</v>
      </c>
      <c r="G601" s="196">
        <f t="shared" si="22"/>
        <v>2025</v>
      </c>
      <c r="H601" s="25" t="s">
        <v>76</v>
      </c>
      <c r="I601" s="25" t="s">
        <v>76</v>
      </c>
      <c r="J601" s="1" t="s">
        <v>2424</v>
      </c>
      <c r="K601" s="49" t="s">
        <v>2447</v>
      </c>
      <c r="N601" s="66" t="s">
        <v>1</v>
      </c>
      <c r="O601" s="33">
        <v>45986</v>
      </c>
      <c r="P601" s="26" t="s">
        <v>2482</v>
      </c>
    </row>
    <row r="602" spans="3:16" ht="43.2" hidden="1">
      <c r="C602" s="25">
        <f t="shared" si="23"/>
        <v>594</v>
      </c>
      <c r="D602" s="25" t="s">
        <v>270</v>
      </c>
      <c r="E602" s="25" t="s">
        <v>2426</v>
      </c>
      <c r="F602" s="33">
        <v>45964</v>
      </c>
      <c r="G602" s="196">
        <f t="shared" si="22"/>
        <v>2025</v>
      </c>
      <c r="H602" s="25" t="s">
        <v>2427</v>
      </c>
      <c r="I602" s="25" t="s">
        <v>2422</v>
      </c>
      <c r="J602" s="53" t="s">
        <v>2428</v>
      </c>
      <c r="K602" s="49" t="s">
        <v>2511</v>
      </c>
      <c r="N602" s="71" t="s">
        <v>4</v>
      </c>
    </row>
    <row r="603" spans="3:16" hidden="1">
      <c r="C603" s="25">
        <f t="shared" si="23"/>
        <v>595</v>
      </c>
      <c r="D603" s="25" t="s">
        <v>807</v>
      </c>
      <c r="E603" s="25" t="s">
        <v>2429</v>
      </c>
      <c r="F603" s="33">
        <v>45966</v>
      </c>
      <c r="G603" s="196">
        <f t="shared" si="22"/>
        <v>2025</v>
      </c>
      <c r="H603" s="25" t="s">
        <v>994</v>
      </c>
      <c r="I603" s="25" t="s">
        <v>226</v>
      </c>
      <c r="N603" s="66" t="s">
        <v>1</v>
      </c>
      <c r="O603" s="162">
        <v>45992</v>
      </c>
      <c r="P603" t="s">
        <v>2494</v>
      </c>
    </row>
    <row r="604" spans="3:16" hidden="1">
      <c r="C604" s="25">
        <f t="shared" si="23"/>
        <v>596</v>
      </c>
      <c r="D604" s="25" t="s">
        <v>2430</v>
      </c>
      <c r="E604" s="25" t="s">
        <v>2431</v>
      </c>
      <c r="F604" s="33">
        <v>45978</v>
      </c>
      <c r="G604" s="196">
        <f t="shared" si="22"/>
        <v>2025</v>
      </c>
      <c r="H604" s="25" t="s">
        <v>2432</v>
      </c>
      <c r="I604" s="25" t="s">
        <v>2422</v>
      </c>
      <c r="J604" s="3" t="s">
        <v>2433</v>
      </c>
      <c r="N604" s="66" t="s">
        <v>1</v>
      </c>
      <c r="O604" s="33">
        <v>45978</v>
      </c>
      <c r="P604" t="s">
        <v>2448</v>
      </c>
    </row>
    <row r="605" spans="3:16" ht="86.4" hidden="1">
      <c r="C605" s="25">
        <f t="shared" si="23"/>
        <v>597</v>
      </c>
      <c r="D605" s="25" t="s">
        <v>1045</v>
      </c>
      <c r="E605" s="25" t="s">
        <v>2435</v>
      </c>
      <c r="F605" s="33">
        <v>45978</v>
      </c>
      <c r="G605" s="196">
        <f t="shared" si="22"/>
        <v>2025</v>
      </c>
      <c r="H605" s="25" t="s">
        <v>2434</v>
      </c>
      <c r="I605" s="25" t="s">
        <v>1261</v>
      </c>
      <c r="J605" s="1" t="s">
        <v>2436</v>
      </c>
      <c r="K605" s="49" t="s">
        <v>2483</v>
      </c>
      <c r="N605" s="66" t="s">
        <v>1</v>
      </c>
      <c r="O605" s="162">
        <v>45999</v>
      </c>
      <c r="P605" t="s">
        <v>2512</v>
      </c>
    </row>
    <row r="606" spans="3:16" ht="129.6" hidden="1">
      <c r="C606" s="25">
        <f t="shared" si="23"/>
        <v>598</v>
      </c>
      <c r="D606" s="25" t="s">
        <v>270</v>
      </c>
      <c r="E606" s="25" t="s">
        <v>2438</v>
      </c>
      <c r="F606" s="33">
        <v>45978</v>
      </c>
      <c r="G606" s="196">
        <f t="shared" si="22"/>
        <v>2025</v>
      </c>
      <c r="H606" s="25" t="s">
        <v>76</v>
      </c>
      <c r="I606" s="25" t="s">
        <v>76</v>
      </c>
      <c r="J606" s="1" t="s">
        <v>2437</v>
      </c>
      <c r="K606" s="49" t="s">
        <v>2527</v>
      </c>
      <c r="N606" s="66" t="s">
        <v>1</v>
      </c>
      <c r="O606" s="33">
        <v>46048</v>
      </c>
      <c r="P606" s="26" t="s">
        <v>2644</v>
      </c>
    </row>
    <row r="607" spans="3:16" ht="57.6" hidden="1">
      <c r="C607" s="25">
        <f t="shared" si="23"/>
        <v>599</v>
      </c>
      <c r="D607" s="25" t="s">
        <v>204</v>
      </c>
      <c r="E607" s="25" t="s">
        <v>2439</v>
      </c>
      <c r="F607" s="33">
        <v>45978</v>
      </c>
      <c r="G607" s="196">
        <f t="shared" si="22"/>
        <v>2025</v>
      </c>
      <c r="H607" s="25" t="s">
        <v>76</v>
      </c>
      <c r="I607" s="25" t="s">
        <v>76</v>
      </c>
      <c r="J607" s="1" t="s">
        <v>2484</v>
      </c>
      <c r="K607" s="208" t="s">
        <v>2528</v>
      </c>
      <c r="N607" s="66" t="s">
        <v>1</v>
      </c>
      <c r="O607" s="33">
        <v>46041</v>
      </c>
      <c r="P607" s="26" t="s">
        <v>2631</v>
      </c>
    </row>
    <row r="608" spans="3:16" ht="28.8" hidden="1">
      <c r="C608" s="25">
        <f t="shared" si="23"/>
        <v>600</v>
      </c>
      <c r="D608" s="25" t="s">
        <v>715</v>
      </c>
      <c r="E608" s="25" t="s">
        <v>2441</v>
      </c>
      <c r="F608" s="33">
        <v>45978</v>
      </c>
      <c r="G608" s="196">
        <f t="shared" si="22"/>
        <v>2025</v>
      </c>
      <c r="H608" s="25" t="s">
        <v>76</v>
      </c>
      <c r="I608" s="25" t="s">
        <v>76</v>
      </c>
      <c r="J608" s="1" t="s">
        <v>2440</v>
      </c>
      <c r="N608" s="66" t="s">
        <v>1</v>
      </c>
      <c r="O608" s="64">
        <v>45986</v>
      </c>
      <c r="P608" s="26" t="s">
        <v>1469</v>
      </c>
    </row>
    <row r="609" spans="3:16" ht="72" hidden="1">
      <c r="C609" s="25">
        <f t="shared" si="23"/>
        <v>601</v>
      </c>
      <c r="D609" s="25" t="s">
        <v>329</v>
      </c>
      <c r="E609" s="25" t="s">
        <v>2469</v>
      </c>
      <c r="F609" s="33">
        <v>45978</v>
      </c>
      <c r="G609" s="196">
        <f t="shared" si="22"/>
        <v>2025</v>
      </c>
      <c r="H609" s="25" t="s">
        <v>2468</v>
      </c>
      <c r="I609" s="25" t="s">
        <v>1261</v>
      </c>
      <c r="J609" s="1" t="s">
        <v>2470</v>
      </c>
      <c r="N609" s="66" t="s">
        <v>1</v>
      </c>
      <c r="O609" s="64">
        <v>45986</v>
      </c>
      <c r="P609" s="26" t="s">
        <v>2485</v>
      </c>
    </row>
    <row r="610" spans="3:16" ht="57.6" hidden="1">
      <c r="C610" s="25">
        <f t="shared" si="23"/>
        <v>602</v>
      </c>
      <c r="D610" s="25" t="s">
        <v>204</v>
      </c>
      <c r="E610" s="25" t="s">
        <v>2449</v>
      </c>
      <c r="F610" s="33">
        <v>45978</v>
      </c>
      <c r="G610" s="196">
        <f t="shared" si="22"/>
        <v>2025</v>
      </c>
      <c r="H610" s="25" t="s">
        <v>76</v>
      </c>
      <c r="I610" s="25" t="s">
        <v>76</v>
      </c>
      <c r="J610" s="2" t="s">
        <v>2450</v>
      </c>
      <c r="K610" s="49" t="s">
        <v>2654</v>
      </c>
      <c r="N610" s="66" t="s">
        <v>1</v>
      </c>
      <c r="O610" s="33">
        <v>46084</v>
      </c>
    </row>
    <row r="611" spans="3:16" hidden="1">
      <c r="C611" s="25">
        <f t="shared" si="23"/>
        <v>603</v>
      </c>
      <c r="D611" s="25" t="s">
        <v>2291</v>
      </c>
      <c r="E611" s="25" t="s">
        <v>2453</v>
      </c>
      <c r="F611" s="33">
        <v>45978</v>
      </c>
      <c r="G611" s="196">
        <f t="shared" si="22"/>
        <v>2025</v>
      </c>
      <c r="H611" s="25" t="s">
        <v>2451</v>
      </c>
      <c r="I611" s="25" t="s">
        <v>226</v>
      </c>
      <c r="K611" t="s">
        <v>2452</v>
      </c>
      <c r="N611" s="66" t="s">
        <v>1</v>
      </c>
      <c r="O611" s="162">
        <v>46006</v>
      </c>
      <c r="P611" t="s">
        <v>2529</v>
      </c>
    </row>
    <row r="612" spans="3:16" ht="28.8" hidden="1">
      <c r="C612" s="25">
        <f t="shared" si="23"/>
        <v>604</v>
      </c>
      <c r="D612" s="25" t="s">
        <v>270</v>
      </c>
      <c r="E612" s="25" t="s">
        <v>2454</v>
      </c>
      <c r="F612" s="33">
        <v>45978</v>
      </c>
      <c r="G612" s="196">
        <f t="shared" si="22"/>
        <v>2025</v>
      </c>
      <c r="H612" s="25" t="s">
        <v>2455</v>
      </c>
      <c r="I612" s="25" t="s">
        <v>226</v>
      </c>
      <c r="K612" s="207" t="s">
        <v>2513</v>
      </c>
      <c r="N612" s="71" t="s">
        <v>4</v>
      </c>
    </row>
    <row r="613" spans="3:16" ht="100.8" hidden="1">
      <c r="C613" s="25">
        <f t="shared" si="23"/>
        <v>605</v>
      </c>
      <c r="D613" s="25" t="s">
        <v>304</v>
      </c>
      <c r="E613" s="25" t="s">
        <v>2456</v>
      </c>
      <c r="F613" s="33">
        <v>45978</v>
      </c>
      <c r="G613" s="233">
        <f t="shared" si="22"/>
        <v>2025</v>
      </c>
      <c r="H613" s="25" t="s">
        <v>759</v>
      </c>
      <c r="I613" s="25" t="s">
        <v>802</v>
      </c>
      <c r="K613" s="207" t="s">
        <v>2785</v>
      </c>
      <c r="N613" s="71" t="s">
        <v>4</v>
      </c>
    </row>
    <row r="614" spans="3:16" ht="28.8" hidden="1">
      <c r="C614" s="25">
        <f t="shared" si="23"/>
        <v>606</v>
      </c>
      <c r="D614" s="25" t="s">
        <v>198</v>
      </c>
      <c r="E614" s="25" t="s">
        <v>2457</v>
      </c>
      <c r="F614" s="33">
        <v>45978</v>
      </c>
      <c r="G614" s="196">
        <f t="shared" si="22"/>
        <v>2025</v>
      </c>
      <c r="H614" s="25" t="s">
        <v>1234</v>
      </c>
      <c r="I614" s="25" t="s">
        <v>802</v>
      </c>
      <c r="K614" s="49" t="s">
        <v>2514</v>
      </c>
      <c r="N614" s="66" t="s">
        <v>1</v>
      </c>
      <c r="O614" s="33">
        <v>46084</v>
      </c>
      <c r="P614" s="26" t="s">
        <v>2705</v>
      </c>
    </row>
    <row r="615" spans="3:16" ht="28.8" hidden="1">
      <c r="C615" s="25">
        <f t="shared" si="23"/>
        <v>607</v>
      </c>
      <c r="D615" s="25" t="s">
        <v>1045</v>
      </c>
      <c r="E615" s="25" t="s">
        <v>2458</v>
      </c>
      <c r="F615" s="33">
        <v>45980</v>
      </c>
      <c r="G615" s="196">
        <f t="shared" si="22"/>
        <v>2025</v>
      </c>
      <c r="H615" s="25" t="s">
        <v>2459</v>
      </c>
      <c r="I615" s="25" t="s">
        <v>1252</v>
      </c>
      <c r="J615" s="49" t="s">
        <v>2460</v>
      </c>
      <c r="K615" s="207" t="s">
        <v>2461</v>
      </c>
      <c r="N615" s="66" t="s">
        <v>1</v>
      </c>
      <c r="O615" s="162">
        <v>45999</v>
      </c>
    </row>
    <row r="616" spans="3:16" ht="72" hidden="1">
      <c r="C616" s="25">
        <f t="shared" ref="C616:C647" si="24">+C615+1</f>
        <v>608</v>
      </c>
      <c r="D616" s="25" t="s">
        <v>1212</v>
      </c>
      <c r="E616" s="25" t="s">
        <v>2462</v>
      </c>
      <c r="F616" s="33">
        <v>45980</v>
      </c>
      <c r="G616" s="196">
        <f t="shared" si="22"/>
        <v>2025</v>
      </c>
      <c r="H616" s="25" t="s">
        <v>2451</v>
      </c>
      <c r="I616" s="25" t="s">
        <v>226</v>
      </c>
      <c r="J616" s="1" t="s">
        <v>2463</v>
      </c>
      <c r="K616" s="53" t="s">
        <v>2464</v>
      </c>
      <c r="N616" s="66" t="s">
        <v>1</v>
      </c>
      <c r="O616" s="33">
        <v>45986</v>
      </c>
      <c r="P616" s="26" t="s">
        <v>2486</v>
      </c>
    </row>
    <row r="617" spans="3:16" ht="43.2" hidden="1">
      <c r="C617" s="25">
        <f t="shared" si="24"/>
        <v>609</v>
      </c>
      <c r="D617" s="25" t="s">
        <v>1045</v>
      </c>
      <c r="E617" s="25" t="s">
        <v>2465</v>
      </c>
      <c r="F617" s="33">
        <v>45980</v>
      </c>
      <c r="G617" s="196">
        <f t="shared" si="22"/>
        <v>2025</v>
      </c>
      <c r="H617" s="25" t="s">
        <v>2466</v>
      </c>
      <c r="I617" s="25" t="s">
        <v>1252</v>
      </c>
      <c r="J617" s="49" t="s">
        <v>2467</v>
      </c>
      <c r="K617" s="49" t="s">
        <v>2490</v>
      </c>
      <c r="N617" s="66" t="s">
        <v>1</v>
      </c>
      <c r="O617" s="73">
        <v>46009</v>
      </c>
      <c r="P617" s="26" t="s">
        <v>2236</v>
      </c>
    </row>
    <row r="618" spans="3:16" hidden="1">
      <c r="C618" s="25">
        <f t="shared" si="24"/>
        <v>610</v>
      </c>
      <c r="D618" s="25" t="s">
        <v>304</v>
      </c>
      <c r="E618" s="25" t="s">
        <v>2471</v>
      </c>
      <c r="F618" s="33">
        <v>45980</v>
      </c>
      <c r="G618" s="196">
        <f t="shared" si="22"/>
        <v>2025</v>
      </c>
      <c r="H618" s="25" t="s">
        <v>2117</v>
      </c>
      <c r="I618" s="25" t="s">
        <v>1261</v>
      </c>
      <c r="K618" s="53" t="s">
        <v>2472</v>
      </c>
      <c r="N618" s="134" t="s">
        <v>3</v>
      </c>
      <c r="O618" s="31">
        <v>46021</v>
      </c>
      <c r="P618" t="s">
        <v>2568</v>
      </c>
    </row>
    <row r="619" spans="3:16" ht="43.2" hidden="1">
      <c r="C619" s="25">
        <f t="shared" si="24"/>
        <v>611</v>
      </c>
      <c r="D619" s="25" t="s">
        <v>2473</v>
      </c>
      <c r="E619" s="25" t="s">
        <v>2474</v>
      </c>
      <c r="F619" s="33">
        <v>45986</v>
      </c>
      <c r="G619" s="196">
        <f t="shared" si="22"/>
        <v>2025</v>
      </c>
      <c r="H619" s="25" t="s">
        <v>2475</v>
      </c>
      <c r="I619" s="25" t="s">
        <v>1252</v>
      </c>
      <c r="J619" s="49" t="s">
        <v>2476</v>
      </c>
      <c r="K619" s="49" t="s">
        <v>2491</v>
      </c>
      <c r="N619" s="71" t="s">
        <v>4</v>
      </c>
    </row>
    <row r="620" spans="3:16" ht="28.8" hidden="1">
      <c r="C620" s="25">
        <f t="shared" si="24"/>
        <v>612</v>
      </c>
      <c r="D620" s="25" t="s">
        <v>329</v>
      </c>
      <c r="E620" s="25" t="s">
        <v>2477</v>
      </c>
      <c r="F620" s="33">
        <v>45986</v>
      </c>
      <c r="G620" s="196">
        <f t="shared" si="22"/>
        <v>2025</v>
      </c>
      <c r="H620" s="25" t="s">
        <v>2478</v>
      </c>
      <c r="I620" s="25" t="s">
        <v>802</v>
      </c>
      <c r="J620" s="49" t="s">
        <v>2492</v>
      </c>
      <c r="K620" s="49" t="s">
        <v>2493</v>
      </c>
      <c r="N620" s="66" t="s">
        <v>1</v>
      </c>
      <c r="O620" s="33">
        <v>46055</v>
      </c>
      <c r="P620" t="s">
        <v>2655</v>
      </c>
    </row>
    <row r="621" spans="3:16" hidden="1">
      <c r="C621" s="25">
        <f t="shared" si="24"/>
        <v>613</v>
      </c>
      <c r="D621" s="25" t="s">
        <v>304</v>
      </c>
      <c r="E621" s="25" t="s">
        <v>2487</v>
      </c>
      <c r="F621" s="33">
        <v>45986</v>
      </c>
      <c r="G621" s="196">
        <f t="shared" si="22"/>
        <v>2025</v>
      </c>
      <c r="H621" s="25" t="s">
        <v>2488</v>
      </c>
      <c r="I621" s="25" t="s">
        <v>130</v>
      </c>
      <c r="N621" s="66" t="s">
        <v>1</v>
      </c>
      <c r="O621" s="31">
        <v>45986</v>
      </c>
      <c r="P621" t="s">
        <v>2489</v>
      </c>
    </row>
    <row r="622" spans="3:16" hidden="1">
      <c r="C622" s="25">
        <f t="shared" si="24"/>
        <v>614</v>
      </c>
      <c r="D622" s="25" t="s">
        <v>329</v>
      </c>
      <c r="E622" s="25" t="s">
        <v>1217</v>
      </c>
      <c r="F622" s="33">
        <v>45986</v>
      </c>
      <c r="G622" s="196">
        <f t="shared" si="22"/>
        <v>2025</v>
      </c>
      <c r="H622" s="25" t="s">
        <v>1168</v>
      </c>
      <c r="I622" s="25" t="s">
        <v>130</v>
      </c>
      <c r="K622" s="50"/>
      <c r="N622" s="66" t="s">
        <v>1</v>
      </c>
      <c r="O622" s="31">
        <v>46041</v>
      </c>
      <c r="P622" t="s">
        <v>2632</v>
      </c>
    </row>
    <row r="623" spans="3:16" hidden="1">
      <c r="C623" s="25">
        <f t="shared" si="24"/>
        <v>615</v>
      </c>
      <c r="D623" s="25" t="s">
        <v>807</v>
      </c>
      <c r="E623" s="25" t="s">
        <v>2495</v>
      </c>
      <c r="F623" s="33">
        <v>45987</v>
      </c>
      <c r="G623" s="196">
        <f t="shared" si="22"/>
        <v>2025</v>
      </c>
      <c r="H623" s="25" t="s">
        <v>994</v>
      </c>
      <c r="I623" s="25" t="s">
        <v>226</v>
      </c>
      <c r="K623" s="49" t="s">
        <v>2497</v>
      </c>
      <c r="N623" s="66" t="s">
        <v>1</v>
      </c>
      <c r="O623" s="187">
        <v>46022</v>
      </c>
      <c r="P623" t="s">
        <v>2587</v>
      </c>
    </row>
    <row r="624" spans="3:16" hidden="1">
      <c r="C624" s="25">
        <f t="shared" si="24"/>
        <v>616</v>
      </c>
      <c r="D624" s="25" t="s">
        <v>2473</v>
      </c>
      <c r="E624" s="25" t="s">
        <v>2499</v>
      </c>
      <c r="F624" s="31">
        <v>45994</v>
      </c>
      <c r="G624" s="57">
        <f t="shared" si="22"/>
        <v>2025</v>
      </c>
      <c r="H624" s="25" t="s">
        <v>2500</v>
      </c>
      <c r="I624" s="25" t="s">
        <v>130</v>
      </c>
      <c r="K624" s="49" t="s">
        <v>2530</v>
      </c>
      <c r="N624" s="66" t="s">
        <v>1</v>
      </c>
      <c r="O624" s="31">
        <v>46041</v>
      </c>
      <c r="P624" t="s">
        <v>2633</v>
      </c>
    </row>
    <row r="625" spans="3:16" hidden="1">
      <c r="C625" s="25">
        <f t="shared" si="24"/>
        <v>617</v>
      </c>
      <c r="D625" s="25" t="s">
        <v>1285</v>
      </c>
      <c r="E625" s="25" t="s">
        <v>1286</v>
      </c>
      <c r="F625" s="31">
        <v>45994</v>
      </c>
      <c r="G625" s="57">
        <f t="shared" si="22"/>
        <v>2025</v>
      </c>
      <c r="H625" s="25" t="s">
        <v>2599</v>
      </c>
      <c r="I625" s="25" t="s">
        <v>1918</v>
      </c>
      <c r="K625" s="49" t="s">
        <v>2634</v>
      </c>
      <c r="N625" s="66" t="s">
        <v>1</v>
      </c>
      <c r="O625" s="31">
        <v>46041</v>
      </c>
    </row>
    <row r="626" spans="3:16" ht="72" hidden="1">
      <c r="C626" s="25">
        <f t="shared" si="24"/>
        <v>618</v>
      </c>
      <c r="D626" s="25" t="s">
        <v>270</v>
      </c>
      <c r="E626" s="25" t="s">
        <v>2502</v>
      </c>
      <c r="F626" s="33">
        <v>45996</v>
      </c>
      <c r="G626" s="57">
        <f t="shared" si="22"/>
        <v>2025</v>
      </c>
      <c r="H626" s="25" t="s">
        <v>2503</v>
      </c>
      <c r="I626" s="25" t="s">
        <v>130</v>
      </c>
      <c r="K626" s="49" t="s">
        <v>2776</v>
      </c>
      <c r="N626" s="66" t="s">
        <v>1</v>
      </c>
      <c r="O626" s="64">
        <v>46111</v>
      </c>
      <c r="P626" s="26" t="s">
        <v>2784</v>
      </c>
    </row>
    <row r="627" spans="3:16" hidden="1">
      <c r="C627" s="25">
        <f t="shared" si="24"/>
        <v>619</v>
      </c>
      <c r="D627" s="25" t="s">
        <v>270</v>
      </c>
      <c r="E627" s="25" t="s">
        <v>2504</v>
      </c>
      <c r="F627" s="31">
        <v>45996</v>
      </c>
      <c r="G627" s="57">
        <f t="shared" si="22"/>
        <v>2025</v>
      </c>
      <c r="N627" s="66" t="s">
        <v>1</v>
      </c>
      <c r="O627" s="162">
        <v>46006</v>
      </c>
      <c r="P627" t="s">
        <v>2531</v>
      </c>
    </row>
    <row r="628" spans="3:16" ht="43.2" hidden="1">
      <c r="C628" s="25">
        <f t="shared" si="24"/>
        <v>620</v>
      </c>
      <c r="D628" s="25" t="s">
        <v>204</v>
      </c>
      <c r="E628" s="25" t="s">
        <v>2505</v>
      </c>
      <c r="F628" s="33">
        <v>45996</v>
      </c>
      <c r="G628" s="233">
        <f t="shared" si="22"/>
        <v>2025</v>
      </c>
      <c r="H628" s="25" t="s">
        <v>200</v>
      </c>
      <c r="I628" s="25" t="s">
        <v>130</v>
      </c>
      <c r="K628" s="49" t="s">
        <v>2934</v>
      </c>
      <c r="N628" s="66" t="s">
        <v>1</v>
      </c>
      <c r="O628" s="33">
        <v>46125</v>
      </c>
      <c r="P628" s="2" t="s">
        <v>2996</v>
      </c>
    </row>
    <row r="629" spans="3:16" hidden="1">
      <c r="C629" s="25">
        <f t="shared" si="24"/>
        <v>621</v>
      </c>
      <c r="D629" s="25" t="s">
        <v>204</v>
      </c>
      <c r="E629" s="25" t="s">
        <v>2506</v>
      </c>
      <c r="F629" s="31">
        <v>45996</v>
      </c>
      <c r="G629" s="57">
        <f t="shared" si="22"/>
        <v>2025</v>
      </c>
      <c r="H629" s="25" t="s">
        <v>2507</v>
      </c>
      <c r="I629" s="25" t="s">
        <v>1261</v>
      </c>
      <c r="K629" s="49" t="s">
        <v>2584</v>
      </c>
      <c r="N629" s="71" t="s">
        <v>4</v>
      </c>
    </row>
    <row r="630" spans="3:16" ht="28.8" hidden="1">
      <c r="C630" s="25">
        <f t="shared" si="24"/>
        <v>622</v>
      </c>
      <c r="D630" s="25" t="s">
        <v>1045</v>
      </c>
      <c r="E630" s="25" t="s">
        <v>2508</v>
      </c>
      <c r="F630" s="33">
        <v>45996</v>
      </c>
      <c r="G630" s="196">
        <f t="shared" si="22"/>
        <v>2025</v>
      </c>
      <c r="H630" s="25" t="s">
        <v>2459</v>
      </c>
      <c r="I630" s="25" t="s">
        <v>1261</v>
      </c>
      <c r="J630" s="3" t="s">
        <v>2517</v>
      </c>
      <c r="N630" s="66" t="s">
        <v>1</v>
      </c>
    </row>
    <row r="631" spans="3:16" hidden="1">
      <c r="C631" s="25">
        <f t="shared" si="24"/>
        <v>623</v>
      </c>
      <c r="D631" s="25" t="s">
        <v>204</v>
      </c>
      <c r="E631" s="25" t="s">
        <v>2509</v>
      </c>
      <c r="F631" s="33">
        <v>45996</v>
      </c>
      <c r="G631" s="196">
        <f t="shared" si="22"/>
        <v>2025</v>
      </c>
      <c r="H631" s="25" t="s">
        <v>2510</v>
      </c>
      <c r="I631" s="25" t="s">
        <v>2510</v>
      </c>
      <c r="K631" s="49" t="s">
        <v>2725</v>
      </c>
      <c r="N631" s="66" t="s">
        <v>1</v>
      </c>
      <c r="O631" s="162">
        <v>46104</v>
      </c>
      <c r="P631" t="s">
        <v>2774</v>
      </c>
    </row>
    <row r="632" spans="3:16" hidden="1">
      <c r="C632" s="25">
        <f t="shared" si="24"/>
        <v>624</v>
      </c>
      <c r="D632" s="25" t="s">
        <v>1045</v>
      </c>
      <c r="E632" s="25" t="s">
        <v>2515</v>
      </c>
      <c r="F632" s="33">
        <v>45999</v>
      </c>
      <c r="G632" s="196">
        <f t="shared" si="22"/>
        <v>2025</v>
      </c>
      <c r="H632" s="25" t="s">
        <v>2599</v>
      </c>
      <c r="I632" s="25" t="s">
        <v>1918</v>
      </c>
      <c r="J632" s="1" t="s">
        <v>2516</v>
      </c>
      <c r="N632" s="66" t="s">
        <v>1</v>
      </c>
      <c r="O632" s="33">
        <v>46041</v>
      </c>
      <c r="P632" s="26" t="s">
        <v>2635</v>
      </c>
    </row>
    <row r="633" spans="3:16" hidden="1">
      <c r="C633" s="25">
        <f t="shared" si="24"/>
        <v>625</v>
      </c>
      <c r="D633" s="25" t="s">
        <v>304</v>
      </c>
      <c r="E633" s="25" t="s">
        <v>1424</v>
      </c>
      <c r="F633" s="33">
        <v>45999</v>
      </c>
      <c r="G633" s="196">
        <f t="shared" si="22"/>
        <v>2025</v>
      </c>
      <c r="H633" s="24" t="s">
        <v>1050</v>
      </c>
      <c r="I633" s="24" t="s">
        <v>226</v>
      </c>
      <c r="K633" s="49" t="s">
        <v>2518</v>
      </c>
      <c r="N633" s="66" t="s">
        <v>1</v>
      </c>
      <c r="O633" s="187">
        <v>46022</v>
      </c>
      <c r="P633" t="s">
        <v>2585</v>
      </c>
    </row>
    <row r="634" spans="3:16" ht="115.2" hidden="1">
      <c r="C634" s="25">
        <f t="shared" si="24"/>
        <v>626</v>
      </c>
      <c r="D634" s="25" t="s">
        <v>807</v>
      </c>
      <c r="E634" s="25" t="s">
        <v>2520</v>
      </c>
      <c r="F634" s="33">
        <v>45999</v>
      </c>
      <c r="G634" s="196">
        <f t="shared" si="22"/>
        <v>2025</v>
      </c>
      <c r="H634" s="25" t="s">
        <v>994</v>
      </c>
      <c r="I634" s="25" t="s">
        <v>226</v>
      </c>
      <c r="J634" s="1" t="s">
        <v>2519</v>
      </c>
      <c r="K634" s="53" t="s">
        <v>2532</v>
      </c>
      <c r="N634" s="66" t="s">
        <v>1</v>
      </c>
      <c r="O634" s="33">
        <v>46083</v>
      </c>
      <c r="P634" s="26" t="s">
        <v>1519</v>
      </c>
    </row>
    <row r="635" spans="3:16" hidden="1">
      <c r="C635" s="25">
        <f t="shared" si="24"/>
        <v>627</v>
      </c>
      <c r="D635" s="25" t="s">
        <v>807</v>
      </c>
      <c r="E635" s="25" t="s">
        <v>2521</v>
      </c>
      <c r="F635" s="33">
        <v>45999</v>
      </c>
      <c r="G635" s="196">
        <f t="shared" si="22"/>
        <v>2025</v>
      </c>
      <c r="H635" s="25" t="s">
        <v>189</v>
      </c>
      <c r="I635" s="25" t="s">
        <v>189</v>
      </c>
      <c r="J635" s="53" t="s">
        <v>2524</v>
      </c>
      <c r="K635" s="3" t="s">
        <v>2586</v>
      </c>
      <c r="N635" s="66" t="s">
        <v>1</v>
      </c>
      <c r="O635" s="33">
        <v>46083</v>
      </c>
      <c r="P635" s="26" t="s">
        <v>2706</v>
      </c>
    </row>
    <row r="636" spans="3:16" hidden="1">
      <c r="C636" s="25">
        <f t="shared" si="24"/>
        <v>628</v>
      </c>
      <c r="D636" s="25" t="s">
        <v>320</v>
      </c>
      <c r="E636" s="25" t="s">
        <v>2569</v>
      </c>
      <c r="F636" s="33">
        <v>46021</v>
      </c>
      <c r="G636" s="196">
        <f t="shared" si="22"/>
        <v>2025</v>
      </c>
      <c r="H636" s="25" t="s">
        <v>1234</v>
      </c>
      <c r="I636" s="25" t="s">
        <v>2019</v>
      </c>
      <c r="N636" s="66" t="s">
        <v>1</v>
      </c>
      <c r="O636" s="31">
        <v>46027</v>
      </c>
      <c r="P636" t="s">
        <v>2166</v>
      </c>
    </row>
    <row r="637" spans="3:16" ht="28.8" hidden="1">
      <c r="C637" s="25">
        <f t="shared" si="24"/>
        <v>629</v>
      </c>
      <c r="D637" s="25" t="s">
        <v>1563</v>
      </c>
      <c r="E637" s="25" t="s">
        <v>2570</v>
      </c>
      <c r="F637" s="33">
        <v>46021</v>
      </c>
      <c r="G637" s="196">
        <f t="shared" si="22"/>
        <v>2025</v>
      </c>
      <c r="H637" s="25" t="s">
        <v>1237</v>
      </c>
      <c r="I637" s="25" t="s">
        <v>130</v>
      </c>
      <c r="J637" s="3" t="s">
        <v>2571</v>
      </c>
      <c r="K637" s="70"/>
      <c r="N637" s="66" t="s">
        <v>1</v>
      </c>
      <c r="O637" s="33">
        <v>46083</v>
      </c>
      <c r="P637" s="26" t="s">
        <v>2707</v>
      </c>
    </row>
    <row r="638" spans="3:16" ht="57.6" hidden="1">
      <c r="C638" s="25">
        <f t="shared" si="24"/>
        <v>630</v>
      </c>
      <c r="D638" s="25" t="s">
        <v>1045</v>
      </c>
      <c r="E638" s="25" t="s">
        <v>2572</v>
      </c>
      <c r="F638" s="33">
        <v>46021</v>
      </c>
      <c r="G638" s="196">
        <f t="shared" si="22"/>
        <v>2025</v>
      </c>
      <c r="H638" s="25" t="s">
        <v>2573</v>
      </c>
      <c r="I638" s="25" t="s">
        <v>1261</v>
      </c>
      <c r="J638" s="1" t="s">
        <v>2574</v>
      </c>
      <c r="K638" s="181"/>
      <c r="N638" s="66" t="s">
        <v>1</v>
      </c>
      <c r="O638" s="33">
        <v>46048</v>
      </c>
    </row>
    <row r="639" spans="3:16" hidden="1">
      <c r="C639" s="25">
        <f t="shared" si="24"/>
        <v>631</v>
      </c>
      <c r="D639" s="25" t="s">
        <v>1045</v>
      </c>
      <c r="E639" s="25" t="s">
        <v>2575</v>
      </c>
      <c r="F639" s="33">
        <v>46021</v>
      </c>
      <c r="G639" s="196">
        <f t="shared" si="22"/>
        <v>2025</v>
      </c>
      <c r="H639" s="25" t="s">
        <v>2573</v>
      </c>
      <c r="I639" s="25" t="s">
        <v>1261</v>
      </c>
      <c r="K639" s="68"/>
      <c r="N639" s="66" t="s">
        <v>1</v>
      </c>
      <c r="O639" s="33">
        <v>46048</v>
      </c>
    </row>
    <row r="640" spans="3:16" ht="57.6" hidden="1">
      <c r="C640" s="25">
        <f t="shared" si="24"/>
        <v>632</v>
      </c>
      <c r="D640" s="25" t="s">
        <v>270</v>
      </c>
      <c r="E640" s="25" t="s">
        <v>2576</v>
      </c>
      <c r="F640" s="33">
        <v>46021</v>
      </c>
      <c r="G640" s="196">
        <f t="shared" si="22"/>
        <v>2025</v>
      </c>
      <c r="H640" s="25" t="s">
        <v>2577</v>
      </c>
      <c r="I640" s="25" t="s">
        <v>130</v>
      </c>
      <c r="J640" s="3" t="s">
        <v>2578</v>
      </c>
      <c r="K640" s="224" t="s">
        <v>2786</v>
      </c>
      <c r="N640" s="134" t="s">
        <v>3</v>
      </c>
    </row>
    <row r="641" spans="3:16" hidden="1">
      <c r="C641" s="25">
        <f t="shared" si="24"/>
        <v>633</v>
      </c>
      <c r="D641" s="25" t="s">
        <v>86</v>
      </c>
      <c r="E641" s="25" t="s">
        <v>2582</v>
      </c>
      <c r="F641" s="33">
        <v>46021</v>
      </c>
      <c r="G641" s="196">
        <f t="shared" si="22"/>
        <v>2025</v>
      </c>
      <c r="H641" s="25" t="s">
        <v>2579</v>
      </c>
      <c r="I641" s="25" t="s">
        <v>226</v>
      </c>
      <c r="K641" s="68"/>
      <c r="N641" s="66" t="s">
        <v>1</v>
      </c>
      <c r="O641" s="31">
        <v>46027</v>
      </c>
      <c r="P641" t="s">
        <v>2580</v>
      </c>
    </row>
    <row r="642" spans="3:16" hidden="1">
      <c r="C642" s="25">
        <f t="shared" si="24"/>
        <v>634</v>
      </c>
      <c r="D642" s="25" t="s">
        <v>807</v>
      </c>
      <c r="E642" s="25" t="s">
        <v>2581</v>
      </c>
      <c r="F642" s="33">
        <v>46021</v>
      </c>
      <c r="G642" s="196">
        <f t="shared" ref="G642:G679" si="25">+YEAR(F642)</f>
        <v>2025</v>
      </c>
      <c r="H642" s="25" t="s">
        <v>2579</v>
      </c>
      <c r="I642" s="25" t="s">
        <v>226</v>
      </c>
      <c r="N642" s="66" t="s">
        <v>1</v>
      </c>
      <c r="O642" s="31">
        <v>46027</v>
      </c>
      <c r="P642" t="s">
        <v>2580</v>
      </c>
    </row>
    <row r="643" spans="3:16" ht="57.6" hidden="1">
      <c r="C643" s="25">
        <f t="shared" si="24"/>
        <v>635</v>
      </c>
      <c r="D643" s="25" t="s">
        <v>270</v>
      </c>
      <c r="E643" s="25" t="s">
        <v>2621</v>
      </c>
      <c r="F643" s="33">
        <v>46031</v>
      </c>
      <c r="G643" s="196">
        <f t="shared" si="25"/>
        <v>2026</v>
      </c>
      <c r="H643" s="25" t="s">
        <v>994</v>
      </c>
      <c r="I643" s="25" t="str">
        <f>INDEX(Originadores!E:E,MATCH(Pipe!H643,Originadores!D:D,0))</f>
        <v>Broker</v>
      </c>
      <c r="J643" s="38" t="s">
        <v>2622</v>
      </c>
      <c r="N643" s="66" t="s">
        <v>1</v>
      </c>
      <c r="O643" s="64">
        <v>46055</v>
      </c>
      <c r="P643" s="26" t="s">
        <v>2234</v>
      </c>
    </row>
    <row r="644" spans="3:16" hidden="1">
      <c r="C644" s="25">
        <f t="shared" si="24"/>
        <v>636</v>
      </c>
      <c r="D644" s="25" t="s">
        <v>807</v>
      </c>
      <c r="E644" s="57" t="s">
        <v>2624</v>
      </c>
      <c r="F644" s="33">
        <v>46031</v>
      </c>
      <c r="G644" s="196">
        <f t="shared" si="25"/>
        <v>2026</v>
      </c>
      <c r="H644" s="25" t="s">
        <v>344</v>
      </c>
      <c r="I644" s="25" t="str">
        <f>INDEX(Originadores!E:E,MATCH(Pipe!H644,Originadores!D:D,0))</f>
        <v>Asset</v>
      </c>
      <c r="J644" s="24" t="s">
        <v>2623</v>
      </c>
      <c r="K644" t="s">
        <v>2666</v>
      </c>
      <c r="N644" s="66" t="s">
        <v>1</v>
      </c>
      <c r="O644" s="31">
        <v>46097</v>
      </c>
      <c r="P644" t="s">
        <v>2743</v>
      </c>
    </row>
    <row r="645" spans="3:16" ht="28.8" hidden="1">
      <c r="C645" s="25">
        <f t="shared" si="24"/>
        <v>637</v>
      </c>
      <c r="D645" s="25" t="s">
        <v>1045</v>
      </c>
      <c r="E645" s="25" t="s">
        <v>2625</v>
      </c>
      <c r="F645" s="33">
        <v>46031</v>
      </c>
      <c r="G645" s="196">
        <f t="shared" si="25"/>
        <v>2026</v>
      </c>
      <c r="H645" s="25" t="s">
        <v>2626</v>
      </c>
      <c r="I645" s="25" t="str">
        <f>INDEX(Originadores!E:E,MATCH(Pipe!H645,Originadores!D:D,0))</f>
        <v>Consultoria</v>
      </c>
      <c r="J645" s="1" t="s">
        <v>2627</v>
      </c>
      <c r="N645" s="71" t="s">
        <v>4</v>
      </c>
    </row>
    <row r="646" spans="3:16" hidden="1">
      <c r="C646" s="25">
        <f t="shared" si="24"/>
        <v>638</v>
      </c>
      <c r="D646" s="25" t="s">
        <v>270</v>
      </c>
      <c r="E646" s="25" t="s">
        <v>2628</v>
      </c>
      <c r="F646" s="33">
        <v>46037</v>
      </c>
      <c r="G646" s="196">
        <f t="shared" si="25"/>
        <v>2026</v>
      </c>
      <c r="H646" s="25" t="s">
        <v>2643</v>
      </c>
      <c r="I646" s="25" t="str">
        <f>INDEX(Originadores!E:E,MATCH(Pipe!H646,Originadores!D:D,0))</f>
        <v>Broker</v>
      </c>
      <c r="N646" s="66" t="s">
        <v>1</v>
      </c>
      <c r="O646" s="33">
        <v>46083</v>
      </c>
      <c r="P646" s="26" t="s">
        <v>2708</v>
      </c>
    </row>
    <row r="647" spans="3:16" ht="28.8" hidden="1">
      <c r="C647" s="25">
        <f t="shared" si="24"/>
        <v>639</v>
      </c>
      <c r="D647" s="25" t="s">
        <v>329</v>
      </c>
      <c r="E647" s="25" t="s">
        <v>1318</v>
      </c>
      <c r="F647" s="33">
        <v>46037</v>
      </c>
      <c r="G647" s="196">
        <f t="shared" si="25"/>
        <v>2026</v>
      </c>
      <c r="H647" s="25" t="s">
        <v>1319</v>
      </c>
      <c r="I647" s="25" t="str">
        <f>INDEX(Originadores!E:E,MATCH(Pipe!H647,Originadores!D:D,0))</f>
        <v>Boutique</v>
      </c>
      <c r="K647" s="1" t="s">
        <v>2636</v>
      </c>
      <c r="N647" s="66" t="s">
        <v>1</v>
      </c>
      <c r="O647" s="33">
        <v>46083</v>
      </c>
      <c r="P647" s="26" t="s">
        <v>2709</v>
      </c>
    </row>
    <row r="648" spans="3:16" hidden="1">
      <c r="C648" s="25">
        <f t="shared" ref="C648:C693" si="26">+C647+1</f>
        <v>640</v>
      </c>
    </row>
    <row r="649" spans="3:16" hidden="1">
      <c r="C649" s="25">
        <f t="shared" si="26"/>
        <v>641</v>
      </c>
      <c r="D649" s="25" t="s">
        <v>1045</v>
      </c>
      <c r="E649" s="25" t="s">
        <v>2637</v>
      </c>
      <c r="F649" s="33">
        <v>46044</v>
      </c>
      <c r="G649" s="196">
        <f t="shared" si="25"/>
        <v>2026</v>
      </c>
      <c r="H649" s="25" t="s">
        <v>1548</v>
      </c>
      <c r="I649" s="25" t="str">
        <f>INDEX(Originadores!E:E,MATCH(Pipe!H649,Originadores!D:D,0))</f>
        <v>Consultoria</v>
      </c>
      <c r="J649" t="s">
        <v>2726</v>
      </c>
      <c r="N649" s="66" t="s">
        <v>1</v>
      </c>
      <c r="O649" s="31">
        <v>46097</v>
      </c>
      <c r="P649" t="s">
        <v>1603</v>
      </c>
    </row>
    <row r="650" spans="3:16" ht="28.8" hidden="1">
      <c r="C650" s="25">
        <f t="shared" si="26"/>
        <v>642</v>
      </c>
      <c r="D650" s="25" t="s">
        <v>329</v>
      </c>
      <c r="E650" s="25" t="s">
        <v>1666</v>
      </c>
      <c r="F650" s="33">
        <v>46044</v>
      </c>
      <c r="G650" s="196">
        <f t="shared" si="25"/>
        <v>2026</v>
      </c>
      <c r="H650" s="25" t="s">
        <v>1344</v>
      </c>
      <c r="I650" s="25" t="str">
        <f>INDEX(Originadores!E:E,MATCH(Pipe!H650,Originadores!D:D,0))</f>
        <v>Boutique</v>
      </c>
      <c r="J650" s="1" t="s">
        <v>2638</v>
      </c>
      <c r="K650" s="49" t="s">
        <v>2788</v>
      </c>
      <c r="N650" s="66" t="s">
        <v>1</v>
      </c>
      <c r="O650" s="33">
        <v>46111</v>
      </c>
      <c r="P650" s="26" t="s">
        <v>2787</v>
      </c>
    </row>
    <row r="651" spans="3:16" ht="273.60000000000002" hidden="1">
      <c r="C651" s="25">
        <f t="shared" si="26"/>
        <v>643</v>
      </c>
      <c r="D651" s="25" t="s">
        <v>1045</v>
      </c>
      <c r="E651" s="25" t="s">
        <v>2640</v>
      </c>
      <c r="F651" s="33">
        <v>46044</v>
      </c>
      <c r="G651" s="196">
        <f t="shared" si="25"/>
        <v>2026</v>
      </c>
      <c r="H651" s="25" t="s">
        <v>2639</v>
      </c>
      <c r="I651" s="25" t="str">
        <f>INDEX(Originadores!E:E,MATCH(Pipe!H651,Originadores!D:D,0))</f>
        <v>Consultoria</v>
      </c>
      <c r="J651" s="1" t="s">
        <v>2641</v>
      </c>
      <c r="K651" s="2" t="s">
        <v>2744</v>
      </c>
      <c r="N651" s="230" t="s">
        <v>2777</v>
      </c>
    </row>
    <row r="652" spans="3:16" hidden="1">
      <c r="C652" s="25">
        <f t="shared" si="26"/>
        <v>644</v>
      </c>
      <c r="D652" s="25" t="s">
        <v>270</v>
      </c>
      <c r="E652" s="25" t="s">
        <v>2642</v>
      </c>
      <c r="F652" s="33">
        <v>46044</v>
      </c>
      <c r="G652" s="196">
        <f t="shared" si="25"/>
        <v>2026</v>
      </c>
      <c r="H652" s="25" t="s">
        <v>2643</v>
      </c>
      <c r="I652" s="25" t="str">
        <f>INDEX(Originadores!E:E,MATCH(Pipe!H652,Originadores!D:D,0))</f>
        <v>Broker</v>
      </c>
      <c r="N652" s="66" t="s">
        <v>1</v>
      </c>
      <c r="O652" s="31">
        <v>46083</v>
      </c>
      <c r="P652" t="s">
        <v>2710</v>
      </c>
    </row>
    <row r="653" spans="3:16" hidden="1">
      <c r="C653" s="25">
        <f t="shared" si="26"/>
        <v>645</v>
      </c>
      <c r="D653" s="25" t="s">
        <v>204</v>
      </c>
      <c r="E653" s="25" t="s">
        <v>2645</v>
      </c>
      <c r="F653" s="33">
        <v>46044</v>
      </c>
      <c r="G653" s="196">
        <f t="shared" si="25"/>
        <v>2026</v>
      </c>
      <c r="H653" s="25" t="s">
        <v>76</v>
      </c>
      <c r="I653" s="25" t="str">
        <f>INDEX(Originadores!E:E,MATCH(Pipe!H653,Originadores!D:D,0))</f>
        <v>Consultoria</v>
      </c>
      <c r="J653" t="s">
        <v>2646</v>
      </c>
      <c r="N653" s="66" t="s">
        <v>1</v>
      </c>
      <c r="O653" s="31">
        <v>46078</v>
      </c>
      <c r="P653" t="s">
        <v>2697</v>
      </c>
    </row>
    <row r="654" spans="3:16" hidden="1">
      <c r="C654" s="25">
        <f t="shared" si="26"/>
        <v>646</v>
      </c>
      <c r="D654" s="25" t="s">
        <v>329</v>
      </c>
      <c r="E654" s="25" t="s">
        <v>2647</v>
      </c>
      <c r="F654" s="33">
        <v>46044</v>
      </c>
      <c r="G654" s="196">
        <f t="shared" si="25"/>
        <v>2026</v>
      </c>
      <c r="H654" s="25" t="s">
        <v>2650</v>
      </c>
      <c r="I654" s="25" t="str">
        <f>INDEX(Originadores!E:E,MATCH(Pipe!H654,Originadores!D:D,0))</f>
        <v>Broker</v>
      </c>
      <c r="J654" t="s">
        <v>2648</v>
      </c>
      <c r="K654" t="s">
        <v>2649</v>
      </c>
      <c r="N654" s="66" t="s">
        <v>1</v>
      </c>
      <c r="O654" s="33">
        <v>46097</v>
      </c>
      <c r="P654" t="s">
        <v>2746</v>
      </c>
    </row>
    <row r="655" spans="3:16" hidden="1">
      <c r="C655" s="25">
        <f t="shared" si="26"/>
        <v>647</v>
      </c>
      <c r="D655" s="25" t="s">
        <v>329</v>
      </c>
      <c r="E655" s="25" t="s">
        <v>2651</v>
      </c>
      <c r="F655" s="33">
        <v>46044</v>
      </c>
      <c r="G655" s="196">
        <f t="shared" si="25"/>
        <v>2026</v>
      </c>
      <c r="H655" s="25" t="s">
        <v>76</v>
      </c>
      <c r="I655" s="25" t="str">
        <f>INDEX(Originadores!E:E,MATCH(Pipe!H655,Originadores!D:D,0))</f>
        <v>Consultoria</v>
      </c>
      <c r="N655" s="66" t="s">
        <v>1</v>
      </c>
      <c r="O655" s="162">
        <v>46092</v>
      </c>
      <c r="P655" t="s">
        <v>2727</v>
      </c>
    </row>
    <row r="656" spans="3:16" ht="28.8" hidden="1">
      <c r="C656" s="25">
        <f t="shared" si="26"/>
        <v>648</v>
      </c>
      <c r="D656" s="25" t="s">
        <v>1045</v>
      </c>
      <c r="E656" s="25" t="s">
        <v>2656</v>
      </c>
      <c r="F656" s="33">
        <v>46049</v>
      </c>
      <c r="G656" s="196">
        <f t="shared" si="25"/>
        <v>2026</v>
      </c>
      <c r="H656" s="25" t="s">
        <v>2459</v>
      </c>
      <c r="I656" s="25" t="str">
        <f>INDEX(Originadores!E:E,MATCH(Pipe!H656,Originadores!D:D,0))</f>
        <v>Boutique</v>
      </c>
      <c r="J656" s="1" t="s">
        <v>2657</v>
      </c>
      <c r="K656" s="26" t="s">
        <v>2658</v>
      </c>
      <c r="N656" s="66" t="s">
        <v>1</v>
      </c>
      <c r="O656" s="33">
        <v>46083</v>
      </c>
      <c r="P656" s="26" t="s">
        <v>2710</v>
      </c>
    </row>
    <row r="657" spans="3:16" hidden="1">
      <c r="C657" s="25">
        <f t="shared" si="26"/>
        <v>649</v>
      </c>
      <c r="D657" s="25" t="s">
        <v>204</v>
      </c>
      <c r="E657" s="25" t="s">
        <v>2659</v>
      </c>
      <c r="F657" s="33">
        <v>46049</v>
      </c>
      <c r="G657" s="196">
        <f t="shared" si="25"/>
        <v>2026</v>
      </c>
      <c r="H657" s="25" t="s">
        <v>206</v>
      </c>
      <c r="I657" s="25" t="str">
        <f>INDEX(Originadores!E:E,MATCH(Pipe!H657,Originadores!D:D,0))</f>
        <v>Banco</v>
      </c>
      <c r="J657" t="s">
        <v>2660</v>
      </c>
      <c r="N657" s="66" t="s">
        <v>1</v>
      </c>
    </row>
    <row r="658" spans="3:16" hidden="1">
      <c r="C658" s="25">
        <f t="shared" si="26"/>
        <v>650</v>
      </c>
      <c r="D658" s="25" t="s">
        <v>204</v>
      </c>
      <c r="E658" s="25" t="s">
        <v>2661</v>
      </c>
      <c r="F658" s="33">
        <v>46049</v>
      </c>
      <c r="G658" s="196">
        <f t="shared" si="25"/>
        <v>2026</v>
      </c>
      <c r="H658" s="25" t="s">
        <v>206</v>
      </c>
      <c r="I658" s="25" t="str">
        <f>INDEX(Originadores!E:E,MATCH(Pipe!H658,Originadores!D:D,0))</f>
        <v>Banco</v>
      </c>
      <c r="J658" t="s">
        <v>2662</v>
      </c>
      <c r="N658" s="66" t="s">
        <v>1</v>
      </c>
    </row>
    <row r="659" spans="3:16" ht="28.8" hidden="1">
      <c r="C659" s="25">
        <f t="shared" si="26"/>
        <v>651</v>
      </c>
      <c r="D659" s="25" t="s">
        <v>2473</v>
      </c>
      <c r="E659" s="3" t="s">
        <v>2664</v>
      </c>
      <c r="F659" s="33">
        <v>46049</v>
      </c>
      <c r="G659" s="196">
        <f t="shared" si="25"/>
        <v>2026</v>
      </c>
      <c r="H659" s="25" t="s">
        <v>2665</v>
      </c>
      <c r="I659" s="25" t="str">
        <f>INDEX(Originadores!E:E,MATCH(Pipe!H659,Originadores!D:D,0))</f>
        <v>Broker</v>
      </c>
      <c r="J659" s="1" t="s">
        <v>2663</v>
      </c>
      <c r="N659" s="66" t="s">
        <v>1</v>
      </c>
      <c r="O659" s="33">
        <v>46097</v>
      </c>
      <c r="P659" s="26" t="s">
        <v>1603</v>
      </c>
    </row>
    <row r="660" spans="3:16" hidden="1">
      <c r="C660" s="25">
        <f t="shared" si="26"/>
        <v>652</v>
      </c>
      <c r="D660" s="25" t="s">
        <v>1418</v>
      </c>
      <c r="E660" s="25" t="s">
        <v>2667</v>
      </c>
      <c r="F660" s="31">
        <v>46056</v>
      </c>
      <c r="G660" s="196">
        <f t="shared" si="25"/>
        <v>2026</v>
      </c>
      <c r="H660" s="25" t="s">
        <v>425</v>
      </c>
      <c r="I660" s="25" t="str">
        <f>INDEX(Originadores!E:E,MATCH(Pipe!H660,Originadores!D:D,0))</f>
        <v>Consultoria</v>
      </c>
      <c r="N660" s="66" t="s">
        <v>1</v>
      </c>
      <c r="O660" s="33">
        <v>46097</v>
      </c>
      <c r="P660" t="s">
        <v>2745</v>
      </c>
    </row>
    <row r="661" spans="3:16" ht="57.6" hidden="1">
      <c r="C661" s="25">
        <f t="shared" si="26"/>
        <v>653</v>
      </c>
      <c r="D661" s="25" t="s">
        <v>329</v>
      </c>
      <c r="E661" s="25" t="s">
        <v>2672</v>
      </c>
      <c r="F661" s="33">
        <v>46056</v>
      </c>
      <c r="G661" s="196">
        <f t="shared" si="25"/>
        <v>2026</v>
      </c>
      <c r="H661" s="25" t="s">
        <v>2668</v>
      </c>
      <c r="I661" s="25" t="str">
        <f>INDEX(Originadores!E:E,MATCH(Pipe!H661,Originadores!D:D,0))</f>
        <v>Consultoria</v>
      </c>
      <c r="J661" s="1" t="s">
        <v>2673</v>
      </c>
      <c r="K661" s="26" t="s">
        <v>2854</v>
      </c>
      <c r="N661" s="66" t="s">
        <v>1</v>
      </c>
    </row>
    <row r="662" spans="3:16" ht="28.8" hidden="1">
      <c r="C662" s="25">
        <f t="shared" si="26"/>
        <v>654</v>
      </c>
      <c r="D662" s="25" t="s">
        <v>1045</v>
      </c>
      <c r="E662" s="25" t="s">
        <v>2669</v>
      </c>
      <c r="F662" s="33">
        <v>46056</v>
      </c>
      <c r="G662" s="196">
        <f t="shared" si="25"/>
        <v>2026</v>
      </c>
      <c r="H662" s="25" t="s">
        <v>76</v>
      </c>
      <c r="I662" s="25" t="str">
        <f>INDEX(Originadores!E:E,MATCH(Pipe!H662,Originadores!D:D,0))</f>
        <v>Consultoria</v>
      </c>
      <c r="J662" s="1" t="s">
        <v>2679</v>
      </c>
      <c r="N662" s="66" t="s">
        <v>1</v>
      </c>
      <c r="O662" s="33">
        <v>46092</v>
      </c>
      <c r="P662" s="53" t="s">
        <v>2728</v>
      </c>
    </row>
    <row r="663" spans="3:16" ht="43.2" hidden="1">
      <c r="C663" s="25">
        <f t="shared" si="26"/>
        <v>655</v>
      </c>
      <c r="D663" s="25" t="s">
        <v>1045</v>
      </c>
      <c r="E663" s="25" t="s">
        <v>2670</v>
      </c>
      <c r="F663" s="33">
        <v>46056</v>
      </c>
      <c r="G663" s="196">
        <f t="shared" si="25"/>
        <v>2026</v>
      </c>
      <c r="H663" s="25" t="s">
        <v>76</v>
      </c>
      <c r="I663" s="25" t="str">
        <f>INDEX(Originadores!E:E,MATCH(Pipe!H663,Originadores!D:D,0))</f>
        <v>Consultoria</v>
      </c>
      <c r="J663" s="1" t="s">
        <v>2671</v>
      </c>
      <c r="N663" s="66" t="s">
        <v>1</v>
      </c>
      <c r="O663" s="33">
        <v>46097</v>
      </c>
      <c r="P663" s="25" t="s">
        <v>2747</v>
      </c>
    </row>
    <row r="664" spans="3:16" hidden="1">
      <c r="C664" s="25">
        <f t="shared" si="26"/>
        <v>656</v>
      </c>
      <c r="D664" s="25" t="s">
        <v>1045</v>
      </c>
      <c r="E664" s="25" t="s">
        <v>2678</v>
      </c>
      <c r="F664" s="33">
        <v>46056</v>
      </c>
      <c r="G664" s="196">
        <f t="shared" si="25"/>
        <v>2026</v>
      </c>
      <c r="H664" s="25" t="s">
        <v>2668</v>
      </c>
      <c r="I664" s="25" t="str">
        <f>INDEX(Originadores!E:E,MATCH(Pipe!H664,Originadores!D:D,0))</f>
        <v>Consultoria</v>
      </c>
      <c r="N664" s="66" t="s">
        <v>1</v>
      </c>
      <c r="O664" s="33">
        <v>46097</v>
      </c>
      <c r="P664" t="s">
        <v>2748</v>
      </c>
    </row>
    <row r="665" spans="3:16" ht="115.2">
      <c r="C665" s="25">
        <f t="shared" si="26"/>
        <v>657</v>
      </c>
      <c r="D665" s="25" t="s">
        <v>204</v>
      </c>
      <c r="E665" s="25" t="s">
        <v>2674</v>
      </c>
      <c r="F665" s="33">
        <v>46056</v>
      </c>
      <c r="G665" s="196">
        <f t="shared" si="25"/>
        <v>2026</v>
      </c>
      <c r="H665" s="25" t="s">
        <v>375</v>
      </c>
      <c r="I665" s="25" t="str">
        <f>INDEX(Originadores!E:E,MATCH(Pipe!H665,Originadores!D:D,0))</f>
        <v>Banco</v>
      </c>
      <c r="K665" s="1" t="s">
        <v>3018</v>
      </c>
      <c r="N665" s="72" t="s">
        <v>2</v>
      </c>
    </row>
    <row r="666" spans="3:16" hidden="1">
      <c r="C666" s="25">
        <f t="shared" si="26"/>
        <v>658</v>
      </c>
      <c r="D666" s="24" t="s">
        <v>1045</v>
      </c>
      <c r="E666" s="25" t="s">
        <v>2675</v>
      </c>
      <c r="F666" s="33">
        <v>46056</v>
      </c>
      <c r="G666" s="196">
        <f t="shared" si="25"/>
        <v>2026</v>
      </c>
      <c r="H666" s="24" t="s">
        <v>2684</v>
      </c>
      <c r="I666" s="25" t="str">
        <f>INDEX(Originadores!E:E,MATCH(Pipe!H666,Originadores!D:D,0))</f>
        <v>Empresário / Executivo</v>
      </c>
      <c r="N666" s="66" t="s">
        <v>1</v>
      </c>
      <c r="O666" s="162">
        <v>46062</v>
      </c>
      <c r="P666" t="s">
        <v>2685</v>
      </c>
    </row>
    <row r="667" spans="3:16" ht="60.75" hidden="1" customHeight="1">
      <c r="C667" s="25">
        <f t="shared" si="26"/>
        <v>659</v>
      </c>
      <c r="D667" s="25" t="s">
        <v>1045</v>
      </c>
      <c r="E667" s="25" t="s">
        <v>2676</v>
      </c>
      <c r="F667" s="33">
        <v>46056</v>
      </c>
      <c r="G667" s="196">
        <f t="shared" si="25"/>
        <v>2026</v>
      </c>
      <c r="H667" s="25" t="s">
        <v>425</v>
      </c>
      <c r="I667" s="25" t="str">
        <f>INDEX(Originadores!E:E,MATCH(Pipe!H667,Originadores!D:D,0))</f>
        <v>Consultoria</v>
      </c>
      <c r="J667" s="2" t="s">
        <v>2736</v>
      </c>
      <c r="K667" s="2" t="s">
        <v>2833</v>
      </c>
      <c r="N667" s="71" t="s">
        <v>2777</v>
      </c>
    </row>
    <row r="668" spans="3:16" hidden="1">
      <c r="C668" s="25">
        <f t="shared" si="26"/>
        <v>660</v>
      </c>
      <c r="D668" s="25" t="s">
        <v>198</v>
      </c>
      <c r="E668" s="25" t="s">
        <v>2677</v>
      </c>
      <c r="F668" s="33">
        <v>46056</v>
      </c>
      <c r="G668" s="196">
        <f t="shared" si="25"/>
        <v>2026</v>
      </c>
      <c r="H668" s="25" t="s">
        <v>2677</v>
      </c>
      <c r="I668" s="25" t="str">
        <f>INDEX(Originadores!E:E,MATCH(Pipe!H668,Originadores!D:D,0))</f>
        <v>Gestora</v>
      </c>
      <c r="J668" s="1" t="s">
        <v>2680</v>
      </c>
      <c r="N668" s="66" t="s">
        <v>1</v>
      </c>
      <c r="O668" s="33">
        <v>46097</v>
      </c>
      <c r="P668" s="26" t="s">
        <v>2749</v>
      </c>
    </row>
    <row r="669" spans="3:16" ht="43.2" hidden="1">
      <c r="C669" s="25">
        <f t="shared" si="26"/>
        <v>661</v>
      </c>
      <c r="D669" s="25" t="s">
        <v>807</v>
      </c>
      <c r="E669" s="25" t="s">
        <v>2681</v>
      </c>
      <c r="F669" s="33">
        <v>46056</v>
      </c>
      <c r="G669" s="196">
        <f t="shared" si="25"/>
        <v>2026</v>
      </c>
      <c r="H669" s="25" t="s">
        <v>2682</v>
      </c>
      <c r="I669" s="25" t="str">
        <f>INDEX(Originadores!E:E,MATCH(Pipe!H669,Originadores!D:D,0))</f>
        <v>Advogado</v>
      </c>
      <c r="J669" s="1" t="s">
        <v>2683</v>
      </c>
      <c r="N669" s="66" t="s">
        <v>1</v>
      </c>
      <c r="O669" s="162">
        <v>46092</v>
      </c>
      <c r="P669" t="s">
        <v>2730</v>
      </c>
    </row>
    <row r="670" spans="3:16" hidden="1">
      <c r="C670" s="25">
        <f t="shared" si="26"/>
        <v>662</v>
      </c>
      <c r="D670" s="25" t="s">
        <v>1045</v>
      </c>
      <c r="E670" s="25" t="s">
        <v>2686</v>
      </c>
      <c r="F670" s="33">
        <v>46071</v>
      </c>
      <c r="G670" s="196">
        <f t="shared" si="25"/>
        <v>2026</v>
      </c>
      <c r="H670" s="25" t="s">
        <v>33</v>
      </c>
      <c r="I670" s="25" t="str">
        <f>INDEX(Originadores!E:E,MATCH(Pipe!H670,Originadores!D:D,0))</f>
        <v>Broker</v>
      </c>
      <c r="J670" s="1" t="s">
        <v>2687</v>
      </c>
      <c r="N670" s="66" t="s">
        <v>1</v>
      </c>
      <c r="O670" s="162">
        <v>46092</v>
      </c>
    </row>
    <row r="671" spans="3:16" ht="43.2" hidden="1">
      <c r="C671" s="25">
        <f t="shared" si="26"/>
        <v>663</v>
      </c>
      <c r="D671" s="25" t="s">
        <v>2689</v>
      </c>
      <c r="E671" s="25" t="s">
        <v>2690</v>
      </c>
      <c r="F671" s="33">
        <v>46071</v>
      </c>
      <c r="G671" s="196">
        <f t="shared" si="25"/>
        <v>2026</v>
      </c>
      <c r="H671" s="25" t="s">
        <v>2688</v>
      </c>
      <c r="I671" s="25" t="str">
        <f>INDEX(Originadores!E:E,MATCH(Pipe!H671,Originadores!D:D,0))</f>
        <v>Banco</v>
      </c>
      <c r="K671" s="1" t="s">
        <v>2751</v>
      </c>
      <c r="N671" s="66" t="s">
        <v>1</v>
      </c>
      <c r="O671" s="33">
        <v>46111</v>
      </c>
      <c r="P671" s="26" t="s">
        <v>2789</v>
      </c>
    </row>
    <row r="672" spans="3:16" hidden="1">
      <c r="C672" s="25">
        <f t="shared" si="26"/>
        <v>664</v>
      </c>
      <c r="D672" s="25" t="s">
        <v>807</v>
      </c>
      <c r="E672" s="25" t="s">
        <v>2691</v>
      </c>
      <c r="F672" s="33">
        <v>46071</v>
      </c>
      <c r="G672" s="196">
        <f t="shared" si="25"/>
        <v>2026</v>
      </c>
      <c r="H672" s="25" t="s">
        <v>76</v>
      </c>
      <c r="I672" s="25" t="str">
        <f>INDEX(Originadores!E:E,MATCH(Pipe!H672,Originadores!D:D,0))</f>
        <v>Consultoria</v>
      </c>
      <c r="K672" t="s">
        <v>2731</v>
      </c>
      <c r="N672" s="66" t="s">
        <v>1</v>
      </c>
      <c r="O672" s="31">
        <v>46097</v>
      </c>
      <c r="P672" t="s">
        <v>2753</v>
      </c>
    </row>
    <row r="673" spans="3:16" hidden="1">
      <c r="C673" s="25">
        <f t="shared" si="26"/>
        <v>665</v>
      </c>
      <c r="D673" s="25" t="s">
        <v>695</v>
      </c>
      <c r="E673" s="25" t="s">
        <v>2693</v>
      </c>
      <c r="F673" s="33">
        <v>46076</v>
      </c>
      <c r="G673" s="196">
        <f t="shared" si="25"/>
        <v>2026</v>
      </c>
      <c r="H673" s="25" t="s">
        <v>2692</v>
      </c>
      <c r="I673" s="25" t="str">
        <f>INDEX(Originadores!E:E,MATCH(Pipe!H673,Originadores!D:D,0))</f>
        <v>Advogado</v>
      </c>
      <c r="N673" s="66" t="s">
        <v>1</v>
      </c>
    </row>
    <row r="674" spans="3:16" hidden="1">
      <c r="C674" s="25">
        <f t="shared" si="26"/>
        <v>666</v>
      </c>
      <c r="D674" s="25" t="s">
        <v>304</v>
      </c>
      <c r="E674" s="25" t="s">
        <v>2694</v>
      </c>
      <c r="F674" s="33">
        <v>46076</v>
      </c>
      <c r="G674" s="196">
        <f t="shared" si="25"/>
        <v>2026</v>
      </c>
      <c r="H674" s="25" t="s">
        <v>76</v>
      </c>
      <c r="I674" s="25" t="str">
        <f>INDEX(Originadores!E:E,MATCH(Pipe!H674,Originadores!D:D,0))</f>
        <v>Consultoria</v>
      </c>
      <c r="N674" s="66" t="s">
        <v>1</v>
      </c>
    </row>
    <row r="675" spans="3:16" hidden="1">
      <c r="C675" s="25">
        <f t="shared" si="26"/>
        <v>667</v>
      </c>
      <c r="D675" s="25" t="s">
        <v>1045</v>
      </c>
      <c r="E675" s="25" t="s">
        <v>2700</v>
      </c>
      <c r="F675" s="33">
        <v>46078</v>
      </c>
      <c r="G675" s="196">
        <f t="shared" si="25"/>
        <v>2026</v>
      </c>
      <c r="H675" s="25" t="s">
        <v>2605</v>
      </c>
      <c r="I675" s="25" t="str">
        <f>INDEX(Originadores!E:E,MATCH(Pipe!H675,Originadores!D:D,0))</f>
        <v>Advogado</v>
      </c>
      <c r="K675" t="s">
        <v>2842</v>
      </c>
      <c r="N675" s="71" t="s">
        <v>2777</v>
      </c>
    </row>
    <row r="676" spans="3:16" hidden="1">
      <c r="C676" s="25">
        <f t="shared" si="26"/>
        <v>668</v>
      </c>
      <c r="D676" s="25" t="s">
        <v>320</v>
      </c>
      <c r="E676" s="25" t="s">
        <v>2695</v>
      </c>
      <c r="F676" s="33">
        <v>46078</v>
      </c>
      <c r="G676" s="196">
        <f t="shared" si="25"/>
        <v>2026</v>
      </c>
      <c r="H676" s="25" t="s">
        <v>2696</v>
      </c>
      <c r="I676" s="25" t="str">
        <f>INDEX(Originadores!E:E,MATCH(Pipe!H676,Originadores!D:D,0))</f>
        <v>Consultoria</v>
      </c>
      <c r="N676" s="66" t="s">
        <v>1</v>
      </c>
      <c r="O676" s="31">
        <v>46111</v>
      </c>
      <c r="P676" t="s">
        <v>2781</v>
      </c>
    </row>
    <row r="677" spans="3:16" hidden="1">
      <c r="C677" s="25">
        <f t="shared" si="26"/>
        <v>669</v>
      </c>
      <c r="D677" s="25" t="s">
        <v>320</v>
      </c>
      <c r="E677" s="25" t="s">
        <v>2698</v>
      </c>
      <c r="F677" s="33">
        <v>46078</v>
      </c>
      <c r="G677" s="196">
        <f t="shared" si="25"/>
        <v>2026</v>
      </c>
      <c r="H677" s="25" t="s">
        <v>2699</v>
      </c>
      <c r="N677" s="66" t="s">
        <v>1</v>
      </c>
    </row>
    <row r="678" spans="3:16" hidden="1">
      <c r="C678" s="25">
        <f t="shared" si="26"/>
        <v>670</v>
      </c>
      <c r="D678" s="25" t="s">
        <v>2701</v>
      </c>
      <c r="E678" s="25" t="s">
        <v>2702</v>
      </c>
      <c r="F678" s="33">
        <v>46078</v>
      </c>
      <c r="G678" s="196">
        <f t="shared" si="25"/>
        <v>2026</v>
      </c>
      <c r="H678" s="25" t="s">
        <v>76</v>
      </c>
      <c r="I678" s="25" t="str">
        <f>INDEX(Originadores!E:E,MATCH(Pipe!H678,Originadores!D:D,0))</f>
        <v>Consultoria</v>
      </c>
      <c r="N678" s="66" t="s">
        <v>1</v>
      </c>
      <c r="O678" s="31">
        <v>46097</v>
      </c>
      <c r="P678" t="s">
        <v>2748</v>
      </c>
    </row>
    <row r="679" spans="3:16" ht="28.8" hidden="1">
      <c r="C679" s="25">
        <f t="shared" si="26"/>
        <v>671</v>
      </c>
      <c r="D679" s="25" t="s">
        <v>204</v>
      </c>
      <c r="E679" s="25" t="s">
        <v>174</v>
      </c>
      <c r="F679" s="33">
        <v>46078</v>
      </c>
      <c r="G679" s="196">
        <f t="shared" si="25"/>
        <v>2026</v>
      </c>
      <c r="H679" s="25" t="s">
        <v>425</v>
      </c>
      <c r="I679" s="25" t="str">
        <f>INDEX(Originadores!E:E,MATCH(Pipe!H679,Originadores!D:D,0))</f>
        <v>Consultoria</v>
      </c>
      <c r="J679" s="1" t="s">
        <v>2703</v>
      </c>
      <c r="N679" s="66" t="s">
        <v>1</v>
      </c>
      <c r="O679" s="33">
        <v>46092</v>
      </c>
      <c r="P679" s="26" t="s">
        <v>2732</v>
      </c>
    </row>
    <row r="680" spans="3:16" ht="115.2">
      <c r="C680" s="25">
        <f>+C679+1</f>
        <v>672</v>
      </c>
      <c r="D680" s="25" t="s">
        <v>2712</v>
      </c>
      <c r="E680" s="25" t="s">
        <v>2711</v>
      </c>
      <c r="F680" s="33">
        <v>46078</v>
      </c>
      <c r="G680" s="233">
        <f t="shared" ref="G680:G743" si="27">+YEAR(F680)</f>
        <v>2026</v>
      </c>
      <c r="H680" s="25" t="s">
        <v>2714</v>
      </c>
      <c r="I680" s="25" t="str">
        <f>INDEX(Originadores!E:E,MATCH(Pipe!H680,Originadores!D:D,0))</f>
        <v>Empresário / Executivo</v>
      </c>
      <c r="K680" s="1" t="s">
        <v>3109</v>
      </c>
      <c r="N680" s="72" t="s">
        <v>2</v>
      </c>
    </row>
    <row r="681" spans="3:16" hidden="1">
      <c r="C681" s="25">
        <f>+C680+1</f>
        <v>673</v>
      </c>
      <c r="D681" s="25" t="s">
        <v>329</v>
      </c>
      <c r="E681" s="25" t="s">
        <v>973</v>
      </c>
      <c r="F681" s="33">
        <v>46078</v>
      </c>
      <c r="G681" s="233">
        <f t="shared" si="27"/>
        <v>2026</v>
      </c>
      <c r="H681" s="25" t="s">
        <v>2668</v>
      </c>
      <c r="I681" s="25" t="str">
        <f>INDEX(Originadores!E:E,MATCH(Pipe!H681,Originadores!D:D,0))</f>
        <v>Consultoria</v>
      </c>
      <c r="K681" t="s">
        <v>2733</v>
      </c>
      <c r="N681" s="71" t="s">
        <v>2777</v>
      </c>
    </row>
    <row r="682" spans="3:16" hidden="1">
      <c r="C682" s="25">
        <f t="shared" si="26"/>
        <v>674</v>
      </c>
      <c r="D682" s="25" t="s">
        <v>1045</v>
      </c>
      <c r="E682" s="25" t="s">
        <v>2713</v>
      </c>
      <c r="F682" s="33">
        <v>46078</v>
      </c>
      <c r="G682" s="233">
        <f t="shared" si="27"/>
        <v>2026</v>
      </c>
      <c r="H682" s="25" t="s">
        <v>76</v>
      </c>
      <c r="I682" s="25" t="str">
        <f>INDEX(Originadores!E:E,MATCH(Pipe!H682,Originadores!D:D,0))</f>
        <v>Consultoria</v>
      </c>
      <c r="N682" s="66" t="s">
        <v>1</v>
      </c>
      <c r="O682" s="31">
        <v>46097</v>
      </c>
      <c r="P682" t="s">
        <v>2750</v>
      </c>
    </row>
    <row r="683" spans="3:16" ht="43.2" hidden="1">
      <c r="C683" s="25">
        <f t="shared" si="26"/>
        <v>675</v>
      </c>
      <c r="D683" s="25" t="s">
        <v>807</v>
      </c>
      <c r="E683" s="25" t="s">
        <v>2715</v>
      </c>
      <c r="F683" s="33">
        <v>46078</v>
      </c>
      <c r="G683" s="233">
        <f t="shared" si="27"/>
        <v>2026</v>
      </c>
      <c r="H683" s="25" t="s">
        <v>994</v>
      </c>
      <c r="I683" s="25" t="str">
        <f>INDEX(Originadores!E:E,MATCH(Pipe!H683,Originadores!D:D,0))</f>
        <v>Broker</v>
      </c>
      <c r="J683" s="1" t="s">
        <v>2716</v>
      </c>
      <c r="N683" s="66" t="s">
        <v>1</v>
      </c>
      <c r="O683" s="33">
        <v>46092</v>
      </c>
      <c r="P683" s="26" t="s">
        <v>2734</v>
      </c>
    </row>
    <row r="684" spans="3:16" ht="57.6" hidden="1">
      <c r="C684" s="25">
        <f t="shared" si="26"/>
        <v>676</v>
      </c>
      <c r="D684" s="25" t="s">
        <v>204</v>
      </c>
      <c r="E684" s="25" t="s">
        <v>2724</v>
      </c>
      <c r="F684" s="33">
        <v>46084</v>
      </c>
      <c r="G684" s="233">
        <f t="shared" si="27"/>
        <v>2026</v>
      </c>
      <c r="H684" s="25" t="s">
        <v>375</v>
      </c>
      <c r="I684" s="25" t="str">
        <f>INDEX(Originadores!E:E,MATCH(Pipe!H684,Originadores!D:D,0))</f>
        <v>Banco</v>
      </c>
      <c r="K684" s="1" t="s">
        <v>2790</v>
      </c>
      <c r="N684" s="66" t="s">
        <v>1</v>
      </c>
    </row>
    <row r="685" spans="3:16" ht="43.2" hidden="1">
      <c r="C685" s="25">
        <f t="shared" si="26"/>
        <v>677</v>
      </c>
      <c r="D685" s="25" t="s">
        <v>1285</v>
      </c>
      <c r="E685" s="25" t="s">
        <v>2718</v>
      </c>
      <c r="F685" s="33">
        <v>46092</v>
      </c>
      <c r="G685" s="233">
        <f t="shared" si="27"/>
        <v>2026</v>
      </c>
      <c r="H685" s="25" t="s">
        <v>2719</v>
      </c>
      <c r="I685" s="25" t="str">
        <f>INDEX(Originadores!E:E,MATCH(Pipe!H685,Originadores!D:D,0))</f>
        <v>Broker</v>
      </c>
      <c r="J685" s="2" t="s">
        <v>2717</v>
      </c>
      <c r="K685" s="2" t="s">
        <v>2754</v>
      </c>
      <c r="N685" s="66" t="s">
        <v>1</v>
      </c>
      <c r="O685" s="33">
        <v>46097</v>
      </c>
      <c r="P685" s="26" t="s">
        <v>2748</v>
      </c>
    </row>
    <row r="686" spans="3:16" hidden="1">
      <c r="C686" s="25">
        <f t="shared" si="26"/>
        <v>678</v>
      </c>
      <c r="D686" s="25" t="s">
        <v>2720</v>
      </c>
      <c r="E686" s="25" t="s">
        <v>2721</v>
      </c>
      <c r="F686" s="33">
        <v>46092</v>
      </c>
      <c r="G686" s="233">
        <f t="shared" si="27"/>
        <v>2026</v>
      </c>
      <c r="H686" s="25" t="s">
        <v>1234</v>
      </c>
      <c r="I686" s="25" t="e">
        <f>INDEX(Originadores!E:E,MATCH(Pipe!H686,Originadores!D:D,0))</f>
        <v>#N/A</v>
      </c>
      <c r="N686" s="134" t="s">
        <v>3</v>
      </c>
      <c r="O686" s="31">
        <v>46104</v>
      </c>
      <c r="P686" t="s">
        <v>2765</v>
      </c>
    </row>
    <row r="687" spans="3:16" hidden="1">
      <c r="C687" s="25">
        <f t="shared" si="26"/>
        <v>679</v>
      </c>
      <c r="D687" s="25" t="s">
        <v>1045</v>
      </c>
      <c r="E687" s="25" t="s">
        <v>2722</v>
      </c>
      <c r="F687" s="33">
        <v>46092</v>
      </c>
      <c r="G687" s="233">
        <f t="shared" si="27"/>
        <v>2026</v>
      </c>
      <c r="H687" s="25" t="s">
        <v>2468</v>
      </c>
      <c r="I687" s="25" t="str">
        <f>INDEX(Originadores!E:E,MATCH(Pipe!H687,Originadores!D:D,0))</f>
        <v>Consultoria</v>
      </c>
      <c r="J687" s="2" t="s">
        <v>2723</v>
      </c>
      <c r="N687" s="66" t="s">
        <v>1</v>
      </c>
    </row>
    <row r="688" spans="3:16" ht="43.2" hidden="1">
      <c r="C688" s="25">
        <f t="shared" si="26"/>
        <v>680</v>
      </c>
      <c r="D688" s="25" t="s">
        <v>204</v>
      </c>
      <c r="E688" s="25" t="s">
        <v>2729</v>
      </c>
      <c r="F688" s="33">
        <v>46092</v>
      </c>
      <c r="G688" s="233">
        <f t="shared" si="27"/>
        <v>2026</v>
      </c>
      <c r="H688" s="25" t="s">
        <v>553</v>
      </c>
      <c r="I688" s="25" t="str">
        <f>INDEX(Originadores!E:E,MATCH(Pipe!H688,Originadores!D:D,0))</f>
        <v>Banco</v>
      </c>
      <c r="K688" s="1" t="s">
        <v>2827</v>
      </c>
      <c r="N688" s="66" t="s">
        <v>1</v>
      </c>
      <c r="O688" s="64">
        <v>46132</v>
      </c>
      <c r="P688" s="26" t="s">
        <v>2843</v>
      </c>
    </row>
    <row r="689" spans="3:16" hidden="1">
      <c r="C689" s="25">
        <f t="shared" si="26"/>
        <v>681</v>
      </c>
      <c r="D689" s="25" t="s">
        <v>1045</v>
      </c>
      <c r="E689" s="25" t="s">
        <v>2735</v>
      </c>
      <c r="F689" s="33">
        <v>46092</v>
      </c>
      <c r="G689" s="233">
        <f t="shared" si="27"/>
        <v>2026</v>
      </c>
      <c r="H689" s="25" t="s">
        <v>76</v>
      </c>
      <c r="I689" s="25" t="str">
        <f>INDEX(Originadores!E:E,MATCH(Pipe!H689,Originadores!D:D,0))</f>
        <v>Consultoria</v>
      </c>
      <c r="J689" s="1" t="s">
        <v>2756</v>
      </c>
      <c r="K689" s="26" t="s">
        <v>2757</v>
      </c>
      <c r="N689" s="66" t="s">
        <v>1</v>
      </c>
      <c r="O689" s="33">
        <v>46097</v>
      </c>
      <c r="P689" s="26" t="s">
        <v>2758</v>
      </c>
    </row>
    <row r="690" spans="3:16" hidden="1">
      <c r="C690" s="25">
        <f t="shared" si="26"/>
        <v>682</v>
      </c>
      <c r="D690" s="25" t="s">
        <v>270</v>
      </c>
      <c r="E690" s="25" t="s">
        <v>2737</v>
      </c>
      <c r="F690" s="33">
        <v>46092</v>
      </c>
      <c r="G690" s="233">
        <f t="shared" si="27"/>
        <v>2026</v>
      </c>
      <c r="H690" s="25" t="s">
        <v>2738</v>
      </c>
      <c r="I690" s="25" t="str">
        <f>INDEX(Originadores!E:E,MATCH(Pipe!H690,Originadores!D:D,0))</f>
        <v>Broker</v>
      </c>
      <c r="K690" s="1" t="s">
        <v>2811</v>
      </c>
      <c r="N690" s="71" t="s">
        <v>2777</v>
      </c>
    </row>
    <row r="691" spans="3:16" hidden="1">
      <c r="C691" s="25">
        <f t="shared" si="26"/>
        <v>683</v>
      </c>
      <c r="D691" s="25" t="s">
        <v>1045</v>
      </c>
      <c r="E691" s="25" t="s">
        <v>2759</v>
      </c>
      <c r="F691" s="33">
        <v>46092</v>
      </c>
      <c r="G691" s="233">
        <f t="shared" si="27"/>
        <v>2026</v>
      </c>
      <c r="H691" s="25" t="s">
        <v>861</v>
      </c>
      <c r="I691" s="25" t="str">
        <f>INDEX(Originadores!E:E,MATCH(Pipe!H691,Originadores!D:D,0))</f>
        <v>Empresário / Executivo</v>
      </c>
      <c r="J691" s="1" t="s">
        <v>2761</v>
      </c>
      <c r="K691" s="26" t="s">
        <v>2760</v>
      </c>
      <c r="N691" s="71" t="s">
        <v>2777</v>
      </c>
    </row>
    <row r="692" spans="3:16" ht="57.6" hidden="1">
      <c r="C692" s="25">
        <f t="shared" si="26"/>
        <v>684</v>
      </c>
      <c r="D692" s="25" t="s">
        <v>270</v>
      </c>
      <c r="E692" s="25" t="s">
        <v>3103</v>
      </c>
      <c r="F692" s="33">
        <v>46092</v>
      </c>
      <c r="G692" s="233">
        <f t="shared" si="27"/>
        <v>2026</v>
      </c>
      <c r="H692" s="25" t="s">
        <v>2117</v>
      </c>
      <c r="I692" s="25" t="str">
        <f>INDEX(Originadores!E:E,MATCH(Pipe!H692,Originadores!D:D,0))</f>
        <v>Consultoria</v>
      </c>
      <c r="J692" s="26" t="s">
        <v>2762</v>
      </c>
      <c r="K692" s="26"/>
      <c r="L692" s="26"/>
      <c r="M692" s="26"/>
      <c r="N692" s="66" t="s">
        <v>1</v>
      </c>
      <c r="O692" s="33">
        <v>46111</v>
      </c>
      <c r="P692" s="1" t="s">
        <v>3104</v>
      </c>
    </row>
    <row r="693" spans="3:16" hidden="1">
      <c r="C693" s="25">
        <f t="shared" si="26"/>
        <v>685</v>
      </c>
      <c r="D693" s="25" t="s">
        <v>1045</v>
      </c>
      <c r="E693" s="25" t="s">
        <v>1530</v>
      </c>
      <c r="F693" s="33">
        <v>46092</v>
      </c>
      <c r="G693" s="233">
        <f t="shared" si="27"/>
        <v>2026</v>
      </c>
      <c r="H693" s="25" t="s">
        <v>2828</v>
      </c>
      <c r="K693" s="1" t="s">
        <v>2834</v>
      </c>
      <c r="N693" s="66" t="s">
        <v>1</v>
      </c>
    </row>
    <row r="694" spans="3:16" ht="28.8" hidden="1">
      <c r="C694" s="25">
        <f t="shared" ref="C694:C757" si="28">+C693+1</f>
        <v>686</v>
      </c>
      <c r="D694" s="25" t="s">
        <v>270</v>
      </c>
      <c r="E694" s="25" t="s">
        <v>2740</v>
      </c>
      <c r="F694" s="33">
        <v>46092</v>
      </c>
      <c r="G694" s="233">
        <f t="shared" si="27"/>
        <v>2026</v>
      </c>
      <c r="H694" s="25" t="s">
        <v>2742</v>
      </c>
      <c r="I694" s="25" t="str">
        <f>INDEX(Originadores!E:E,MATCH(Pipe!H694,Originadores!D:D,0))</f>
        <v>Empresário / Executivo</v>
      </c>
      <c r="J694" s="1" t="s">
        <v>2741</v>
      </c>
      <c r="N694" s="66" t="s">
        <v>1</v>
      </c>
      <c r="O694" s="33">
        <v>46126</v>
      </c>
      <c r="P694" s="26" t="s">
        <v>2835</v>
      </c>
    </row>
    <row r="695" spans="3:16" ht="43.2" hidden="1">
      <c r="C695" s="25">
        <f t="shared" si="28"/>
        <v>687</v>
      </c>
      <c r="D695" s="25" t="s">
        <v>270</v>
      </c>
      <c r="E695" s="25" t="s">
        <v>2752</v>
      </c>
      <c r="F695" s="33">
        <v>46092</v>
      </c>
      <c r="G695" s="233">
        <f t="shared" si="27"/>
        <v>2026</v>
      </c>
      <c r="H695" s="25" t="s">
        <v>2455</v>
      </c>
      <c r="I695" s="25" t="str">
        <f>INDEX(Originadores!E:E,MATCH(Pipe!H695,Originadores!D:D,0))</f>
        <v>Broker</v>
      </c>
      <c r="K695" s="1" t="s">
        <v>2791</v>
      </c>
      <c r="N695" s="71" t="s">
        <v>2777</v>
      </c>
    </row>
    <row r="696" spans="3:16" hidden="1">
      <c r="C696" s="25">
        <f t="shared" si="28"/>
        <v>688</v>
      </c>
      <c r="D696" s="25" t="s">
        <v>270</v>
      </c>
      <c r="E696" s="25" t="s">
        <v>2764</v>
      </c>
      <c r="F696" s="33">
        <v>46092</v>
      </c>
      <c r="G696" s="233">
        <f t="shared" si="27"/>
        <v>2026</v>
      </c>
      <c r="H696" s="25" t="s">
        <v>2755</v>
      </c>
      <c r="I696" s="25" t="str">
        <f>INDEX(Originadores!E:E,MATCH(Pipe!H696,Originadores!D:D,0))</f>
        <v>Asset</v>
      </c>
      <c r="N696" s="66" t="s">
        <v>1</v>
      </c>
      <c r="O696" s="31">
        <v>46104</v>
      </c>
      <c r="P696" t="s">
        <v>2778</v>
      </c>
    </row>
    <row r="697" spans="3:16" ht="72" hidden="1">
      <c r="C697" s="25">
        <f t="shared" si="28"/>
        <v>689</v>
      </c>
      <c r="D697" s="25" t="s">
        <v>270</v>
      </c>
      <c r="E697" s="25" t="s">
        <v>2763</v>
      </c>
      <c r="F697" s="33">
        <v>46092</v>
      </c>
      <c r="G697" s="233">
        <f t="shared" si="27"/>
        <v>2026</v>
      </c>
      <c r="H697" s="25" t="s">
        <v>2976</v>
      </c>
      <c r="I697" s="25" t="s">
        <v>802</v>
      </c>
      <c r="K697" s="1" t="s">
        <v>2997</v>
      </c>
      <c r="N697" s="66" t="s">
        <v>1</v>
      </c>
      <c r="O697" s="33">
        <v>46223</v>
      </c>
      <c r="P697" s="26" t="s">
        <v>3096</v>
      </c>
    </row>
    <row r="698" spans="3:16" hidden="1">
      <c r="C698" s="25">
        <f t="shared" si="28"/>
        <v>690</v>
      </c>
      <c r="D698" s="25" t="s">
        <v>1045</v>
      </c>
      <c r="E698" s="25" t="s">
        <v>2766</v>
      </c>
      <c r="F698" s="33">
        <v>46092</v>
      </c>
      <c r="G698" s="233">
        <f t="shared" si="27"/>
        <v>2026</v>
      </c>
      <c r="H698" s="25" t="s">
        <v>2767</v>
      </c>
      <c r="I698" s="25" t="str">
        <f>INDEX(Originadores!E:E,MATCH(Pipe!H698,Originadores!D:D,0))</f>
        <v>Asset</v>
      </c>
      <c r="K698" t="s">
        <v>2768</v>
      </c>
      <c r="N698" s="71" t="s">
        <v>2777</v>
      </c>
    </row>
    <row r="699" spans="3:16" ht="28.8" hidden="1">
      <c r="C699" s="25">
        <f t="shared" si="28"/>
        <v>691</v>
      </c>
      <c r="D699" s="25" t="s">
        <v>1045</v>
      </c>
      <c r="E699" s="25" t="s">
        <v>2769</v>
      </c>
      <c r="F699" s="33">
        <v>46092</v>
      </c>
      <c r="G699" s="233">
        <f t="shared" si="27"/>
        <v>2026</v>
      </c>
      <c r="H699" s="25" t="s">
        <v>76</v>
      </c>
      <c r="I699" s="25" t="str">
        <f>INDEX(Originadores!E:E,MATCH(Pipe!H699,Originadores!D:D,0))</f>
        <v>Consultoria</v>
      </c>
      <c r="J699" s="1" t="s">
        <v>2770</v>
      </c>
      <c r="N699" s="66" t="s">
        <v>1</v>
      </c>
      <c r="O699" s="33">
        <v>46111</v>
      </c>
    </row>
    <row r="700" spans="3:16" hidden="1">
      <c r="C700" s="25">
        <f t="shared" si="28"/>
        <v>692</v>
      </c>
      <c r="D700" s="25" t="s">
        <v>304</v>
      </c>
      <c r="E700" s="25" t="s">
        <v>2771</v>
      </c>
      <c r="F700" s="31">
        <v>46104</v>
      </c>
      <c r="G700" s="233">
        <f t="shared" si="27"/>
        <v>2026</v>
      </c>
      <c r="H700" s="25" t="s">
        <v>2579</v>
      </c>
      <c r="I700" s="25" t="str">
        <f>INDEX(Originadores!E:E,MATCH(Pipe!H700,Originadores!D:D,0))</f>
        <v>Broker</v>
      </c>
      <c r="J700" t="s">
        <v>2772</v>
      </c>
      <c r="N700" s="66" t="s">
        <v>1</v>
      </c>
      <c r="O700" s="31">
        <v>46104</v>
      </c>
      <c r="P700" t="s">
        <v>2773</v>
      </c>
    </row>
    <row r="701" spans="3:16" hidden="1">
      <c r="C701" s="25">
        <f t="shared" si="28"/>
        <v>693</v>
      </c>
      <c r="G701" s="233">
        <f t="shared" si="27"/>
        <v>1900</v>
      </c>
    </row>
    <row r="702" spans="3:16" ht="28.8" hidden="1">
      <c r="C702" s="25">
        <f t="shared" si="28"/>
        <v>694</v>
      </c>
      <c r="D702" s="25" t="s">
        <v>270</v>
      </c>
      <c r="E702" s="25" t="s">
        <v>2779</v>
      </c>
      <c r="F702" s="31">
        <v>46104</v>
      </c>
      <c r="G702" s="233">
        <f t="shared" si="27"/>
        <v>2026</v>
      </c>
      <c r="H702" s="25" t="s">
        <v>2197</v>
      </c>
      <c r="I702" s="25" t="str">
        <f>INDEX(Originadores!E:E,MATCH(Pipe!H702,Originadores!D:D,0))</f>
        <v>Advogado</v>
      </c>
      <c r="J702" t="s">
        <v>2780</v>
      </c>
      <c r="K702" s="1" t="s">
        <v>2909</v>
      </c>
      <c r="N702" s="72" t="s">
        <v>1</v>
      </c>
    </row>
    <row r="703" spans="3:16" ht="57.6" hidden="1">
      <c r="C703" s="25">
        <f t="shared" si="28"/>
        <v>695</v>
      </c>
      <c r="D703" s="25" t="s">
        <v>1045</v>
      </c>
      <c r="E703" s="25" t="s">
        <v>2782</v>
      </c>
      <c r="F703" s="33">
        <v>46104</v>
      </c>
      <c r="G703" s="233">
        <f t="shared" si="27"/>
        <v>2026</v>
      </c>
      <c r="H703" s="25" t="s">
        <v>76</v>
      </c>
      <c r="I703" s="25" t="str">
        <f>INDEX(Originadores!E:E,MATCH(Pipe!H703,Originadores!D:D,0))</f>
        <v>Consultoria</v>
      </c>
      <c r="K703" s="1" t="s">
        <v>2910</v>
      </c>
      <c r="N703" s="230" t="s">
        <v>4</v>
      </c>
    </row>
    <row r="704" spans="3:16" hidden="1">
      <c r="C704" s="25">
        <f t="shared" si="28"/>
        <v>696</v>
      </c>
      <c r="D704" s="25" t="s">
        <v>1212</v>
      </c>
      <c r="E704" s="25" t="s">
        <v>2792</v>
      </c>
      <c r="F704" s="31">
        <v>46104</v>
      </c>
      <c r="G704" s="233">
        <f t="shared" si="27"/>
        <v>2026</v>
      </c>
      <c r="H704" s="25" t="s">
        <v>959</v>
      </c>
      <c r="I704" s="25" t="str">
        <f>INDEX(Originadores!E:E,MATCH(Pipe!H704,Originadores!D:D,0))</f>
        <v>Advogado</v>
      </c>
      <c r="K704" s="1" t="s">
        <v>2883</v>
      </c>
      <c r="N704" s="66" t="s">
        <v>1</v>
      </c>
      <c r="O704" s="31">
        <v>46148</v>
      </c>
      <c r="P704" t="s">
        <v>2884</v>
      </c>
    </row>
    <row r="705" spans="3:16" hidden="1">
      <c r="C705" s="25">
        <f t="shared" si="28"/>
        <v>697</v>
      </c>
      <c r="D705" s="25" t="s">
        <v>270</v>
      </c>
      <c r="E705" s="25" t="s">
        <v>2783</v>
      </c>
      <c r="F705" s="31">
        <v>46104</v>
      </c>
      <c r="G705" s="233">
        <f t="shared" si="27"/>
        <v>2026</v>
      </c>
      <c r="H705" s="25" t="s">
        <v>2577</v>
      </c>
      <c r="I705" s="25" t="str">
        <f>INDEX(Originadores!E:E,MATCH(Pipe!H705,Originadores!D:D,0))</f>
        <v>Advogado</v>
      </c>
      <c r="N705" s="66" t="s">
        <v>1</v>
      </c>
      <c r="O705" s="31">
        <v>46111</v>
      </c>
    </row>
    <row r="706" spans="3:16" ht="72" hidden="1">
      <c r="C706" s="25">
        <f t="shared" si="28"/>
        <v>698</v>
      </c>
      <c r="D706" s="25" t="s">
        <v>1045</v>
      </c>
      <c r="E706" s="25" t="s">
        <v>2795</v>
      </c>
      <c r="F706" s="33">
        <v>46111</v>
      </c>
      <c r="G706" s="233">
        <f t="shared" si="27"/>
        <v>2026</v>
      </c>
      <c r="H706" s="25" t="s">
        <v>76</v>
      </c>
      <c r="I706" s="25" t="str">
        <f>INDEX(Originadores!E:E,MATCH(Pipe!H706,Originadores!D:D,0))</f>
        <v>Consultoria</v>
      </c>
      <c r="J706" s="1" t="s">
        <v>2796</v>
      </c>
      <c r="K706" s="26" t="s">
        <v>2816</v>
      </c>
      <c r="N706" s="230" t="s">
        <v>4</v>
      </c>
    </row>
    <row r="707" spans="3:16" ht="57.6" hidden="1">
      <c r="C707" s="25">
        <f t="shared" si="28"/>
        <v>699</v>
      </c>
      <c r="D707" s="25" t="s">
        <v>329</v>
      </c>
      <c r="E707" s="25" t="s">
        <v>2815</v>
      </c>
      <c r="F707" s="33">
        <v>46111</v>
      </c>
      <c r="G707" s="233">
        <f t="shared" si="27"/>
        <v>2026</v>
      </c>
      <c r="H707" s="25" t="s">
        <v>76</v>
      </c>
      <c r="I707" s="25" t="str">
        <f>INDEX(Originadores!E:E,MATCH(Pipe!H707,Originadores!D:D,0))</f>
        <v>Consultoria</v>
      </c>
      <c r="J707" s="1" t="s">
        <v>2817</v>
      </c>
      <c r="K707" s="2" t="s">
        <v>2855</v>
      </c>
      <c r="N707" s="72" t="s">
        <v>1</v>
      </c>
    </row>
    <row r="708" spans="3:16" hidden="1">
      <c r="C708" s="25">
        <f t="shared" si="28"/>
        <v>700</v>
      </c>
      <c r="D708" s="25" t="s">
        <v>204</v>
      </c>
      <c r="E708" s="25" t="s">
        <v>2793</v>
      </c>
      <c r="F708" s="31">
        <v>46111</v>
      </c>
      <c r="G708" s="233">
        <f t="shared" si="27"/>
        <v>2026</v>
      </c>
      <c r="H708" s="25" t="s">
        <v>553</v>
      </c>
      <c r="I708" s="25" t="str">
        <f>INDEX(Originadores!E:E,MATCH(Pipe!H708,Originadores!D:D,0))</f>
        <v>Banco</v>
      </c>
      <c r="J708" t="s">
        <v>2794</v>
      </c>
      <c r="N708" s="66" t="s">
        <v>1</v>
      </c>
      <c r="O708" s="31">
        <v>46126</v>
      </c>
      <c r="P708" t="s">
        <v>2836</v>
      </c>
    </row>
    <row r="709" spans="3:16" hidden="1">
      <c r="C709" s="25">
        <f t="shared" si="28"/>
        <v>701</v>
      </c>
      <c r="D709" s="25" t="s">
        <v>320</v>
      </c>
      <c r="E709" s="25" t="s">
        <v>2797</v>
      </c>
      <c r="F709" s="31">
        <v>46111</v>
      </c>
      <c r="G709" s="233">
        <f t="shared" si="27"/>
        <v>2026</v>
      </c>
      <c r="H709" s="25" t="s">
        <v>2579</v>
      </c>
      <c r="I709" s="25" t="str">
        <f>INDEX(Originadores!E:E,MATCH(Pipe!H709,Originadores!D:D,0))</f>
        <v>Broker</v>
      </c>
      <c r="K709" t="s">
        <v>2837</v>
      </c>
      <c r="N709" s="66" t="s">
        <v>1</v>
      </c>
      <c r="O709" s="31">
        <v>46126</v>
      </c>
      <c r="P709" t="s">
        <v>2844</v>
      </c>
    </row>
    <row r="710" spans="3:16" hidden="1">
      <c r="C710" s="25">
        <f t="shared" si="28"/>
        <v>702</v>
      </c>
      <c r="D710" s="25" t="s">
        <v>695</v>
      </c>
      <c r="E710" s="25" t="s">
        <v>2798</v>
      </c>
      <c r="F710" s="31">
        <v>46111</v>
      </c>
      <c r="G710" s="233">
        <f t="shared" si="27"/>
        <v>2026</v>
      </c>
      <c r="H710" s="25" t="s">
        <v>2510</v>
      </c>
      <c r="I710" s="25" t="str">
        <f>INDEX(Originadores!E:E,MATCH(Pipe!H710,Originadores!D:D,0))</f>
        <v>BNDES</v>
      </c>
      <c r="K710" t="s">
        <v>2838</v>
      </c>
      <c r="N710" s="66" t="s">
        <v>1</v>
      </c>
      <c r="O710" s="64">
        <v>46169</v>
      </c>
      <c r="P710" t="s">
        <v>2959</v>
      </c>
    </row>
    <row r="711" spans="3:16" ht="28.8" hidden="1">
      <c r="C711" s="25">
        <f t="shared" si="28"/>
        <v>703</v>
      </c>
      <c r="D711" s="25" t="s">
        <v>807</v>
      </c>
      <c r="E711" s="25" t="s">
        <v>2799</v>
      </c>
      <c r="F711" s="33">
        <v>46111</v>
      </c>
      <c r="G711" s="233">
        <f t="shared" si="27"/>
        <v>2026</v>
      </c>
      <c r="H711" s="25" t="s">
        <v>2800</v>
      </c>
      <c r="I711" s="25" t="str">
        <f>INDEX(Originadores!E:E,MATCH(Pipe!H711,Originadores!D:D,0))</f>
        <v>Broker</v>
      </c>
      <c r="J711" s="1" t="s">
        <v>2801</v>
      </c>
      <c r="N711" s="66" t="s">
        <v>1</v>
      </c>
      <c r="O711" s="33">
        <v>46126</v>
      </c>
      <c r="P711" s="2" t="s">
        <v>2839</v>
      </c>
    </row>
    <row r="712" spans="3:16" hidden="1">
      <c r="C712" s="25">
        <f t="shared" si="28"/>
        <v>704</v>
      </c>
      <c r="D712" s="25" t="s">
        <v>1045</v>
      </c>
      <c r="E712" s="25" t="s">
        <v>2802</v>
      </c>
      <c r="F712" s="33">
        <v>46111</v>
      </c>
      <c r="G712" s="233">
        <f t="shared" si="27"/>
        <v>2026</v>
      </c>
      <c r="H712" s="25" t="s">
        <v>76</v>
      </c>
      <c r="I712" s="25" t="str">
        <f>INDEX(Originadores!E:E,MATCH(Pipe!H712,Originadores!D:D,0))</f>
        <v>Consultoria</v>
      </c>
      <c r="J712" s="1" t="s">
        <v>2803</v>
      </c>
      <c r="K712" s="26" t="s">
        <v>2820</v>
      </c>
      <c r="N712" s="66" t="s">
        <v>1</v>
      </c>
      <c r="O712" s="33">
        <v>46126</v>
      </c>
      <c r="P712" t="s">
        <v>2845</v>
      </c>
    </row>
    <row r="713" spans="3:16" ht="57.6" hidden="1">
      <c r="C713" s="25">
        <f t="shared" si="28"/>
        <v>705</v>
      </c>
      <c r="D713" s="25" t="s">
        <v>2804</v>
      </c>
      <c r="E713" s="3" t="s">
        <v>2805</v>
      </c>
      <c r="F713" s="33">
        <v>46111</v>
      </c>
      <c r="G713" s="233">
        <f t="shared" si="27"/>
        <v>2026</v>
      </c>
      <c r="H713" s="25" t="s">
        <v>2800</v>
      </c>
      <c r="I713" s="25" t="str">
        <f>INDEX(Originadores!E:E,MATCH(Pipe!H713,Originadores!D:D,0))</f>
        <v>Broker</v>
      </c>
      <c r="J713" s="1" t="s">
        <v>2806</v>
      </c>
      <c r="N713" s="66" t="s">
        <v>1</v>
      </c>
      <c r="O713" s="162">
        <v>46119</v>
      </c>
      <c r="P713" t="s">
        <v>2821</v>
      </c>
    </row>
    <row r="714" spans="3:16" ht="28.8" hidden="1">
      <c r="C714" s="25">
        <f t="shared" si="28"/>
        <v>706</v>
      </c>
      <c r="D714" s="25" t="s">
        <v>320</v>
      </c>
      <c r="E714" s="25" t="s">
        <v>2807</v>
      </c>
      <c r="F714" s="33">
        <v>46111</v>
      </c>
      <c r="G714" s="233">
        <f t="shared" si="27"/>
        <v>2026</v>
      </c>
      <c r="H714" s="25" t="s">
        <v>76</v>
      </c>
      <c r="I714" s="25" t="str">
        <f>INDEX(Originadores!E:E,MATCH(Pipe!H714,Originadores!D:D,0))</f>
        <v>Consultoria</v>
      </c>
      <c r="J714" s="1" t="s">
        <v>2808</v>
      </c>
      <c r="N714" s="66" t="s">
        <v>1</v>
      </c>
      <c r="O714" s="162">
        <v>46119</v>
      </c>
      <c r="P714" t="s">
        <v>2821</v>
      </c>
    </row>
    <row r="715" spans="3:16" ht="28.8" hidden="1">
      <c r="C715" s="25">
        <f t="shared" si="28"/>
        <v>707</v>
      </c>
      <c r="D715" s="25" t="s">
        <v>1045</v>
      </c>
      <c r="E715" s="25" t="s">
        <v>2809</v>
      </c>
      <c r="F715" s="33">
        <v>46111</v>
      </c>
      <c r="G715" s="233">
        <f t="shared" si="27"/>
        <v>2026</v>
      </c>
      <c r="H715" s="25" t="s">
        <v>2800</v>
      </c>
      <c r="I715" s="25" t="str">
        <f>INDEX(Originadores!E:E,MATCH(Pipe!H715,Originadores!D:D,0))</f>
        <v>Broker</v>
      </c>
      <c r="J715" s="1" t="s">
        <v>2810</v>
      </c>
      <c r="N715" s="71" t="s">
        <v>4</v>
      </c>
    </row>
    <row r="716" spans="3:16" hidden="1">
      <c r="C716" s="25">
        <f t="shared" si="28"/>
        <v>708</v>
      </c>
      <c r="D716" s="25" t="s">
        <v>270</v>
      </c>
      <c r="E716" s="25" t="s">
        <v>2812</v>
      </c>
      <c r="F716" s="33">
        <v>46111</v>
      </c>
      <c r="G716" s="233">
        <f t="shared" si="27"/>
        <v>2026</v>
      </c>
      <c r="H716" s="25" t="s">
        <v>2455</v>
      </c>
      <c r="I716" s="25" t="str">
        <f>INDEX(Originadores!E:E,MATCH(Pipe!H716,Originadores!D:D,0))</f>
        <v>Broker</v>
      </c>
      <c r="N716" s="66" t="s">
        <v>1</v>
      </c>
      <c r="O716" s="31">
        <v>46148</v>
      </c>
      <c r="P716" t="s">
        <v>2885</v>
      </c>
    </row>
    <row r="717" spans="3:16" hidden="1">
      <c r="C717" s="25">
        <f t="shared" si="28"/>
        <v>709</v>
      </c>
      <c r="D717" s="25" t="s">
        <v>320</v>
      </c>
      <c r="E717" s="25" t="s">
        <v>2813</v>
      </c>
      <c r="F717" s="33">
        <v>46111</v>
      </c>
      <c r="G717" s="233">
        <f t="shared" si="27"/>
        <v>2026</v>
      </c>
      <c r="H717" s="25" t="s">
        <v>2814</v>
      </c>
      <c r="I717" s="25" t="str">
        <f>INDEX(Originadores!E:E,MATCH(Pipe!H717,Originadores!D:D,0))</f>
        <v>Broker</v>
      </c>
      <c r="N717" s="66" t="s">
        <v>1</v>
      </c>
      <c r="O717" s="33">
        <v>46126</v>
      </c>
      <c r="P717" t="s">
        <v>2489</v>
      </c>
    </row>
    <row r="718" spans="3:16" hidden="1">
      <c r="C718" s="25">
        <f t="shared" si="28"/>
        <v>710</v>
      </c>
      <c r="D718" s="25" t="s">
        <v>1045</v>
      </c>
      <c r="E718" s="25" t="s">
        <v>2819</v>
      </c>
      <c r="F718" s="33">
        <v>46118</v>
      </c>
      <c r="G718" s="233">
        <f t="shared" si="27"/>
        <v>2026</v>
      </c>
      <c r="H718" s="25" t="s">
        <v>2822</v>
      </c>
      <c r="I718" s="25" t="str">
        <f>INDEX(Originadores!E:E,MATCH(Pipe!H718,Originadores!D:D,0))</f>
        <v>Asset</v>
      </c>
      <c r="K718" t="s">
        <v>2823</v>
      </c>
      <c r="N718" s="66" t="s">
        <v>1</v>
      </c>
      <c r="O718" s="33">
        <v>46126</v>
      </c>
      <c r="P718" t="s">
        <v>2846</v>
      </c>
    </row>
    <row r="719" spans="3:16" hidden="1">
      <c r="C719" s="25">
        <f t="shared" si="28"/>
        <v>711</v>
      </c>
      <c r="D719" s="25" t="s">
        <v>320</v>
      </c>
      <c r="E719" s="25" t="s">
        <v>2818</v>
      </c>
      <c r="F719" s="33">
        <v>46119</v>
      </c>
      <c r="G719" s="233">
        <f t="shared" si="27"/>
        <v>2026</v>
      </c>
      <c r="H719" s="25" t="s">
        <v>2824</v>
      </c>
      <c r="I719" s="25" t="str">
        <f>INDEX(Originadores!E:E,MATCH(Pipe!H719,Originadores!D:D,0))</f>
        <v>Broker</v>
      </c>
      <c r="N719" s="66" t="s">
        <v>1</v>
      </c>
      <c r="O719" s="33">
        <v>46126</v>
      </c>
      <c r="P719" t="s">
        <v>2489</v>
      </c>
    </row>
    <row r="720" spans="3:16" ht="28.8" hidden="1">
      <c r="C720" s="25">
        <f t="shared" si="28"/>
        <v>712</v>
      </c>
      <c r="D720" s="25" t="s">
        <v>329</v>
      </c>
      <c r="E720" s="25" t="s">
        <v>2825</v>
      </c>
      <c r="F720" s="33">
        <v>46119</v>
      </c>
      <c r="G720" s="233">
        <f t="shared" si="27"/>
        <v>2026</v>
      </c>
      <c r="H720" s="25" t="s">
        <v>802</v>
      </c>
      <c r="I720" s="25" t="e">
        <f>INDEX(Originadores!E:E,MATCH(Pipe!H720,Originadores!D:D,0))</f>
        <v>#N/A</v>
      </c>
      <c r="J720" s="1" t="s">
        <v>2826</v>
      </c>
      <c r="K720" s="2" t="s">
        <v>2886</v>
      </c>
      <c r="N720" s="66" t="s">
        <v>1</v>
      </c>
      <c r="O720" s="33">
        <v>46167</v>
      </c>
      <c r="P720" s="26" t="s">
        <v>2935</v>
      </c>
    </row>
    <row r="721" spans="3:16" hidden="1">
      <c r="C721" s="25">
        <f t="shared" si="28"/>
        <v>713</v>
      </c>
      <c r="D721" s="25" t="s">
        <v>1045</v>
      </c>
      <c r="E721" s="25" t="s">
        <v>2831</v>
      </c>
      <c r="F721" s="31">
        <v>46125</v>
      </c>
      <c r="G721" s="233">
        <f t="shared" si="27"/>
        <v>2026</v>
      </c>
      <c r="H721" s="25" t="s">
        <v>2573</v>
      </c>
      <c r="I721" s="25" t="str">
        <f>INDEX(Originadores!E:E,MATCH(Pipe!H721,Originadores!D:D,0))</f>
        <v>Consultoria</v>
      </c>
      <c r="N721" s="66" t="s">
        <v>1</v>
      </c>
      <c r="O721" s="33">
        <v>46126</v>
      </c>
    </row>
    <row r="722" spans="3:16" hidden="1">
      <c r="C722" s="25">
        <f t="shared" si="28"/>
        <v>714</v>
      </c>
      <c r="D722" s="25" t="s">
        <v>270</v>
      </c>
      <c r="E722" s="25" t="s">
        <v>2829</v>
      </c>
      <c r="F722" s="31">
        <v>46125</v>
      </c>
      <c r="G722" s="233">
        <f t="shared" si="27"/>
        <v>2026</v>
      </c>
      <c r="H722" s="24" t="s">
        <v>1565</v>
      </c>
      <c r="I722" s="25" t="str">
        <f>INDEX(Originadores!E:E,MATCH(Pipe!H722,Originadores!D:D,0))</f>
        <v>Broker</v>
      </c>
      <c r="N722" s="66" t="s">
        <v>1</v>
      </c>
      <c r="O722" s="33">
        <v>46126</v>
      </c>
      <c r="P722" t="s">
        <v>2847</v>
      </c>
    </row>
    <row r="723" spans="3:16" hidden="1">
      <c r="C723" s="25">
        <f t="shared" si="28"/>
        <v>715</v>
      </c>
      <c r="D723" s="25" t="s">
        <v>304</v>
      </c>
      <c r="E723" s="25" t="s">
        <v>2832</v>
      </c>
      <c r="F723" s="31">
        <v>46125</v>
      </c>
      <c r="G723" s="233">
        <f t="shared" si="27"/>
        <v>2026</v>
      </c>
      <c r="H723" s="25" t="s">
        <v>2830</v>
      </c>
      <c r="I723" s="25" t="str">
        <f>INDEX(Originadores!E:E,MATCH(Pipe!H723,Originadores!D:D,0))</f>
        <v>Broker</v>
      </c>
      <c r="N723" s="66" t="s">
        <v>1</v>
      </c>
      <c r="O723" s="162">
        <v>46141</v>
      </c>
      <c r="P723" t="s">
        <v>2821</v>
      </c>
    </row>
    <row r="724" spans="3:16" hidden="1">
      <c r="C724" s="25">
        <f t="shared" si="28"/>
        <v>716</v>
      </c>
      <c r="D724" s="25" t="s">
        <v>270</v>
      </c>
      <c r="E724" s="25" t="s">
        <v>2829</v>
      </c>
      <c r="F724" s="31">
        <v>46125</v>
      </c>
      <c r="G724" s="233">
        <f t="shared" si="27"/>
        <v>2026</v>
      </c>
      <c r="H724" s="25" t="s">
        <v>2830</v>
      </c>
      <c r="I724" s="25" t="str">
        <f>INDEX(Originadores!E:E,MATCH(Pipe!H724,Originadores!D:D,0))</f>
        <v>Broker</v>
      </c>
      <c r="N724" s="66" t="s">
        <v>1</v>
      </c>
      <c r="O724" s="33">
        <v>46126</v>
      </c>
      <c r="P724" t="s">
        <v>2847</v>
      </c>
    </row>
    <row r="725" spans="3:16" hidden="1">
      <c r="C725" s="25">
        <f t="shared" si="28"/>
        <v>717</v>
      </c>
      <c r="D725" s="25" t="s">
        <v>270</v>
      </c>
      <c r="E725" s="25" t="s">
        <v>2840</v>
      </c>
      <c r="F725" s="31">
        <v>46125</v>
      </c>
      <c r="G725" s="233">
        <f t="shared" si="27"/>
        <v>2026</v>
      </c>
      <c r="H725" s="25" t="s">
        <v>2841</v>
      </c>
      <c r="I725" s="25" t="str">
        <f>INDEX(Originadores!E:E,MATCH(Pipe!H725,Originadores!D:D,0))</f>
        <v>Advogado</v>
      </c>
      <c r="K725" t="s">
        <v>2857</v>
      </c>
      <c r="N725" s="66" t="s">
        <v>1</v>
      </c>
      <c r="O725" s="31">
        <v>46148</v>
      </c>
      <c r="P725" t="s">
        <v>2887</v>
      </c>
    </row>
    <row r="726" spans="3:16" hidden="1">
      <c r="C726" s="25">
        <f t="shared" si="28"/>
        <v>718</v>
      </c>
      <c r="D726" s="25" t="s">
        <v>270</v>
      </c>
      <c r="E726" s="25" t="s">
        <v>2848</v>
      </c>
      <c r="F726" s="31">
        <v>46134</v>
      </c>
      <c r="G726" s="233">
        <f t="shared" si="27"/>
        <v>2026</v>
      </c>
      <c r="H726" s="25" t="s">
        <v>76</v>
      </c>
      <c r="I726" s="25" t="str">
        <f>INDEX(Originadores!E:E,MATCH(Pipe!H726,Originadores!D:D,0))</f>
        <v>Consultoria</v>
      </c>
      <c r="N726" s="66" t="s">
        <v>1</v>
      </c>
      <c r="O726" s="162">
        <v>46141</v>
      </c>
      <c r="P726" t="s">
        <v>2858</v>
      </c>
    </row>
    <row r="727" spans="3:16" ht="43.2" hidden="1">
      <c r="C727" s="25">
        <f t="shared" si="28"/>
        <v>719</v>
      </c>
      <c r="D727" s="25" t="s">
        <v>204</v>
      </c>
      <c r="E727" s="25" t="s">
        <v>2849</v>
      </c>
      <c r="F727" s="33">
        <v>46134</v>
      </c>
      <c r="G727" s="233">
        <f t="shared" si="27"/>
        <v>2026</v>
      </c>
      <c r="H727" s="25" t="s">
        <v>76</v>
      </c>
      <c r="I727" s="25" t="str">
        <f>INDEX(Originadores!E:E,MATCH(Pipe!H727,Originadores!D:D,0))</f>
        <v>Consultoria</v>
      </c>
      <c r="K727" s="1" t="s">
        <v>2936</v>
      </c>
      <c r="N727" s="66" t="s">
        <v>1</v>
      </c>
    </row>
    <row r="728" spans="3:16" ht="28.8" hidden="1">
      <c r="C728" s="25">
        <f t="shared" si="28"/>
        <v>720</v>
      </c>
      <c r="D728" s="25" t="s">
        <v>329</v>
      </c>
      <c r="E728" s="25" t="s">
        <v>1616</v>
      </c>
      <c r="F728" s="33">
        <v>46134</v>
      </c>
      <c r="G728" s="233">
        <f t="shared" si="27"/>
        <v>2026</v>
      </c>
      <c r="H728" s="25" t="s">
        <v>2117</v>
      </c>
      <c r="I728" s="25" t="str">
        <f>INDEX(Originadores!E:E,MATCH(Pipe!H728,Originadores!D:D,0))</f>
        <v>Consultoria</v>
      </c>
      <c r="K728" s="1" t="s">
        <v>2913</v>
      </c>
      <c r="N728" s="71" t="s">
        <v>4</v>
      </c>
    </row>
    <row r="729" spans="3:16" hidden="1">
      <c r="C729" s="25">
        <f t="shared" si="28"/>
        <v>721</v>
      </c>
      <c r="D729" s="25" t="s">
        <v>1045</v>
      </c>
      <c r="E729" s="25" t="s">
        <v>2850</v>
      </c>
      <c r="F729" s="31">
        <v>46141</v>
      </c>
      <c r="G729" s="233">
        <f t="shared" si="27"/>
        <v>2026</v>
      </c>
      <c r="H729" s="25" t="s">
        <v>76</v>
      </c>
      <c r="I729" s="25" t="str">
        <f>INDEX(Originadores!E:E,MATCH(Pipe!H729,Originadores!D:D,0))</f>
        <v>Consultoria</v>
      </c>
      <c r="J729" t="s">
        <v>2859</v>
      </c>
      <c r="N729" s="66" t="s">
        <v>1</v>
      </c>
      <c r="O729" s="162">
        <v>46141</v>
      </c>
      <c r="P729" t="s">
        <v>2860</v>
      </c>
    </row>
    <row r="730" spans="3:16" hidden="1">
      <c r="C730" s="25">
        <f t="shared" si="28"/>
        <v>722</v>
      </c>
      <c r="D730" s="25" t="s">
        <v>270</v>
      </c>
      <c r="E730" s="25" t="s">
        <v>2851</v>
      </c>
      <c r="F730" s="31">
        <v>46141</v>
      </c>
      <c r="G730" s="233">
        <f t="shared" si="27"/>
        <v>2026</v>
      </c>
      <c r="H730" s="25"/>
      <c r="N730" s="66" t="s">
        <v>1</v>
      </c>
      <c r="O730" s="162">
        <v>46141</v>
      </c>
      <c r="P730" t="s">
        <v>2858</v>
      </c>
    </row>
    <row r="731" spans="3:16" ht="57.6" hidden="1">
      <c r="C731" s="25">
        <f t="shared" si="28"/>
        <v>723</v>
      </c>
      <c r="D731" s="25" t="s">
        <v>204</v>
      </c>
      <c r="E731" s="25" t="s">
        <v>2852</v>
      </c>
      <c r="F731" s="33">
        <v>46141</v>
      </c>
      <c r="G731" s="233">
        <f t="shared" si="27"/>
        <v>2026</v>
      </c>
      <c r="H731" s="25" t="s">
        <v>1115</v>
      </c>
      <c r="I731" s="25" t="str">
        <f>INDEX(Originadores!E:E,MATCH(Pipe!H731,Originadores!D:D,0))</f>
        <v>Advisor</v>
      </c>
      <c r="J731" t="s">
        <v>2853</v>
      </c>
      <c r="N731" s="66" t="s">
        <v>1</v>
      </c>
      <c r="O731" s="64">
        <v>46169</v>
      </c>
      <c r="P731" s="1" t="s">
        <v>2956</v>
      </c>
    </row>
    <row r="732" spans="3:16" hidden="1">
      <c r="C732" s="25">
        <f t="shared" si="28"/>
        <v>724</v>
      </c>
      <c r="D732" s="25" t="s">
        <v>1045</v>
      </c>
      <c r="E732" s="25" t="s">
        <v>2856</v>
      </c>
      <c r="F732" s="31">
        <v>46141</v>
      </c>
      <c r="G732" s="233">
        <f t="shared" si="27"/>
        <v>2026</v>
      </c>
      <c r="H732" s="25" t="s">
        <v>76</v>
      </c>
      <c r="I732" s="25" t="str">
        <f>INDEX(Originadores!E:E,MATCH(Pipe!H732,Originadores!D:D,0))</f>
        <v>Consultoria</v>
      </c>
      <c r="K732" t="s">
        <v>2888</v>
      </c>
      <c r="N732" s="66" t="s">
        <v>1</v>
      </c>
      <c r="O732" s="33">
        <v>46167</v>
      </c>
      <c r="P732" t="s">
        <v>2937</v>
      </c>
    </row>
    <row r="733" spans="3:16" hidden="1">
      <c r="C733" s="25">
        <f t="shared" si="28"/>
        <v>725</v>
      </c>
      <c r="D733" s="25" t="s">
        <v>1045</v>
      </c>
      <c r="E733" s="25" t="s">
        <v>2861</v>
      </c>
      <c r="F733" s="31">
        <v>46141</v>
      </c>
      <c r="G733" s="233">
        <f t="shared" si="27"/>
        <v>2026</v>
      </c>
      <c r="H733" s="25" t="s">
        <v>1313</v>
      </c>
      <c r="I733" s="25" t="str">
        <f>INDEX(Originadores!E:E,MATCH(Pipe!H733,Originadores!D:D,0))</f>
        <v>Advogado</v>
      </c>
      <c r="K733" t="s">
        <v>2862</v>
      </c>
      <c r="N733" s="66" t="s">
        <v>1</v>
      </c>
      <c r="O733" s="31">
        <v>46148</v>
      </c>
      <c r="P733" t="s">
        <v>2889</v>
      </c>
    </row>
    <row r="734" spans="3:16" ht="28.8" hidden="1">
      <c r="C734" s="25">
        <f t="shared" si="28"/>
        <v>726</v>
      </c>
      <c r="D734" s="25" t="s">
        <v>204</v>
      </c>
      <c r="E734" s="25" t="s">
        <v>2863</v>
      </c>
      <c r="F734" s="31">
        <v>46141</v>
      </c>
      <c r="G734" s="233">
        <f t="shared" si="27"/>
        <v>2026</v>
      </c>
      <c r="H734" s="25" t="s">
        <v>2868</v>
      </c>
      <c r="I734" s="25" t="str">
        <f>INDEX(Originadores!E:E,MATCH(Pipe!H734,Originadores!D:D,0))</f>
        <v>Consultoria</v>
      </c>
      <c r="K734" s="1" t="s">
        <v>2890</v>
      </c>
      <c r="N734" s="66" t="s">
        <v>1</v>
      </c>
      <c r="O734" s="33">
        <v>46167</v>
      </c>
      <c r="P734" s="26" t="s">
        <v>2938</v>
      </c>
    </row>
    <row r="735" spans="3:16" hidden="1">
      <c r="C735" s="25">
        <f t="shared" si="28"/>
        <v>727</v>
      </c>
      <c r="D735" s="25" t="s">
        <v>270</v>
      </c>
      <c r="E735" s="25" t="s">
        <v>2865</v>
      </c>
      <c r="F735" s="31">
        <v>46141</v>
      </c>
      <c r="G735" s="233">
        <f t="shared" si="27"/>
        <v>2026</v>
      </c>
      <c r="H735" s="24" t="s">
        <v>2868</v>
      </c>
      <c r="I735" s="25" t="str">
        <f>INDEX(Originadores!E:E,MATCH(Pipe!H735,Originadores!D:D,0))</f>
        <v>Consultoria</v>
      </c>
      <c r="K735" t="s">
        <v>2866</v>
      </c>
      <c r="N735" s="66" t="s">
        <v>1</v>
      </c>
      <c r="O735" s="31">
        <v>46148</v>
      </c>
      <c r="P735" t="s">
        <v>2885</v>
      </c>
    </row>
    <row r="736" spans="3:16" ht="28.8" hidden="1">
      <c r="C736" s="25">
        <f t="shared" si="28"/>
        <v>728</v>
      </c>
      <c r="D736" s="25" t="s">
        <v>270</v>
      </c>
      <c r="E736" s="25" t="s">
        <v>2867</v>
      </c>
      <c r="F736" s="33">
        <v>46141</v>
      </c>
      <c r="G736" s="233">
        <f t="shared" si="27"/>
        <v>2026</v>
      </c>
      <c r="H736" s="25" t="s">
        <v>2868</v>
      </c>
      <c r="I736" s="25" t="str">
        <f>INDEX(Originadores!E:E,MATCH(Pipe!H736,Originadores!D:D,0))</f>
        <v>Consultoria</v>
      </c>
      <c r="K736" s="1" t="s">
        <v>2914</v>
      </c>
      <c r="N736" s="66" t="s">
        <v>1</v>
      </c>
      <c r="O736" s="64">
        <v>46169</v>
      </c>
      <c r="P736" s="26" t="s">
        <v>2960</v>
      </c>
    </row>
    <row r="737" spans="3:16" hidden="1">
      <c r="C737" s="25">
        <f t="shared" si="28"/>
        <v>729</v>
      </c>
      <c r="D737" s="25" t="s">
        <v>270</v>
      </c>
      <c r="E737" s="25" t="s">
        <v>2870</v>
      </c>
      <c r="F737" s="31">
        <v>46141</v>
      </c>
      <c r="G737" s="233">
        <f t="shared" si="27"/>
        <v>2026</v>
      </c>
      <c r="H737" s="25" t="s">
        <v>2869</v>
      </c>
      <c r="I737" s="25" t="e">
        <f>INDEX(Originadores!E:E,MATCH(Pipe!H737,Originadores!D:D,0))</f>
        <v>#N/A</v>
      </c>
      <c r="K737" t="s">
        <v>2891</v>
      </c>
      <c r="N737" s="230" t="s">
        <v>4</v>
      </c>
    </row>
    <row r="738" spans="3:16" hidden="1">
      <c r="C738" s="25">
        <f t="shared" si="28"/>
        <v>730</v>
      </c>
      <c r="D738" s="25" t="s">
        <v>1045</v>
      </c>
      <c r="E738" s="25" t="s">
        <v>2872</v>
      </c>
      <c r="F738" s="31">
        <v>46141</v>
      </c>
      <c r="G738" s="233">
        <f t="shared" si="27"/>
        <v>2026</v>
      </c>
      <c r="H738" s="25" t="s">
        <v>2871</v>
      </c>
      <c r="I738" s="25" t="e">
        <f>INDEX(Originadores!E:E,MATCH(Pipe!H738,Originadores!D:D,0))</f>
        <v>#N/A</v>
      </c>
      <c r="J738" t="s">
        <v>2873</v>
      </c>
      <c r="N738" s="66" t="s">
        <v>1</v>
      </c>
      <c r="O738" s="162">
        <v>46141</v>
      </c>
      <c r="P738" t="s">
        <v>2874</v>
      </c>
    </row>
    <row r="739" spans="3:16" ht="43.2" hidden="1">
      <c r="C739" s="25">
        <f t="shared" si="28"/>
        <v>731</v>
      </c>
      <c r="D739" s="25" t="s">
        <v>204</v>
      </c>
      <c r="E739" s="25" t="s">
        <v>2875</v>
      </c>
      <c r="F739" s="33">
        <v>46147</v>
      </c>
      <c r="G739" s="233">
        <f t="shared" si="27"/>
        <v>2026</v>
      </c>
      <c r="H739" s="25" t="s">
        <v>2893</v>
      </c>
      <c r="I739" s="25" t="str">
        <f>INDEX(Originadores!E:E,MATCH(Pipe!H739,Originadores!D:D,0))</f>
        <v>Banco</v>
      </c>
      <c r="J739" s="2" t="s">
        <v>2892</v>
      </c>
      <c r="K739" s="2" t="s">
        <v>2961</v>
      </c>
      <c r="N739" s="71" t="s">
        <v>4</v>
      </c>
    </row>
    <row r="740" spans="3:16" hidden="1">
      <c r="C740" s="25">
        <f t="shared" si="28"/>
        <v>732</v>
      </c>
      <c r="D740" s="25" t="s">
        <v>329</v>
      </c>
      <c r="E740" s="25" t="s">
        <v>2876</v>
      </c>
      <c r="F740" s="31">
        <v>46147</v>
      </c>
      <c r="G740" s="233">
        <f t="shared" si="27"/>
        <v>2026</v>
      </c>
      <c r="H740" s="225" t="s">
        <v>2877</v>
      </c>
      <c r="N740" s="66" t="s">
        <v>1</v>
      </c>
      <c r="O740" s="31">
        <v>46148</v>
      </c>
      <c r="P740" t="s">
        <v>2894</v>
      </c>
    </row>
    <row r="741" spans="3:16" ht="28.8" hidden="1">
      <c r="C741" s="25">
        <f t="shared" si="28"/>
        <v>733</v>
      </c>
      <c r="D741" s="25" t="s">
        <v>270</v>
      </c>
      <c r="E741" s="25" t="s">
        <v>2878</v>
      </c>
      <c r="F741" s="33">
        <v>46147</v>
      </c>
      <c r="G741" s="233">
        <f t="shared" si="27"/>
        <v>2026</v>
      </c>
      <c r="H741" s="25" t="s">
        <v>76</v>
      </c>
      <c r="I741" s="25" t="str">
        <f>INDEX(Originadores!E:E,MATCH(Pipe!H741,Originadores!D:D,0))</f>
        <v>Consultoria</v>
      </c>
      <c r="N741" s="66" t="s">
        <v>1</v>
      </c>
      <c r="O741" s="33">
        <v>46148</v>
      </c>
      <c r="P741" s="1" t="s">
        <v>2879</v>
      </c>
    </row>
    <row r="742" spans="3:16" hidden="1">
      <c r="C742" s="25">
        <f t="shared" si="28"/>
        <v>734</v>
      </c>
      <c r="D742" s="25" t="s">
        <v>1045</v>
      </c>
      <c r="E742" s="25" t="s">
        <v>2880</v>
      </c>
      <c r="F742" s="33">
        <v>46147</v>
      </c>
      <c r="G742" s="233">
        <f t="shared" si="27"/>
        <v>2026</v>
      </c>
      <c r="H742" s="25" t="s">
        <v>76</v>
      </c>
      <c r="I742" s="25" t="str">
        <f>INDEX(Originadores!E:E,MATCH(Pipe!H742,Originadores!D:D,0))</f>
        <v>Consultoria</v>
      </c>
      <c r="K742" t="s">
        <v>2895</v>
      </c>
      <c r="N742" s="66" t="s">
        <v>1</v>
      </c>
      <c r="O742" s="33">
        <v>46167</v>
      </c>
      <c r="P742" t="s">
        <v>2939</v>
      </c>
    </row>
    <row r="743" spans="3:16" hidden="1">
      <c r="C743" s="25">
        <f t="shared" si="28"/>
        <v>735</v>
      </c>
      <c r="D743" s="25" t="s">
        <v>204</v>
      </c>
      <c r="E743" s="25" t="s">
        <v>2881</v>
      </c>
      <c r="F743" s="33">
        <v>46147</v>
      </c>
      <c r="G743" s="233">
        <f t="shared" si="27"/>
        <v>2026</v>
      </c>
      <c r="H743" s="24" t="s">
        <v>206</v>
      </c>
      <c r="I743" s="25" t="str">
        <f>INDEX(Originadores!E:E,MATCH(Pipe!H743,Originadores!D:D,0))</f>
        <v>Banco</v>
      </c>
      <c r="N743" s="66" t="s">
        <v>1</v>
      </c>
      <c r="O743" s="33">
        <v>46167</v>
      </c>
      <c r="P743" t="s">
        <v>2940</v>
      </c>
    </row>
    <row r="744" spans="3:16" hidden="1">
      <c r="C744" s="25">
        <f t="shared" si="28"/>
        <v>736</v>
      </c>
      <c r="D744" s="25" t="s">
        <v>329</v>
      </c>
      <c r="E744" s="25" t="s">
        <v>2882</v>
      </c>
      <c r="F744" s="33">
        <v>46147</v>
      </c>
      <c r="G744" s="233">
        <f t="shared" ref="G744:G807" si="29">+YEAR(F744)</f>
        <v>2026</v>
      </c>
      <c r="H744" s="24" t="s">
        <v>2579</v>
      </c>
      <c r="I744" s="25" t="str">
        <f>INDEX(Originadores!E:E,MATCH(Pipe!H744,Originadores!D:D,0))</f>
        <v>Broker</v>
      </c>
      <c r="N744" s="66" t="s">
        <v>1</v>
      </c>
      <c r="O744" s="64">
        <v>46169</v>
      </c>
      <c r="P744" t="s">
        <v>2957</v>
      </c>
    </row>
    <row r="745" spans="3:16" hidden="1">
      <c r="C745" s="25">
        <f t="shared" si="28"/>
        <v>737</v>
      </c>
      <c r="D745" s="25" t="s">
        <v>204</v>
      </c>
      <c r="E745" s="25" t="s">
        <v>2896</v>
      </c>
      <c r="F745" s="33">
        <v>46147</v>
      </c>
      <c r="G745" s="233">
        <f t="shared" si="29"/>
        <v>2026</v>
      </c>
      <c r="I745" s="25" t="e">
        <f>INDEX(Originadores!E:E,MATCH(Pipe!H745,Originadores!D:D,0))</f>
        <v>#N/A</v>
      </c>
      <c r="N745" s="66" t="s">
        <v>1</v>
      </c>
      <c r="O745" s="33">
        <v>46167</v>
      </c>
    </row>
    <row r="746" spans="3:16" hidden="1">
      <c r="C746" s="25">
        <f t="shared" si="28"/>
        <v>738</v>
      </c>
      <c r="D746" s="25" t="s">
        <v>2720</v>
      </c>
      <c r="E746" s="25" t="s">
        <v>2897</v>
      </c>
      <c r="F746" s="33">
        <v>46147</v>
      </c>
      <c r="G746" s="233">
        <f t="shared" si="29"/>
        <v>2026</v>
      </c>
      <c r="H746" s="24" t="s">
        <v>76</v>
      </c>
      <c r="I746" s="25" t="str">
        <f>INDEX(Originadores!E:E,MATCH(Pipe!H746,Originadores!D:D,0))</f>
        <v>Consultoria</v>
      </c>
      <c r="K746" t="s">
        <v>2883</v>
      </c>
      <c r="N746" s="66" t="s">
        <v>1</v>
      </c>
      <c r="O746" s="33">
        <v>46167</v>
      </c>
    </row>
    <row r="747" spans="3:16" hidden="1">
      <c r="C747" s="25">
        <f t="shared" si="28"/>
        <v>739</v>
      </c>
      <c r="D747" s="25" t="s">
        <v>270</v>
      </c>
      <c r="E747" s="25" t="s">
        <v>2898</v>
      </c>
      <c r="F747" s="33">
        <v>46161</v>
      </c>
      <c r="G747" s="233">
        <f t="shared" si="29"/>
        <v>2026</v>
      </c>
      <c r="H747" s="24" t="s">
        <v>2665</v>
      </c>
      <c r="I747" s="25" t="str">
        <f>INDEX(Originadores!E:E,MATCH(Pipe!H747,Originadores!D:D,0))</f>
        <v>Broker</v>
      </c>
      <c r="J747" s="53" t="s">
        <v>2899</v>
      </c>
      <c r="K747" t="s">
        <v>2900</v>
      </c>
      <c r="N747" s="66" t="s">
        <v>1</v>
      </c>
      <c r="O747" s="64">
        <v>46169</v>
      </c>
      <c r="P747" t="s">
        <v>2962</v>
      </c>
    </row>
    <row r="748" spans="3:16" hidden="1">
      <c r="C748" s="25">
        <f t="shared" si="28"/>
        <v>740</v>
      </c>
      <c r="D748" s="226" t="s">
        <v>2901</v>
      </c>
      <c r="E748" s="226" t="s">
        <v>2902</v>
      </c>
      <c r="F748" s="33">
        <v>46161</v>
      </c>
      <c r="G748" s="233">
        <f t="shared" si="29"/>
        <v>2026</v>
      </c>
      <c r="H748" s="228" t="s">
        <v>1409</v>
      </c>
      <c r="I748" s="25" t="str">
        <f>INDEX(Originadores!E:E,MATCH(Pipe!H748,Originadores!D:D,0))</f>
        <v>Advogado</v>
      </c>
      <c r="J748" s="227"/>
      <c r="L748" s="227"/>
      <c r="M748" s="227"/>
      <c r="N748" s="66" t="s">
        <v>1</v>
      </c>
      <c r="O748" s="33">
        <v>46167</v>
      </c>
      <c r="P748" t="s">
        <v>2942</v>
      </c>
    </row>
    <row r="749" spans="3:16" hidden="1">
      <c r="C749" s="25">
        <f t="shared" si="28"/>
        <v>741</v>
      </c>
      <c r="D749" s="226" t="s">
        <v>2905</v>
      </c>
      <c r="E749" s="226" t="s">
        <v>2903</v>
      </c>
      <c r="F749" s="33">
        <v>46161</v>
      </c>
      <c r="G749" s="233">
        <f t="shared" si="29"/>
        <v>2026</v>
      </c>
      <c r="H749" s="228" t="s">
        <v>2904</v>
      </c>
      <c r="I749" s="25" t="e">
        <f>INDEX(Originadores!E:E,MATCH(Pipe!H749,Originadores!D:D,0))</f>
        <v>#N/A</v>
      </c>
      <c r="J749" s="227"/>
      <c r="K749" s="227"/>
      <c r="L749" s="227"/>
      <c r="M749" s="227"/>
      <c r="N749" s="66" t="s">
        <v>1</v>
      </c>
      <c r="O749" s="33">
        <v>46167</v>
      </c>
      <c r="P749" t="s">
        <v>2941</v>
      </c>
    </row>
    <row r="750" spans="3:16" ht="28.8" hidden="1">
      <c r="C750" s="25">
        <f t="shared" si="28"/>
        <v>742</v>
      </c>
      <c r="D750" s="25" t="s">
        <v>20</v>
      </c>
      <c r="E750" s="25" t="s">
        <v>2906</v>
      </c>
      <c r="F750" s="33">
        <v>46161</v>
      </c>
      <c r="G750" s="233">
        <f t="shared" si="29"/>
        <v>2026</v>
      </c>
      <c r="H750" s="25" t="s">
        <v>2907</v>
      </c>
      <c r="I750" s="25" t="str">
        <f>INDEX(Originadores!E:E,MATCH(Pipe!H750,Originadores!D:D,0))</f>
        <v>Empresário / Executivo</v>
      </c>
      <c r="K750" s="1" t="s">
        <v>3110</v>
      </c>
      <c r="N750" s="66" t="s">
        <v>1</v>
      </c>
    </row>
    <row r="751" spans="3:16" ht="43.2" hidden="1">
      <c r="C751" s="25">
        <f t="shared" si="28"/>
        <v>743</v>
      </c>
      <c r="D751" s="226" t="s">
        <v>204</v>
      </c>
      <c r="E751" s="226" t="s">
        <v>2911</v>
      </c>
      <c r="F751" s="33">
        <v>46161</v>
      </c>
      <c r="G751" s="233">
        <f t="shared" si="29"/>
        <v>2026</v>
      </c>
      <c r="H751" s="25" t="s">
        <v>2912</v>
      </c>
      <c r="I751" s="25" t="e">
        <f>INDEX(Originadores!E:E,MATCH(Pipe!H751,Originadores!D:D,0))</f>
        <v>#N/A</v>
      </c>
      <c r="K751" s="1" t="s">
        <v>2944</v>
      </c>
      <c r="N751" s="66" t="s">
        <v>1</v>
      </c>
      <c r="O751" s="33">
        <v>46167</v>
      </c>
      <c r="P751" s="26" t="s">
        <v>2943</v>
      </c>
    </row>
    <row r="752" spans="3:16" hidden="1">
      <c r="C752" s="25">
        <f t="shared" si="28"/>
        <v>744</v>
      </c>
      <c r="D752" s="25" t="s">
        <v>270</v>
      </c>
      <c r="E752" s="25" t="s">
        <v>2917</v>
      </c>
      <c r="F752" s="33">
        <v>46161</v>
      </c>
      <c r="G752" s="233">
        <f t="shared" si="29"/>
        <v>2026</v>
      </c>
      <c r="H752" s="24" t="s">
        <v>2800</v>
      </c>
      <c r="I752" s="25" t="str">
        <f>INDEX(Originadores!E:E,MATCH(Pipe!H752,Originadores!D:D,0))</f>
        <v>Broker</v>
      </c>
      <c r="K752" t="s">
        <v>2945</v>
      </c>
      <c r="N752" s="66" t="s">
        <v>1</v>
      </c>
      <c r="O752" s="64">
        <v>46169</v>
      </c>
    </row>
    <row r="753" spans="3:16" hidden="1">
      <c r="C753" s="25">
        <f t="shared" si="28"/>
        <v>745</v>
      </c>
      <c r="D753" s="25" t="s">
        <v>204</v>
      </c>
      <c r="E753" s="25" t="s">
        <v>2915</v>
      </c>
      <c r="F753" s="33">
        <v>46161</v>
      </c>
      <c r="G753" s="233">
        <f t="shared" si="29"/>
        <v>2026</v>
      </c>
      <c r="H753" s="24" t="s">
        <v>206</v>
      </c>
      <c r="I753" s="25" t="str">
        <f>INDEX(Originadores!E:E,MATCH(Pipe!H753,Originadores!D:D,0))</f>
        <v>Banco</v>
      </c>
      <c r="K753" t="s">
        <v>2946</v>
      </c>
      <c r="N753" s="134" t="s">
        <v>3</v>
      </c>
    </row>
    <row r="754" spans="3:16" ht="43.2" hidden="1">
      <c r="C754" s="25">
        <f t="shared" si="28"/>
        <v>746</v>
      </c>
      <c r="D754" s="25" t="s">
        <v>270</v>
      </c>
      <c r="E754" s="25" t="s">
        <v>2916</v>
      </c>
      <c r="F754" s="33">
        <v>46161</v>
      </c>
      <c r="G754" s="233">
        <f t="shared" si="29"/>
        <v>2026</v>
      </c>
      <c r="H754" s="25" t="s">
        <v>2919</v>
      </c>
      <c r="I754" s="25" t="e">
        <f>INDEX(Originadores!E:E,MATCH(Pipe!H754,Originadores!D:D,0))</f>
        <v>#N/A</v>
      </c>
      <c r="K754" s="1" t="s">
        <v>3111</v>
      </c>
      <c r="N754" s="66" t="s">
        <v>1</v>
      </c>
      <c r="O754" s="33">
        <v>46238</v>
      </c>
      <c r="P754" s="26" t="s">
        <v>3169</v>
      </c>
    </row>
    <row r="755" spans="3:16" hidden="1">
      <c r="C755" s="25">
        <f t="shared" si="28"/>
        <v>747</v>
      </c>
      <c r="D755" s="25" t="s">
        <v>2921</v>
      </c>
      <c r="E755" s="25" t="s">
        <v>2918</v>
      </c>
      <c r="F755" s="33">
        <v>46161</v>
      </c>
      <c r="G755" s="233">
        <f t="shared" si="29"/>
        <v>2026</v>
      </c>
      <c r="H755" s="24" t="s">
        <v>200</v>
      </c>
      <c r="I755" s="25" t="str">
        <f>INDEX(Originadores!E:E,MATCH(Pipe!H755,Originadores!D:D,0))</f>
        <v>Advogado</v>
      </c>
      <c r="N755" s="66" t="s">
        <v>1</v>
      </c>
      <c r="O755" s="64">
        <v>46169</v>
      </c>
      <c r="P755" t="s">
        <v>2963</v>
      </c>
    </row>
    <row r="756" spans="3:16" hidden="1">
      <c r="C756" s="25">
        <f t="shared" si="28"/>
        <v>748</v>
      </c>
      <c r="D756" s="25" t="s">
        <v>2921</v>
      </c>
      <c r="E756" s="25" t="s">
        <v>2920</v>
      </c>
      <c r="F756" s="33">
        <v>46161</v>
      </c>
      <c r="G756" s="233">
        <f t="shared" si="29"/>
        <v>2026</v>
      </c>
      <c r="H756" s="24" t="s">
        <v>1637</v>
      </c>
      <c r="I756" s="25" t="str">
        <f>INDEX(Originadores!E:E,MATCH(Pipe!H756,Originadores!D:D,0))</f>
        <v>Broker</v>
      </c>
      <c r="J756" s="229"/>
      <c r="N756" s="66" t="s">
        <v>1</v>
      </c>
      <c r="O756" s="64">
        <v>46169</v>
      </c>
      <c r="P756" t="s">
        <v>2964</v>
      </c>
    </row>
    <row r="757" spans="3:16" hidden="1">
      <c r="C757" s="25">
        <f t="shared" si="28"/>
        <v>749</v>
      </c>
      <c r="D757" s="25" t="s">
        <v>270</v>
      </c>
      <c r="E757" s="25" t="s">
        <v>2922</v>
      </c>
      <c r="F757" s="33">
        <v>46161</v>
      </c>
      <c r="G757" s="233">
        <f t="shared" si="29"/>
        <v>2026</v>
      </c>
      <c r="H757" s="24" t="s">
        <v>1637</v>
      </c>
      <c r="I757" s="25" t="str">
        <f>INDEX(Originadores!E:E,MATCH(Pipe!H757,Originadores!D:D,0))</f>
        <v>Broker</v>
      </c>
      <c r="J757" s="229"/>
      <c r="N757" s="66" t="s">
        <v>1</v>
      </c>
      <c r="O757" s="31">
        <v>46184</v>
      </c>
      <c r="P757" t="s">
        <v>2977</v>
      </c>
    </row>
    <row r="758" spans="3:16" ht="28.8" hidden="1">
      <c r="C758" s="25">
        <f t="shared" ref="C758:C911" si="30">+C757+1</f>
        <v>750</v>
      </c>
      <c r="D758" s="25" t="s">
        <v>2921</v>
      </c>
      <c r="E758" s="25" t="s">
        <v>2924</v>
      </c>
      <c r="F758" s="33">
        <v>46161</v>
      </c>
      <c r="G758" s="233">
        <f t="shared" si="29"/>
        <v>2026</v>
      </c>
      <c r="H758" s="25" t="s">
        <v>1637</v>
      </c>
      <c r="I758" s="25" t="str">
        <f>INDEX(Originadores!E:E,MATCH(Pipe!H758,Originadores!D:D,0))</f>
        <v>Broker</v>
      </c>
      <c r="J758" s="234" t="s">
        <v>2979</v>
      </c>
      <c r="K758" s="26" t="s">
        <v>2980</v>
      </c>
      <c r="N758" s="66" t="s">
        <v>1</v>
      </c>
      <c r="O758" s="33">
        <v>46184</v>
      </c>
      <c r="P758" s="26" t="s">
        <v>2981</v>
      </c>
    </row>
    <row r="759" spans="3:16" hidden="1">
      <c r="C759" s="25">
        <f t="shared" si="30"/>
        <v>751</v>
      </c>
      <c r="D759" s="25" t="s">
        <v>270</v>
      </c>
      <c r="E759" s="25" t="s">
        <v>2923</v>
      </c>
      <c r="F759" s="33">
        <v>46161</v>
      </c>
      <c r="G759" s="233">
        <f t="shared" si="29"/>
        <v>2026</v>
      </c>
      <c r="H759" s="24" t="s">
        <v>1637</v>
      </c>
      <c r="I759" s="25" t="str">
        <f>INDEX(Originadores!E:E,MATCH(Pipe!H759,Originadores!D:D,0))</f>
        <v>Broker</v>
      </c>
      <c r="N759" s="66" t="s">
        <v>1</v>
      </c>
      <c r="O759" s="33">
        <v>46184</v>
      </c>
    </row>
    <row r="760" spans="3:16" hidden="1">
      <c r="C760" s="25">
        <f t="shared" si="30"/>
        <v>752</v>
      </c>
      <c r="D760" s="25" t="s">
        <v>270</v>
      </c>
      <c r="E760" s="25" t="s">
        <v>2925</v>
      </c>
      <c r="F760" s="33">
        <v>46161</v>
      </c>
      <c r="G760" s="233">
        <f t="shared" si="29"/>
        <v>2026</v>
      </c>
      <c r="H760" s="24" t="s">
        <v>1637</v>
      </c>
      <c r="I760" s="25" t="str">
        <f>INDEX(Originadores!E:E,MATCH(Pipe!H760,Originadores!D:D,0))</f>
        <v>Broker</v>
      </c>
      <c r="N760" s="66" t="s">
        <v>1</v>
      </c>
      <c r="O760" s="31">
        <v>46184</v>
      </c>
      <c r="P760" t="s">
        <v>2978</v>
      </c>
    </row>
    <row r="761" spans="3:16" hidden="1">
      <c r="C761" s="25">
        <f t="shared" si="30"/>
        <v>753</v>
      </c>
      <c r="D761" s="25" t="s">
        <v>2921</v>
      </c>
      <c r="E761" s="25" t="s">
        <v>2926</v>
      </c>
      <c r="F761" s="33">
        <v>46161</v>
      </c>
      <c r="G761" s="233">
        <f t="shared" si="29"/>
        <v>2026</v>
      </c>
      <c r="H761" s="24" t="s">
        <v>1637</v>
      </c>
      <c r="I761" s="25" t="str">
        <f>INDEX(Originadores!E:E,MATCH(Pipe!H761,Originadores!D:D,0))</f>
        <v>Broker</v>
      </c>
      <c r="K761" t="s">
        <v>2986</v>
      </c>
      <c r="N761" s="66" t="s">
        <v>1</v>
      </c>
      <c r="O761" s="162">
        <v>46190</v>
      </c>
      <c r="P761" t="s">
        <v>2998</v>
      </c>
    </row>
    <row r="762" spans="3:16" hidden="1">
      <c r="C762" s="25">
        <f t="shared" si="30"/>
        <v>754</v>
      </c>
      <c r="D762" s="25" t="s">
        <v>1045</v>
      </c>
      <c r="E762" s="25" t="s">
        <v>2932</v>
      </c>
      <c r="F762" s="31">
        <v>46167</v>
      </c>
      <c r="G762" s="233">
        <f t="shared" si="29"/>
        <v>2026</v>
      </c>
      <c r="H762" s="24" t="s">
        <v>2573</v>
      </c>
      <c r="I762" s="25" t="str">
        <f>INDEX(Originadores!E:E,MATCH(Pipe!H762,Originadores!D:D,0))</f>
        <v>Consultoria</v>
      </c>
      <c r="N762" s="66" t="s">
        <v>1</v>
      </c>
      <c r="O762" s="31">
        <v>46203</v>
      </c>
      <c r="P762" t="s">
        <v>3017</v>
      </c>
    </row>
    <row r="763" spans="3:16" hidden="1">
      <c r="C763" s="25">
        <f t="shared" si="30"/>
        <v>755</v>
      </c>
      <c r="D763" s="25" t="s">
        <v>329</v>
      </c>
      <c r="E763" s="25" t="s">
        <v>2947</v>
      </c>
      <c r="F763" s="33">
        <v>46161</v>
      </c>
      <c r="G763" s="233">
        <f t="shared" si="29"/>
        <v>2026</v>
      </c>
      <c r="H763" s="24" t="s">
        <v>2948</v>
      </c>
      <c r="I763" s="25" t="str">
        <f>INDEX(Originadores!E:E,MATCH(Pipe!H763,Originadores!D:D,0))</f>
        <v>Banco</v>
      </c>
      <c r="N763" s="66" t="s">
        <v>1</v>
      </c>
    </row>
    <row r="764" spans="3:16" hidden="1">
      <c r="C764" s="25">
        <f t="shared" si="30"/>
        <v>756</v>
      </c>
      <c r="D764" s="25" t="s">
        <v>270</v>
      </c>
      <c r="E764" s="25" t="s">
        <v>2949</v>
      </c>
      <c r="F764" s="33">
        <v>46168</v>
      </c>
      <c r="G764" s="233">
        <f t="shared" si="29"/>
        <v>2026</v>
      </c>
      <c r="H764" s="24" t="s">
        <v>2950</v>
      </c>
      <c r="I764" s="25" t="str">
        <f>INDEX(Originadores!E:E,MATCH(Pipe!H764,Originadores!D:D,0))</f>
        <v>Broker</v>
      </c>
      <c r="K764" t="s">
        <v>2983</v>
      </c>
      <c r="N764" s="66" t="s">
        <v>1</v>
      </c>
      <c r="O764" s="162">
        <v>46190</v>
      </c>
      <c r="P764" t="s">
        <v>2999</v>
      </c>
    </row>
    <row r="765" spans="3:16" hidden="1">
      <c r="C765" s="25">
        <f t="shared" si="30"/>
        <v>757</v>
      </c>
      <c r="D765" s="25" t="s">
        <v>2804</v>
      </c>
      <c r="E765" s="25" t="s">
        <v>2951</v>
      </c>
      <c r="F765" s="33">
        <v>46168</v>
      </c>
      <c r="G765" s="233">
        <f t="shared" si="29"/>
        <v>2026</v>
      </c>
      <c r="H765" s="24" t="s">
        <v>2800</v>
      </c>
      <c r="I765" s="25" t="str">
        <f>INDEX(Originadores!E:E,MATCH(Pipe!H765,Originadores!D:D,0))</f>
        <v>Broker</v>
      </c>
      <c r="N765" s="66" t="s">
        <v>1</v>
      </c>
      <c r="O765" s="162">
        <v>46169</v>
      </c>
      <c r="P765" t="s">
        <v>2952</v>
      </c>
    </row>
    <row r="766" spans="3:16" ht="43.2" hidden="1">
      <c r="C766" s="25">
        <f t="shared" si="30"/>
        <v>758</v>
      </c>
      <c r="D766" s="25" t="s">
        <v>807</v>
      </c>
      <c r="E766" s="25" t="s">
        <v>2953</v>
      </c>
      <c r="F766" s="33">
        <v>46168</v>
      </c>
      <c r="G766" s="233">
        <f t="shared" si="29"/>
        <v>2026</v>
      </c>
      <c r="H766" s="25" t="s">
        <v>2814</v>
      </c>
      <c r="I766" s="25" t="str">
        <f>INDEX(Originadores!E:E,MATCH(Pipe!H766,Originadores!D:D,0))</f>
        <v>Broker</v>
      </c>
      <c r="J766" s="1" t="s">
        <v>2954</v>
      </c>
      <c r="K766" s="1"/>
      <c r="N766" s="66" t="s">
        <v>1</v>
      </c>
      <c r="O766" s="33">
        <v>46184</v>
      </c>
      <c r="P766" s="26" t="s">
        <v>2984</v>
      </c>
    </row>
    <row r="767" spans="3:16" hidden="1">
      <c r="C767" s="25">
        <f t="shared" si="30"/>
        <v>759</v>
      </c>
      <c r="D767" s="25" t="s">
        <v>320</v>
      </c>
      <c r="E767" s="25" t="s">
        <v>2955</v>
      </c>
      <c r="F767" s="33">
        <v>46168</v>
      </c>
      <c r="G767" s="233">
        <f t="shared" si="29"/>
        <v>2026</v>
      </c>
      <c r="H767" s="24" t="s">
        <v>76</v>
      </c>
      <c r="I767" s="25" t="str">
        <f>INDEX(Originadores!E:E,MATCH(Pipe!H767,Originadores!D:D,0))</f>
        <v>Consultoria</v>
      </c>
      <c r="N767" s="66" t="s">
        <v>1</v>
      </c>
      <c r="O767" s="162">
        <v>46169</v>
      </c>
      <c r="P767" t="s">
        <v>2958</v>
      </c>
    </row>
    <row r="768" spans="3:16" ht="57.6" hidden="1">
      <c r="C768" s="25">
        <f t="shared" si="30"/>
        <v>760</v>
      </c>
      <c r="D768" s="25" t="s">
        <v>2473</v>
      </c>
      <c r="E768" s="3" t="s">
        <v>3019</v>
      </c>
      <c r="F768" s="33">
        <v>46168</v>
      </c>
      <c r="G768" s="233">
        <f t="shared" si="29"/>
        <v>2026</v>
      </c>
      <c r="H768" s="25" t="s">
        <v>2965</v>
      </c>
      <c r="I768" s="25" t="e">
        <f>INDEX(Originadores!E:E,MATCH(Pipe!H768,Originadores!D:D,0))</f>
        <v>#N/A</v>
      </c>
      <c r="J768" s="26" t="s">
        <v>3000</v>
      </c>
      <c r="K768" s="2" t="s">
        <v>3068</v>
      </c>
      <c r="N768" s="66" t="s">
        <v>1</v>
      </c>
      <c r="O768" s="33">
        <v>46223</v>
      </c>
    </row>
    <row r="769" spans="3:16" hidden="1">
      <c r="C769" s="25">
        <f t="shared" si="30"/>
        <v>761</v>
      </c>
      <c r="D769" s="25" t="s">
        <v>2804</v>
      </c>
      <c r="E769" s="25" t="s">
        <v>2966</v>
      </c>
      <c r="F769" s="33">
        <v>46175</v>
      </c>
      <c r="G769" s="233">
        <f t="shared" si="29"/>
        <v>2026</v>
      </c>
      <c r="H769" s="24" t="s">
        <v>994</v>
      </c>
      <c r="I769" s="25" t="str">
        <f>INDEX(Originadores!E:E,MATCH(Pipe!H769,Originadores!D:D,0))</f>
        <v>Broker</v>
      </c>
      <c r="N769" s="66" t="s">
        <v>1</v>
      </c>
      <c r="O769" s="33">
        <v>46184</v>
      </c>
      <c r="P769" t="s">
        <v>2985</v>
      </c>
    </row>
    <row r="770" spans="3:16" hidden="1">
      <c r="C770" s="25">
        <f t="shared" si="30"/>
        <v>762</v>
      </c>
      <c r="D770" s="25" t="s">
        <v>1563</v>
      </c>
      <c r="E770" s="25" t="s">
        <v>2967</v>
      </c>
      <c r="F770" s="33">
        <v>46178</v>
      </c>
      <c r="G770" s="233">
        <f t="shared" si="29"/>
        <v>2026</v>
      </c>
      <c r="H770" s="25" t="s">
        <v>2968</v>
      </c>
      <c r="I770" s="25" t="str">
        <f>INDEX(Originadores!E:E,MATCH(Pipe!H770,Originadores!D:D,0))</f>
        <v>Broker</v>
      </c>
      <c r="J770" s="2" t="s">
        <v>2969</v>
      </c>
      <c r="N770" s="66" t="s">
        <v>1</v>
      </c>
      <c r="O770" s="33">
        <v>46184</v>
      </c>
      <c r="P770" s="26" t="s">
        <v>2987</v>
      </c>
    </row>
    <row r="771" spans="3:16" ht="43.2" hidden="1">
      <c r="C771" s="25">
        <f t="shared" si="30"/>
        <v>763</v>
      </c>
      <c r="D771" s="25" t="s">
        <v>807</v>
      </c>
      <c r="E771" s="25" t="s">
        <v>2970</v>
      </c>
      <c r="F771" s="33">
        <v>46178</v>
      </c>
      <c r="G771" s="233">
        <f t="shared" si="29"/>
        <v>2026</v>
      </c>
      <c r="H771" s="25" t="s">
        <v>2971</v>
      </c>
      <c r="I771" s="25" t="str">
        <f>INDEX(Originadores!E:E,MATCH(Pipe!H771,Originadores!D:D,0))</f>
        <v>Advogado</v>
      </c>
      <c r="J771" s="1" t="s">
        <v>2972</v>
      </c>
      <c r="K771" s="26" t="s">
        <v>2989</v>
      </c>
      <c r="N771" s="66" t="s">
        <v>1</v>
      </c>
      <c r="O771" s="162">
        <v>46190</v>
      </c>
      <c r="P771" t="s">
        <v>3001</v>
      </c>
    </row>
    <row r="772" spans="3:16" ht="28.8" hidden="1">
      <c r="C772" s="25">
        <f t="shared" si="30"/>
        <v>764</v>
      </c>
      <c r="D772" s="25" t="s">
        <v>270</v>
      </c>
      <c r="E772" s="25" t="s">
        <v>2973</v>
      </c>
      <c r="F772" s="33">
        <v>46183</v>
      </c>
      <c r="G772" s="233">
        <f t="shared" si="29"/>
        <v>2026</v>
      </c>
      <c r="H772" s="25" t="s">
        <v>2974</v>
      </c>
      <c r="I772" s="25" t="str">
        <f>INDEX(Originadores!E:E,MATCH(Pipe!H772,Originadores!D:D,0))</f>
        <v>Advogado</v>
      </c>
      <c r="J772" s="1" t="s">
        <v>2975</v>
      </c>
      <c r="N772" s="66" t="s">
        <v>1</v>
      </c>
      <c r="O772" s="162">
        <v>46190</v>
      </c>
      <c r="P772" t="s">
        <v>3002</v>
      </c>
    </row>
    <row r="773" spans="3:16" hidden="1">
      <c r="C773" s="25">
        <f t="shared" si="30"/>
        <v>765</v>
      </c>
      <c r="D773" s="25" t="s">
        <v>270</v>
      </c>
      <c r="E773" s="25" t="s">
        <v>2988</v>
      </c>
      <c r="F773" s="33">
        <v>46183</v>
      </c>
      <c r="G773" s="233">
        <f t="shared" si="29"/>
        <v>2026</v>
      </c>
      <c r="H773" s="25" t="s">
        <v>2665</v>
      </c>
      <c r="I773" s="25" t="str">
        <f>INDEX(Originadores!E:E,MATCH(Pipe!H773,Originadores!D:D,0))</f>
        <v>Broker</v>
      </c>
      <c r="N773" s="66" t="s">
        <v>1</v>
      </c>
      <c r="O773" s="33">
        <v>46184</v>
      </c>
      <c r="P773" t="s">
        <v>2991</v>
      </c>
    </row>
    <row r="774" spans="3:16" ht="28.8" hidden="1">
      <c r="C774" s="25">
        <f t="shared" si="30"/>
        <v>766</v>
      </c>
      <c r="D774" s="25" t="s">
        <v>1045</v>
      </c>
      <c r="E774" s="25" t="s">
        <v>2982</v>
      </c>
      <c r="F774" s="33">
        <v>46183</v>
      </c>
      <c r="G774" s="233">
        <f t="shared" si="29"/>
        <v>2026</v>
      </c>
      <c r="H774" s="25" t="s">
        <v>871</v>
      </c>
      <c r="I774" s="25" t="str">
        <f>INDEX(Originadores!E:E,MATCH(Pipe!H774,Originadores!D:D,0))</f>
        <v>Asset</v>
      </c>
      <c r="K774" s="2" t="s">
        <v>3020</v>
      </c>
      <c r="N774" s="66" t="s">
        <v>1</v>
      </c>
      <c r="O774" s="33">
        <v>46223</v>
      </c>
      <c r="P774" s="26" t="s">
        <v>3097</v>
      </c>
    </row>
    <row r="775" spans="3:16" ht="28.8" hidden="1">
      <c r="C775" s="25">
        <f t="shared" si="30"/>
        <v>767</v>
      </c>
      <c r="E775" s="25" t="s">
        <v>2990</v>
      </c>
      <c r="F775" s="33">
        <v>46183</v>
      </c>
      <c r="G775" s="233">
        <f t="shared" si="29"/>
        <v>2026</v>
      </c>
      <c r="K775" s="1" t="s">
        <v>3098</v>
      </c>
      <c r="N775" s="134" t="s">
        <v>3</v>
      </c>
      <c r="O775" s="33">
        <v>46258</v>
      </c>
      <c r="P775" s="25" t="s">
        <v>3266</v>
      </c>
    </row>
    <row r="776" spans="3:16" ht="57.6" hidden="1">
      <c r="C776" s="25">
        <f t="shared" si="30"/>
        <v>768</v>
      </c>
      <c r="D776" s="25" t="s">
        <v>1045</v>
      </c>
      <c r="E776" s="235" t="s">
        <v>2992</v>
      </c>
      <c r="F776" s="33">
        <v>46185</v>
      </c>
      <c r="G776" s="233">
        <f t="shared" si="29"/>
        <v>2026</v>
      </c>
      <c r="H776" s="25" t="s">
        <v>1622</v>
      </c>
      <c r="I776" s="25" t="str">
        <f>INDEX(Originadores!E:E,MATCH(Pipe!H776,Originadores!D:D,0))</f>
        <v>Boutique</v>
      </c>
      <c r="J776" s="1" t="s">
        <v>2993</v>
      </c>
      <c r="K776" s="2" t="s">
        <v>3038</v>
      </c>
      <c r="N776" s="66" t="s">
        <v>1</v>
      </c>
      <c r="O776" s="33">
        <v>46230</v>
      </c>
      <c r="P776" s="26" t="s">
        <v>3112</v>
      </c>
    </row>
    <row r="777" spans="3:16" ht="28.8" hidden="1">
      <c r="C777" s="25">
        <f t="shared" si="30"/>
        <v>769</v>
      </c>
      <c r="D777" s="25" t="s">
        <v>1045</v>
      </c>
      <c r="E777" s="25" t="s">
        <v>3003</v>
      </c>
      <c r="F777" s="33">
        <v>46190</v>
      </c>
      <c r="G777" s="233">
        <f t="shared" si="29"/>
        <v>2026</v>
      </c>
      <c r="H777" s="25" t="s">
        <v>344</v>
      </c>
      <c r="I777" s="25" t="str">
        <f>INDEX(Originadores!E:E,MATCH(Pipe!H777,Originadores!D:D,0))</f>
        <v>Asset</v>
      </c>
      <c r="J777" s="1" t="s">
        <v>3004</v>
      </c>
      <c r="N777" s="66" t="s">
        <v>1</v>
      </c>
      <c r="O777" s="33">
        <v>46203</v>
      </c>
      <c r="P777" s="26" t="s">
        <v>3021</v>
      </c>
    </row>
    <row r="778" spans="3:16" hidden="1">
      <c r="C778" s="25">
        <f t="shared" si="30"/>
        <v>770</v>
      </c>
      <c r="D778" s="25" t="s">
        <v>270</v>
      </c>
      <c r="E778" s="25" t="s">
        <v>2994</v>
      </c>
      <c r="F778" s="31">
        <v>46190</v>
      </c>
      <c r="G778" s="233">
        <f t="shared" si="29"/>
        <v>2026</v>
      </c>
      <c r="H778" s="25" t="s">
        <v>2455</v>
      </c>
      <c r="I778" s="25" t="str">
        <f>INDEX(Originadores!E:E,MATCH(Pipe!H778,Originadores!D:D,0))</f>
        <v>Broker</v>
      </c>
      <c r="K778" t="s">
        <v>3005</v>
      </c>
      <c r="N778" s="66" t="s">
        <v>1</v>
      </c>
      <c r="O778" s="33">
        <v>46203</v>
      </c>
      <c r="P778" t="s">
        <v>3022</v>
      </c>
    </row>
    <row r="779" spans="3:16" hidden="1">
      <c r="C779" s="25">
        <f t="shared" si="30"/>
        <v>771</v>
      </c>
      <c r="D779" s="25" t="s">
        <v>1045</v>
      </c>
      <c r="E779" s="25" t="s">
        <v>2995</v>
      </c>
      <c r="F779" s="31">
        <v>46190</v>
      </c>
      <c r="G779" s="233">
        <f t="shared" si="29"/>
        <v>2026</v>
      </c>
      <c r="H779" s="25" t="s">
        <v>76</v>
      </c>
      <c r="I779" s="25" t="str">
        <f>INDEX(Originadores!E:E,MATCH(Pipe!H779,Originadores!D:D,0))</f>
        <v>Consultoria</v>
      </c>
      <c r="N779" s="66" t="s">
        <v>1</v>
      </c>
      <c r="O779" s="31">
        <v>46203</v>
      </c>
      <c r="P779" t="s">
        <v>3023</v>
      </c>
    </row>
    <row r="780" spans="3:16" ht="57.6">
      <c r="C780" s="25">
        <f t="shared" si="30"/>
        <v>772</v>
      </c>
      <c r="D780" s="25" t="s">
        <v>270</v>
      </c>
      <c r="E780" s="25" t="s">
        <v>3069</v>
      </c>
      <c r="F780" s="33">
        <v>46190</v>
      </c>
      <c r="G780" s="233">
        <f t="shared" si="29"/>
        <v>2026</v>
      </c>
      <c r="H780" s="25" t="s">
        <v>697</v>
      </c>
      <c r="I780" s="25" t="str">
        <f>INDEX(Originadores!E:E,MATCH(Pipe!H780,Originadores!D:D,0))</f>
        <v>Empresário / Executivo</v>
      </c>
      <c r="K780" s="1" t="s">
        <v>3292</v>
      </c>
      <c r="N780" s="72" t="s">
        <v>2</v>
      </c>
    </row>
    <row r="781" spans="3:16" ht="28.8" hidden="1">
      <c r="C781" s="25">
        <f t="shared" si="30"/>
        <v>773</v>
      </c>
      <c r="D781" s="25" t="s">
        <v>1045</v>
      </c>
      <c r="E781" s="25" t="s">
        <v>3006</v>
      </c>
      <c r="F781" s="33">
        <v>46198</v>
      </c>
      <c r="G781" s="233">
        <f t="shared" si="29"/>
        <v>2026</v>
      </c>
      <c r="H781" s="25" t="s">
        <v>3007</v>
      </c>
      <c r="J781" s="1" t="s">
        <v>3008</v>
      </c>
      <c r="K781" s="2" t="s">
        <v>3039</v>
      </c>
      <c r="N781" s="66" t="s">
        <v>1</v>
      </c>
      <c r="P781" s="1" t="s">
        <v>3067</v>
      </c>
    </row>
    <row r="782" spans="3:16" ht="43.2" hidden="1">
      <c r="C782" s="25">
        <f t="shared" si="30"/>
        <v>774</v>
      </c>
      <c r="D782" s="25" t="s">
        <v>1045</v>
      </c>
      <c r="E782" s="25" t="s">
        <v>3009</v>
      </c>
      <c r="F782" s="33">
        <v>46198</v>
      </c>
      <c r="G782" s="233">
        <f t="shared" si="29"/>
        <v>2026</v>
      </c>
      <c r="H782" s="25" t="s">
        <v>2432</v>
      </c>
      <c r="I782" s="25" t="str">
        <f>INDEX(Originadores!E:E,MATCH(Pipe!H782,Originadores!D:D,0))</f>
        <v>Asset</v>
      </c>
      <c r="J782" s="1" t="s">
        <v>3015</v>
      </c>
      <c r="N782" s="66" t="s">
        <v>1</v>
      </c>
    </row>
    <row r="783" spans="3:16" ht="57.6" hidden="1">
      <c r="C783" s="25">
        <f t="shared" si="30"/>
        <v>775</v>
      </c>
      <c r="D783" s="25" t="s">
        <v>1045</v>
      </c>
      <c r="E783" s="25" t="s">
        <v>3010</v>
      </c>
      <c r="F783" s="33">
        <v>46198</v>
      </c>
      <c r="G783" s="233">
        <f t="shared" si="29"/>
        <v>2026</v>
      </c>
      <c r="H783" s="25" t="s">
        <v>3011</v>
      </c>
      <c r="I783" s="25" t="str">
        <f>INDEX(Originadores!E:E,MATCH(Pipe!H783,Originadores!D:D,0))</f>
        <v>Advisor</v>
      </c>
      <c r="J783" s="1" t="s">
        <v>3012</v>
      </c>
      <c r="K783" s="2" t="s">
        <v>3240</v>
      </c>
      <c r="N783" s="71" t="s">
        <v>4</v>
      </c>
    </row>
    <row r="784" spans="3:16" ht="86.4" hidden="1">
      <c r="C784" s="25">
        <f t="shared" si="30"/>
        <v>776</v>
      </c>
      <c r="D784" s="25" t="s">
        <v>1045</v>
      </c>
      <c r="E784" s="25" t="s">
        <v>3013</v>
      </c>
      <c r="F784" s="33">
        <v>46198</v>
      </c>
      <c r="G784" s="233">
        <f t="shared" si="29"/>
        <v>2026</v>
      </c>
      <c r="H784" s="25" t="s">
        <v>76</v>
      </c>
      <c r="I784" s="25" t="str">
        <f>INDEX(Originadores!E:E,MATCH(Pipe!H784,Originadores!D:D,0))</f>
        <v>Consultoria</v>
      </c>
      <c r="J784" s="1" t="s">
        <v>3014</v>
      </c>
      <c r="K784" t="s">
        <v>3040</v>
      </c>
      <c r="N784" s="66" t="s">
        <v>1</v>
      </c>
      <c r="O784" s="33">
        <v>46223</v>
      </c>
      <c r="P784" s="26" t="s">
        <v>3099</v>
      </c>
    </row>
    <row r="785" spans="3:16" ht="57.6">
      <c r="C785" s="25">
        <f t="shared" si="30"/>
        <v>777</v>
      </c>
      <c r="D785" s="25" t="s">
        <v>270</v>
      </c>
      <c r="E785" s="25" t="s">
        <v>3016</v>
      </c>
      <c r="F785" s="33">
        <v>46198</v>
      </c>
      <c r="G785" s="233">
        <f t="shared" si="29"/>
        <v>2026</v>
      </c>
      <c r="H785" s="25" t="s">
        <v>188</v>
      </c>
      <c r="I785" s="25" t="str">
        <f>INDEX(Originadores!E:E,MATCH(Pipe!H785,Originadores!D:D,0))</f>
        <v>Empresário / Executivo</v>
      </c>
      <c r="K785" s="1" t="s">
        <v>3293</v>
      </c>
      <c r="N785" s="72" t="s">
        <v>2</v>
      </c>
    </row>
    <row r="786" spans="3:16" hidden="1">
      <c r="C786" s="25">
        <f t="shared" si="30"/>
        <v>778</v>
      </c>
      <c r="D786" s="25"/>
      <c r="E786" s="25" t="s">
        <v>3025</v>
      </c>
      <c r="F786" s="33">
        <v>46203</v>
      </c>
      <c r="G786" s="233">
        <f t="shared" si="29"/>
        <v>2026</v>
      </c>
      <c r="H786" s="25" t="s">
        <v>3024</v>
      </c>
      <c r="I786" s="25" t="str">
        <f>INDEX(Originadores!E:E,MATCH(Pipe!H786,Originadores!D:D,0))</f>
        <v>Boutique</v>
      </c>
      <c r="N786" s="66" t="s">
        <v>1</v>
      </c>
      <c r="O786" s="31">
        <v>46203</v>
      </c>
    </row>
    <row r="787" spans="3:16" ht="28.8" hidden="1">
      <c r="C787" s="25">
        <f t="shared" si="30"/>
        <v>779</v>
      </c>
      <c r="D787" s="25" t="s">
        <v>320</v>
      </c>
      <c r="E787" s="25" t="s">
        <v>3026</v>
      </c>
      <c r="F787" s="33">
        <v>46203</v>
      </c>
      <c r="G787" s="233">
        <f t="shared" si="29"/>
        <v>2026</v>
      </c>
      <c r="H787" s="25" t="s">
        <v>2677</v>
      </c>
      <c r="I787" s="25" t="str">
        <f>INDEX(Originadores!E:E,MATCH(Pipe!H787,Originadores!D:D,0))</f>
        <v>Gestora</v>
      </c>
      <c r="K787" s="1" t="s">
        <v>3041</v>
      </c>
      <c r="N787" s="66" t="s">
        <v>1</v>
      </c>
      <c r="O787" s="33">
        <v>46213</v>
      </c>
      <c r="P787" s="26" t="s">
        <v>3070</v>
      </c>
    </row>
    <row r="788" spans="3:16" hidden="1">
      <c r="C788" s="25">
        <f t="shared" si="30"/>
        <v>780</v>
      </c>
      <c r="D788" s="25" t="s">
        <v>304</v>
      </c>
      <c r="E788" s="25" t="s">
        <v>3027</v>
      </c>
      <c r="F788" s="33">
        <v>46203</v>
      </c>
      <c r="G788" s="233">
        <f t="shared" si="29"/>
        <v>2026</v>
      </c>
      <c r="H788" s="25" t="s">
        <v>442</v>
      </c>
      <c r="I788" s="25" t="str">
        <f>INDEX(Originadores!E:E,MATCH(Pipe!H788,Originadores!D:D,0))</f>
        <v>Broker</v>
      </c>
      <c r="K788" t="s">
        <v>3042</v>
      </c>
      <c r="N788" s="66" t="s">
        <v>1</v>
      </c>
      <c r="O788" s="33">
        <v>46223</v>
      </c>
      <c r="P788" t="s">
        <v>3101</v>
      </c>
    </row>
    <row r="789" spans="3:16" ht="28.8" hidden="1">
      <c r="C789" s="25">
        <f t="shared" si="30"/>
        <v>781</v>
      </c>
      <c r="D789" s="25" t="s">
        <v>304</v>
      </c>
      <c r="E789" s="25" t="s">
        <v>3028</v>
      </c>
      <c r="F789" s="33">
        <v>46203</v>
      </c>
      <c r="G789" s="233">
        <f t="shared" si="29"/>
        <v>2026</v>
      </c>
      <c r="H789" s="25" t="s">
        <v>76</v>
      </c>
      <c r="I789" s="25" t="str">
        <f>INDEX(Originadores!E:E,MATCH(Pipe!H789,Originadores!D:D,0))</f>
        <v>Consultoria</v>
      </c>
      <c r="K789" s="1" t="s">
        <v>3113</v>
      </c>
      <c r="N789" s="66" t="s">
        <v>1</v>
      </c>
      <c r="O789" s="33">
        <v>46245</v>
      </c>
      <c r="P789" s="26" t="s">
        <v>3196</v>
      </c>
    </row>
    <row r="790" spans="3:16" hidden="1">
      <c r="C790" s="25">
        <f t="shared" si="30"/>
        <v>782</v>
      </c>
      <c r="D790" s="25" t="s">
        <v>86</v>
      </c>
      <c r="E790" s="25" t="s">
        <v>2521</v>
      </c>
      <c r="F790" s="33">
        <v>46203</v>
      </c>
      <c r="G790" s="233">
        <f t="shared" si="29"/>
        <v>2026</v>
      </c>
      <c r="H790" s="25" t="s">
        <v>1637</v>
      </c>
      <c r="I790" s="25" t="str">
        <f>INDEX(Originadores!E:E,MATCH(Pipe!H790,Originadores!D:D,0))</f>
        <v>Broker</v>
      </c>
      <c r="K790" t="s">
        <v>3043</v>
      </c>
      <c r="N790" s="66" t="s">
        <v>1</v>
      </c>
      <c r="O790" s="31">
        <v>46213</v>
      </c>
      <c r="P790" t="s">
        <v>3061</v>
      </c>
    </row>
    <row r="791" spans="3:16" hidden="1">
      <c r="C791" s="25">
        <f t="shared" si="30"/>
        <v>783</v>
      </c>
      <c r="D791" s="25" t="s">
        <v>86</v>
      </c>
      <c r="E791" s="25" t="s">
        <v>3029</v>
      </c>
      <c r="F791" s="33">
        <v>46203</v>
      </c>
      <c r="G791" s="233">
        <f t="shared" si="29"/>
        <v>2026</v>
      </c>
      <c r="H791" s="25" t="s">
        <v>76</v>
      </c>
      <c r="I791" s="25" t="str">
        <f>INDEX(Originadores!E:E,MATCH(Pipe!H791,Originadores!D:D,0))</f>
        <v>Consultoria</v>
      </c>
      <c r="N791" s="66" t="s">
        <v>1</v>
      </c>
    </row>
    <row r="792" spans="3:16" hidden="1">
      <c r="C792" s="25">
        <f t="shared" si="30"/>
        <v>784</v>
      </c>
      <c r="D792" s="25" t="s">
        <v>86</v>
      </c>
      <c r="E792" s="25" t="s">
        <v>3030</v>
      </c>
      <c r="F792" s="33">
        <v>46203</v>
      </c>
      <c r="G792" s="233">
        <f t="shared" si="29"/>
        <v>2026</v>
      </c>
      <c r="H792" s="25" t="s">
        <v>3031</v>
      </c>
      <c r="N792" s="66" t="s">
        <v>1</v>
      </c>
      <c r="O792" s="31">
        <v>46203</v>
      </c>
      <c r="P792" t="s">
        <v>3032</v>
      </c>
    </row>
    <row r="793" spans="3:16" hidden="1">
      <c r="C793" s="25">
        <f t="shared" si="30"/>
        <v>785</v>
      </c>
      <c r="D793" s="25" t="s">
        <v>1418</v>
      </c>
      <c r="E793" s="25" t="s">
        <v>3033</v>
      </c>
      <c r="F793" s="33">
        <v>46203</v>
      </c>
      <c r="G793" s="233">
        <f t="shared" si="29"/>
        <v>2026</v>
      </c>
      <c r="H793" s="25" t="s">
        <v>76</v>
      </c>
      <c r="I793" s="25" t="str">
        <f>INDEX(Originadores!E:E,MATCH(Pipe!H793,Originadores!D:D,0))</f>
        <v>Consultoria</v>
      </c>
      <c r="J793" t="s">
        <v>3044</v>
      </c>
      <c r="K793" t="s">
        <v>3045</v>
      </c>
      <c r="N793" s="71" t="s">
        <v>4</v>
      </c>
      <c r="O793" s="31">
        <v>46213</v>
      </c>
      <c r="P793" t="s">
        <v>3075</v>
      </c>
    </row>
    <row r="794" spans="3:16" hidden="1">
      <c r="C794" s="25">
        <f t="shared" si="30"/>
        <v>786</v>
      </c>
      <c r="D794" s="25" t="s">
        <v>2473</v>
      </c>
      <c r="E794" s="25" t="s">
        <v>3034</v>
      </c>
      <c r="F794" s="33">
        <v>46203</v>
      </c>
      <c r="G794" s="233">
        <f t="shared" si="29"/>
        <v>2026</v>
      </c>
      <c r="H794" s="25" t="s">
        <v>76</v>
      </c>
      <c r="I794" s="25" t="str">
        <f>INDEX(Originadores!E:E,MATCH(Pipe!H794,Originadores!D:D,0))</f>
        <v>Consultoria</v>
      </c>
      <c r="J794" t="s">
        <v>3046</v>
      </c>
      <c r="N794" s="66" t="s">
        <v>1</v>
      </c>
      <c r="O794" s="31">
        <v>46213</v>
      </c>
      <c r="P794" t="s">
        <v>3072</v>
      </c>
    </row>
    <row r="795" spans="3:16" ht="28.8" hidden="1">
      <c r="C795" s="25">
        <f t="shared" si="30"/>
        <v>787</v>
      </c>
      <c r="D795" s="25" t="s">
        <v>304</v>
      </c>
      <c r="E795" s="25" t="s">
        <v>3035</v>
      </c>
      <c r="F795" s="33">
        <v>46203</v>
      </c>
      <c r="G795" s="233">
        <f t="shared" si="29"/>
        <v>2026</v>
      </c>
      <c r="H795" s="25" t="s">
        <v>3036</v>
      </c>
      <c r="J795" s="26" t="s">
        <v>3050</v>
      </c>
      <c r="K795" s="1" t="s">
        <v>3141</v>
      </c>
      <c r="N795" s="71" t="s">
        <v>4</v>
      </c>
    </row>
    <row r="796" spans="3:16" ht="28.8" hidden="1">
      <c r="C796" s="25">
        <f t="shared" si="30"/>
        <v>788</v>
      </c>
      <c r="E796" s="25" t="s">
        <v>3037</v>
      </c>
      <c r="F796" s="33">
        <v>46203</v>
      </c>
      <c r="G796" s="233">
        <f t="shared" si="29"/>
        <v>2026</v>
      </c>
      <c r="H796" s="25" t="s">
        <v>3071</v>
      </c>
      <c r="I796" s="25">
        <f>INDEX(Originadores!E:E,MATCH(Pipe!H796,Originadores!D:D,0))</f>
        <v>0</v>
      </c>
      <c r="K796" s="1" t="s">
        <v>3142</v>
      </c>
      <c r="N796" s="71" t="s">
        <v>4</v>
      </c>
    </row>
    <row r="797" spans="3:16" hidden="1">
      <c r="C797" s="25">
        <f t="shared" si="30"/>
        <v>789</v>
      </c>
      <c r="D797" s="25" t="s">
        <v>3047</v>
      </c>
      <c r="E797" s="25" t="s">
        <v>3073</v>
      </c>
      <c r="F797" s="33">
        <v>46203</v>
      </c>
      <c r="G797" s="233">
        <f t="shared" si="29"/>
        <v>2026</v>
      </c>
      <c r="H797" s="25" t="s">
        <v>3114</v>
      </c>
      <c r="I797" s="25" t="str">
        <f>INDEX(Originadores!E:E,MATCH(Pipe!H797,Originadores!D:D,0))</f>
        <v>Advogado</v>
      </c>
      <c r="K797" t="s">
        <v>3053</v>
      </c>
      <c r="N797" s="71" t="s">
        <v>4</v>
      </c>
    </row>
    <row r="798" spans="3:16" hidden="1">
      <c r="C798" s="25">
        <f t="shared" si="30"/>
        <v>790</v>
      </c>
      <c r="D798" s="25" t="s">
        <v>1045</v>
      </c>
      <c r="E798" s="25" t="s">
        <v>3048</v>
      </c>
      <c r="F798" s="33">
        <v>46203</v>
      </c>
      <c r="G798" s="233">
        <f t="shared" si="29"/>
        <v>2026</v>
      </c>
      <c r="H798" s="24" t="s">
        <v>3049</v>
      </c>
      <c r="I798" s="25" t="str">
        <f>INDEX(Originadores!E:E,MATCH(Pipe!H798,Originadores!D:D,0))</f>
        <v>Broker</v>
      </c>
      <c r="K798" t="s">
        <v>3074</v>
      </c>
      <c r="N798" s="66" t="s">
        <v>1</v>
      </c>
      <c r="O798" s="33">
        <v>46223</v>
      </c>
      <c r="P798" t="s">
        <v>3102</v>
      </c>
    </row>
    <row r="799" spans="3:16" ht="57.6" hidden="1">
      <c r="C799" s="25">
        <f t="shared" si="30"/>
        <v>791</v>
      </c>
      <c r="D799" s="25" t="s">
        <v>3052</v>
      </c>
      <c r="E799" s="25" t="s">
        <v>3051</v>
      </c>
      <c r="F799" s="33">
        <v>46210</v>
      </c>
      <c r="G799" s="233">
        <f t="shared" si="29"/>
        <v>2026</v>
      </c>
      <c r="K799" s="1" t="s">
        <v>3170</v>
      </c>
      <c r="N799" s="66" t="s">
        <v>1</v>
      </c>
      <c r="O799" s="33">
        <v>46245</v>
      </c>
      <c r="P799" s="26" t="s">
        <v>3197</v>
      </c>
    </row>
    <row r="800" spans="3:16" hidden="1">
      <c r="C800" s="25">
        <f t="shared" si="30"/>
        <v>792</v>
      </c>
      <c r="D800" s="25" t="s">
        <v>1045</v>
      </c>
      <c r="E800" s="25" t="s">
        <v>3055</v>
      </c>
      <c r="F800" s="33">
        <v>46210</v>
      </c>
      <c r="G800" s="233">
        <f t="shared" si="29"/>
        <v>2026</v>
      </c>
      <c r="H800" s="25" t="s">
        <v>3007</v>
      </c>
      <c r="I800" s="25" t="e">
        <f>INDEX(Originadores!E:E,MATCH(Pipe!H800,Originadores!D:D,0))</f>
        <v>#N/A</v>
      </c>
      <c r="K800" s="1" t="s">
        <v>3198</v>
      </c>
      <c r="N800" s="71" t="s">
        <v>4</v>
      </c>
    </row>
    <row r="801" spans="3:16" hidden="1">
      <c r="C801" s="25">
        <f>+C800+1</f>
        <v>793</v>
      </c>
      <c r="E801" s="25" t="s">
        <v>3054</v>
      </c>
      <c r="F801" s="33">
        <v>46210</v>
      </c>
      <c r="G801" s="233">
        <f t="shared" si="29"/>
        <v>2026</v>
      </c>
      <c r="H801" s="24" t="s">
        <v>76</v>
      </c>
      <c r="I801" s="25" t="str">
        <f>INDEX(Originadores!E:E,MATCH(Pipe!H801,Originadores!D:D,0))</f>
        <v>Consultoria</v>
      </c>
      <c r="N801" s="66" t="s">
        <v>1</v>
      </c>
      <c r="O801" s="33">
        <v>46223</v>
      </c>
      <c r="P801" t="s">
        <v>3100</v>
      </c>
    </row>
    <row r="802" spans="3:16" hidden="1">
      <c r="C802" s="25">
        <f t="shared" si="30"/>
        <v>794</v>
      </c>
      <c r="D802" s="25" t="s">
        <v>270</v>
      </c>
      <c r="E802" s="25" t="s">
        <v>2331</v>
      </c>
      <c r="F802" s="33">
        <v>46210</v>
      </c>
      <c r="G802" s="233">
        <f t="shared" si="29"/>
        <v>2026</v>
      </c>
      <c r="H802" s="24" t="s">
        <v>994</v>
      </c>
      <c r="I802" s="25" t="str">
        <f>INDEX(Originadores!E:E,MATCH(Pipe!H802,Originadores!D:D,0))</f>
        <v>Broker</v>
      </c>
      <c r="N802" s="66" t="s">
        <v>1</v>
      </c>
      <c r="O802" s="31">
        <v>46213</v>
      </c>
      <c r="P802" t="s">
        <v>3056</v>
      </c>
    </row>
    <row r="803" spans="3:16" hidden="1">
      <c r="C803" s="25">
        <f t="shared" si="30"/>
        <v>795</v>
      </c>
      <c r="D803" s="25" t="s">
        <v>1045</v>
      </c>
      <c r="E803" s="25" t="s">
        <v>3066</v>
      </c>
      <c r="F803" s="33">
        <v>46210</v>
      </c>
      <c r="G803" s="233">
        <f t="shared" si="29"/>
        <v>2026</v>
      </c>
      <c r="H803" s="24" t="s">
        <v>3057</v>
      </c>
      <c r="N803" s="66" t="s">
        <v>1</v>
      </c>
      <c r="O803" s="31">
        <v>46213</v>
      </c>
      <c r="P803" t="s">
        <v>3076</v>
      </c>
    </row>
    <row r="804" spans="3:16" hidden="1">
      <c r="C804" s="25">
        <f t="shared" si="30"/>
        <v>796</v>
      </c>
      <c r="D804" s="25" t="s">
        <v>270</v>
      </c>
      <c r="E804" s="25" t="s">
        <v>3058</v>
      </c>
      <c r="F804" s="33">
        <v>46210</v>
      </c>
      <c r="G804" s="233">
        <f t="shared" si="29"/>
        <v>2026</v>
      </c>
      <c r="N804" s="66" t="s">
        <v>1</v>
      </c>
      <c r="O804" s="33">
        <v>46230</v>
      </c>
      <c r="P804" t="s">
        <v>3115</v>
      </c>
    </row>
    <row r="805" spans="3:16" hidden="1">
      <c r="C805" s="25">
        <f t="shared" si="30"/>
        <v>797</v>
      </c>
      <c r="D805" s="25" t="s">
        <v>20</v>
      </c>
      <c r="E805" s="25" t="s">
        <v>3059</v>
      </c>
      <c r="F805" s="33">
        <v>46210</v>
      </c>
      <c r="G805" s="233">
        <f t="shared" si="29"/>
        <v>2026</v>
      </c>
      <c r="H805" s="24" t="s">
        <v>3060</v>
      </c>
      <c r="I805" s="25" t="str">
        <f>INDEX(Originadores!E:E,MATCH(Pipe!H805,Originadores!D:D,0))</f>
        <v>Broker</v>
      </c>
      <c r="K805" s="1" t="s">
        <v>3077</v>
      </c>
      <c r="N805" s="66" t="s">
        <v>1</v>
      </c>
      <c r="O805" s="31">
        <v>46237</v>
      </c>
      <c r="P805" t="s">
        <v>3144</v>
      </c>
    </row>
    <row r="806" spans="3:16" hidden="1">
      <c r="C806" s="25">
        <f t="shared" si="30"/>
        <v>798</v>
      </c>
      <c r="D806" s="25" t="s">
        <v>807</v>
      </c>
      <c r="E806" s="25" t="s">
        <v>3116</v>
      </c>
      <c r="F806" s="33">
        <v>46210</v>
      </c>
      <c r="G806" s="233">
        <f t="shared" si="29"/>
        <v>2026</v>
      </c>
      <c r="H806" s="24" t="s">
        <v>3078</v>
      </c>
      <c r="N806" s="66" t="s">
        <v>1</v>
      </c>
      <c r="O806" s="31">
        <v>46238</v>
      </c>
      <c r="P806" t="s">
        <v>3171</v>
      </c>
    </row>
    <row r="807" spans="3:16" hidden="1">
      <c r="C807" s="25">
        <f t="shared" si="30"/>
        <v>799</v>
      </c>
      <c r="D807" s="25" t="s">
        <v>1045</v>
      </c>
      <c r="E807" s="25" t="s">
        <v>3092</v>
      </c>
      <c r="F807" s="31">
        <v>46216</v>
      </c>
      <c r="G807" s="233">
        <f t="shared" si="29"/>
        <v>2026</v>
      </c>
      <c r="H807" s="24" t="s">
        <v>119</v>
      </c>
      <c r="I807" s="25" t="str">
        <f>INDEX(Originadores!E:E,MATCH(Pipe!H807,Originadores!D:D,0))</f>
        <v>Consultoria</v>
      </c>
      <c r="K807" s="1" t="s">
        <v>3143</v>
      </c>
      <c r="N807" s="66" t="s">
        <v>1</v>
      </c>
      <c r="O807" s="31">
        <v>46238</v>
      </c>
      <c r="P807" t="s">
        <v>3172</v>
      </c>
    </row>
    <row r="808" spans="3:16" ht="57.6" hidden="1">
      <c r="C808" s="25">
        <f t="shared" si="30"/>
        <v>800</v>
      </c>
      <c r="D808" s="25" t="s">
        <v>20</v>
      </c>
      <c r="F808" s="33">
        <v>46216</v>
      </c>
      <c r="G808" s="233">
        <f t="shared" ref="G808:G871" si="31">+YEAR(F808)</f>
        <v>2026</v>
      </c>
      <c r="H808" s="25" t="s">
        <v>3062</v>
      </c>
      <c r="I808" s="25" t="str">
        <f>INDEX(Originadores!E:E,MATCH(Pipe!H808,Originadores!D:D,0))</f>
        <v>Advisor</v>
      </c>
      <c r="J808" s="1" t="s">
        <v>3063</v>
      </c>
      <c r="N808" s="66" t="s">
        <v>1</v>
      </c>
      <c r="O808" s="33">
        <v>46238</v>
      </c>
      <c r="P808" s="1" t="s">
        <v>3173</v>
      </c>
    </row>
    <row r="809" spans="3:16" ht="72" hidden="1">
      <c r="C809" s="25">
        <f t="shared" si="30"/>
        <v>801</v>
      </c>
      <c r="D809" s="25" t="s">
        <v>270</v>
      </c>
      <c r="E809" s="25" t="s">
        <v>3118</v>
      </c>
      <c r="F809" s="33">
        <v>46216</v>
      </c>
      <c r="G809" s="233">
        <f t="shared" si="31"/>
        <v>2026</v>
      </c>
      <c r="H809" s="25" t="s">
        <v>3064</v>
      </c>
      <c r="I809" s="25" t="str">
        <f>INDEX(Originadores!E:E,MATCH(Pipe!H809,Originadores!D:D,0))</f>
        <v>Broker</v>
      </c>
      <c r="J809" s="1" t="s">
        <v>3065</v>
      </c>
      <c r="K809" s="2" t="s">
        <v>3199</v>
      </c>
      <c r="N809" s="66" t="s">
        <v>1</v>
      </c>
      <c r="O809" s="33">
        <v>46265</v>
      </c>
      <c r="P809" s="26" t="s">
        <v>3297</v>
      </c>
    </row>
    <row r="810" spans="3:16" hidden="1">
      <c r="C810" s="25">
        <f t="shared" si="30"/>
        <v>802</v>
      </c>
      <c r="D810" s="25" t="s">
        <v>204</v>
      </c>
      <c r="E810" s="25" t="s">
        <v>3079</v>
      </c>
      <c r="F810" s="33">
        <v>46216</v>
      </c>
      <c r="G810" s="233">
        <f t="shared" si="31"/>
        <v>2026</v>
      </c>
      <c r="N810" s="66" t="s">
        <v>1</v>
      </c>
      <c r="O810" s="31">
        <v>46237</v>
      </c>
      <c r="P810" t="s">
        <v>3145</v>
      </c>
    </row>
    <row r="811" spans="3:16" hidden="1">
      <c r="C811" s="25">
        <f t="shared" si="30"/>
        <v>803</v>
      </c>
      <c r="D811" s="24" t="s">
        <v>1045</v>
      </c>
      <c r="E811" s="24" t="s">
        <v>3080</v>
      </c>
      <c r="F811" s="33">
        <v>46216</v>
      </c>
      <c r="G811" s="233">
        <f t="shared" si="31"/>
        <v>2026</v>
      </c>
      <c r="N811" s="66" t="s">
        <v>1</v>
      </c>
      <c r="O811" s="31">
        <v>46237</v>
      </c>
      <c r="P811" t="s">
        <v>3146</v>
      </c>
    </row>
    <row r="812" spans="3:16" hidden="1">
      <c r="C812" s="25">
        <f t="shared" si="30"/>
        <v>804</v>
      </c>
      <c r="D812" s="24" t="s">
        <v>1045</v>
      </c>
      <c r="E812" s="24" t="s">
        <v>3081</v>
      </c>
      <c r="F812" s="33">
        <v>46216</v>
      </c>
      <c r="G812" s="233">
        <f t="shared" si="31"/>
        <v>2026</v>
      </c>
      <c r="H812" s="24" t="s">
        <v>1989</v>
      </c>
      <c r="I812" s="25" t="str">
        <f>INDEX(Originadores!E:E,MATCH(Pipe!H812,Originadores!D:D,0))</f>
        <v>Consultoria</v>
      </c>
      <c r="K812" t="s">
        <v>3147</v>
      </c>
      <c r="N812" s="71" t="s">
        <v>4</v>
      </c>
    </row>
    <row r="813" spans="3:16" hidden="1">
      <c r="C813" s="25">
        <f t="shared" si="30"/>
        <v>805</v>
      </c>
      <c r="D813" s="24" t="s">
        <v>1045</v>
      </c>
      <c r="E813" s="24" t="s">
        <v>3082</v>
      </c>
      <c r="F813" s="33">
        <v>46216</v>
      </c>
      <c r="G813" s="233">
        <f t="shared" si="31"/>
        <v>2026</v>
      </c>
      <c r="H813" s="24" t="s">
        <v>3083</v>
      </c>
      <c r="I813" s="25" t="str">
        <f>INDEX(Originadores!E:E,MATCH(Pipe!H813,Originadores!D:D,0))</f>
        <v>Advisor</v>
      </c>
      <c r="J813" s="59"/>
      <c r="N813" s="66" t="s">
        <v>1</v>
      </c>
      <c r="O813" s="33">
        <v>46245</v>
      </c>
      <c r="P813" t="s">
        <v>3200</v>
      </c>
    </row>
    <row r="814" spans="3:16" hidden="1">
      <c r="C814" s="25">
        <f t="shared" si="30"/>
        <v>806</v>
      </c>
      <c r="D814" s="24" t="s">
        <v>1045</v>
      </c>
      <c r="E814" s="24" t="s">
        <v>3085</v>
      </c>
      <c r="F814" s="33">
        <v>46216</v>
      </c>
      <c r="G814" s="233">
        <f t="shared" si="31"/>
        <v>2026</v>
      </c>
      <c r="H814" s="24" t="s">
        <v>3084</v>
      </c>
      <c r="I814" s="25" t="str">
        <f>INDEX(Originadores!E:E,MATCH(Pipe!H814,Originadores!D:D,0))</f>
        <v>Asset</v>
      </c>
      <c r="N814" s="66" t="s">
        <v>1</v>
      </c>
    </row>
    <row r="815" spans="3:16" hidden="1">
      <c r="C815" s="25">
        <f t="shared" si="30"/>
        <v>807</v>
      </c>
      <c r="D815" s="24" t="s">
        <v>1045</v>
      </c>
      <c r="E815" s="24" t="s">
        <v>3086</v>
      </c>
      <c r="F815" s="33">
        <v>46216</v>
      </c>
      <c r="G815" s="233">
        <f t="shared" si="31"/>
        <v>2026</v>
      </c>
      <c r="H815" s="24" t="s">
        <v>3087</v>
      </c>
      <c r="I815" s="25" t="str">
        <f>INDEX(Originadores!E:E,MATCH(Pipe!H815,Originadores!D:D,0))</f>
        <v>Broker</v>
      </c>
      <c r="N815" s="66" t="s">
        <v>1</v>
      </c>
      <c r="O815" s="33">
        <v>46238</v>
      </c>
      <c r="P815" t="s">
        <v>3174</v>
      </c>
    </row>
    <row r="816" spans="3:16" hidden="1">
      <c r="C816" s="25">
        <f t="shared" si="30"/>
        <v>808</v>
      </c>
      <c r="D816" s="24" t="s">
        <v>1045</v>
      </c>
      <c r="E816" s="24" t="s">
        <v>3088</v>
      </c>
      <c r="F816" s="33">
        <v>46216</v>
      </c>
      <c r="G816" s="233">
        <f t="shared" si="31"/>
        <v>2026</v>
      </c>
      <c r="H816" s="24" t="s">
        <v>3089</v>
      </c>
      <c r="I816" s="25" t="str">
        <f>INDEX(Originadores!E:E,MATCH(Pipe!H816,Originadores!D:D,0))</f>
        <v>Broker</v>
      </c>
      <c r="N816" s="134" t="s">
        <v>3</v>
      </c>
      <c r="O816" s="33">
        <v>46258</v>
      </c>
      <c r="P816" s="25" t="s">
        <v>3267</v>
      </c>
    </row>
    <row r="817" spans="3:16" hidden="1">
      <c r="C817" s="25">
        <f t="shared" si="30"/>
        <v>809</v>
      </c>
      <c r="D817" s="25" t="s">
        <v>204</v>
      </c>
      <c r="E817" s="24" t="s">
        <v>3090</v>
      </c>
      <c r="F817" s="33">
        <v>46216</v>
      </c>
      <c r="G817" s="233">
        <f t="shared" si="31"/>
        <v>2026</v>
      </c>
      <c r="H817" s="24" t="s">
        <v>76</v>
      </c>
      <c r="I817" s="25" t="str">
        <f>INDEX(Originadores!E:E,MATCH(Pipe!H817,Originadores!D:D,0))</f>
        <v>Consultoria</v>
      </c>
      <c r="N817" s="66" t="s">
        <v>1</v>
      </c>
      <c r="O817" s="31">
        <v>46230</v>
      </c>
      <c r="P817" t="s">
        <v>3119</v>
      </c>
    </row>
    <row r="818" spans="3:16" hidden="1">
      <c r="C818" s="25">
        <f t="shared" si="30"/>
        <v>810</v>
      </c>
      <c r="D818" s="24" t="s">
        <v>1045</v>
      </c>
      <c r="E818" s="24" t="s">
        <v>3091</v>
      </c>
      <c r="F818" s="31">
        <v>46223</v>
      </c>
      <c r="G818" s="233">
        <f t="shared" si="31"/>
        <v>2026</v>
      </c>
      <c r="H818" s="24" t="s">
        <v>3095</v>
      </c>
      <c r="I818" s="25" t="e">
        <f>INDEX(Originadores!E:E,MATCH(Pipe!H818,Originadores!D:D,0))</f>
        <v>#N/A</v>
      </c>
      <c r="J818" t="s">
        <v>3120</v>
      </c>
      <c r="N818" s="66" t="s">
        <v>1</v>
      </c>
      <c r="O818" s="31">
        <v>46230</v>
      </c>
      <c r="P818" t="s">
        <v>3121</v>
      </c>
    </row>
    <row r="819" spans="3:16" hidden="1">
      <c r="C819" s="25">
        <f t="shared" si="30"/>
        <v>811</v>
      </c>
      <c r="D819" s="24" t="s">
        <v>1045</v>
      </c>
      <c r="E819" s="24" t="s">
        <v>3093</v>
      </c>
      <c r="F819" s="31">
        <v>46223</v>
      </c>
      <c r="G819" s="233">
        <f t="shared" si="31"/>
        <v>2026</v>
      </c>
      <c r="H819" s="24" t="s">
        <v>3094</v>
      </c>
      <c r="I819" s="25" t="e">
        <f>INDEX(Originadores!E:E,MATCH(Pipe!H819,Originadores!D:D,0))</f>
        <v>#N/A</v>
      </c>
      <c r="J819" t="s">
        <v>3122</v>
      </c>
      <c r="N819" s="66" t="s">
        <v>1</v>
      </c>
      <c r="O819" s="31">
        <v>46230</v>
      </c>
      <c r="P819" t="s">
        <v>3123</v>
      </c>
    </row>
    <row r="820" spans="3:16" hidden="1">
      <c r="C820" s="25">
        <f t="shared" si="30"/>
        <v>812</v>
      </c>
      <c r="D820" s="24" t="s">
        <v>1045</v>
      </c>
      <c r="E820" s="24" t="s">
        <v>2880</v>
      </c>
      <c r="F820" s="31">
        <v>46223</v>
      </c>
      <c r="G820" s="233">
        <f t="shared" si="31"/>
        <v>2026</v>
      </c>
      <c r="H820" s="24" t="s">
        <v>76</v>
      </c>
      <c r="I820" s="25" t="str">
        <f>INDEX(Originadores!E:E,MATCH(Pipe!H820,Originadores!D:D,0))</f>
        <v>Consultoria</v>
      </c>
      <c r="N820" s="66" t="s">
        <v>1</v>
      </c>
      <c r="O820" s="31">
        <v>46230</v>
      </c>
      <c r="P820" t="s">
        <v>3124</v>
      </c>
    </row>
    <row r="821" spans="3:16" hidden="1">
      <c r="C821" s="25">
        <f t="shared" si="30"/>
        <v>813</v>
      </c>
      <c r="D821" s="24" t="s">
        <v>2712</v>
      </c>
      <c r="E821" s="24" t="s">
        <v>2970</v>
      </c>
      <c r="F821" s="31">
        <v>46230</v>
      </c>
      <c r="G821" s="233">
        <f t="shared" si="31"/>
        <v>2026</v>
      </c>
      <c r="H821" s="24" t="s">
        <v>3105</v>
      </c>
      <c r="I821" s="25" t="str">
        <f>INDEX(Originadores!E:E,MATCH(Pipe!H821,Originadores!D:D,0))</f>
        <v>Advisor</v>
      </c>
      <c r="J821" t="s">
        <v>3106</v>
      </c>
      <c r="N821" s="66" t="s">
        <v>1</v>
      </c>
      <c r="O821" s="31">
        <v>46230</v>
      </c>
    </row>
    <row r="822" spans="3:16" hidden="1">
      <c r="C822" s="25">
        <f t="shared" si="30"/>
        <v>814</v>
      </c>
      <c r="D822" s="24" t="s">
        <v>320</v>
      </c>
      <c r="E822" s="24" t="s">
        <v>1578</v>
      </c>
      <c r="F822" s="31">
        <v>46230</v>
      </c>
      <c r="G822" s="233">
        <f t="shared" si="31"/>
        <v>2026</v>
      </c>
      <c r="H822" s="24" t="s">
        <v>3105</v>
      </c>
      <c r="I822" s="25" t="str">
        <f>INDEX(Originadores!E:E,MATCH(Pipe!H822,Originadores!D:D,0))</f>
        <v>Advisor</v>
      </c>
      <c r="J822" t="s">
        <v>3107</v>
      </c>
      <c r="N822" s="66" t="s">
        <v>1</v>
      </c>
      <c r="O822" s="33">
        <v>46245</v>
      </c>
      <c r="P822" t="s">
        <v>3201</v>
      </c>
    </row>
    <row r="823" spans="3:16" ht="43.2">
      <c r="C823" s="25">
        <f t="shared" si="30"/>
        <v>815</v>
      </c>
      <c r="D823" s="25" t="s">
        <v>320</v>
      </c>
      <c r="E823" s="25" t="s">
        <v>3108</v>
      </c>
      <c r="F823" s="33">
        <v>46230</v>
      </c>
      <c r="G823" s="233">
        <f t="shared" si="31"/>
        <v>2026</v>
      </c>
      <c r="H823" s="25" t="s">
        <v>2824</v>
      </c>
      <c r="I823" s="25" t="str">
        <f>INDEX(Originadores!E:E,MATCH(Pipe!H823,Originadores!D:D,0))</f>
        <v>Broker</v>
      </c>
      <c r="K823" s="1" t="s">
        <v>3296</v>
      </c>
      <c r="N823" s="72" t="s">
        <v>2</v>
      </c>
    </row>
    <row r="824" spans="3:16" ht="43.2" hidden="1">
      <c r="C824" s="25">
        <f t="shared" si="30"/>
        <v>816</v>
      </c>
      <c r="D824" s="25" t="s">
        <v>204</v>
      </c>
      <c r="E824" s="25" t="s">
        <v>3125</v>
      </c>
      <c r="F824" s="31">
        <v>46230</v>
      </c>
      <c r="G824" s="233">
        <f t="shared" si="31"/>
        <v>2026</v>
      </c>
      <c r="H824" s="25" t="s">
        <v>206</v>
      </c>
      <c r="I824" s="25" t="str">
        <f>INDEX(Originadores!E:E,MATCH(Pipe!H824,Originadores!D:D,0))</f>
        <v>Banco</v>
      </c>
      <c r="K824" s="1" t="s">
        <v>3252</v>
      </c>
      <c r="N824" s="66" t="s">
        <v>1</v>
      </c>
    </row>
    <row r="825" spans="3:16" hidden="1">
      <c r="C825" s="25">
        <f t="shared" si="30"/>
        <v>817</v>
      </c>
      <c r="D825" s="25" t="s">
        <v>2473</v>
      </c>
      <c r="E825" s="24" t="s">
        <v>3126</v>
      </c>
      <c r="F825" s="31">
        <v>46230</v>
      </c>
      <c r="G825" s="233">
        <f t="shared" si="31"/>
        <v>2026</v>
      </c>
      <c r="H825" s="24" t="s">
        <v>206</v>
      </c>
      <c r="I825" s="25" t="str">
        <f>INDEX(Originadores!E:E,MATCH(Pipe!H825,Originadores!D:D,0))</f>
        <v>Banco</v>
      </c>
      <c r="N825" s="66" t="s">
        <v>1</v>
      </c>
      <c r="O825" s="33">
        <v>46238</v>
      </c>
      <c r="P825" t="s">
        <v>3175</v>
      </c>
    </row>
    <row r="826" spans="3:16" hidden="1">
      <c r="C826" s="25">
        <f t="shared" si="30"/>
        <v>818</v>
      </c>
      <c r="D826" s="24" t="s">
        <v>270</v>
      </c>
      <c r="E826" s="24" t="s">
        <v>3127</v>
      </c>
      <c r="F826" s="31">
        <v>46237</v>
      </c>
      <c r="G826" s="233">
        <f t="shared" si="31"/>
        <v>2026</v>
      </c>
      <c r="H826" s="24" t="s">
        <v>802</v>
      </c>
      <c r="I826" s="25" t="e">
        <f>INDEX(Originadores!E:E,MATCH(Pipe!H826,Originadores!D:D,0))</f>
        <v>#N/A</v>
      </c>
      <c r="K826" t="s">
        <v>3224</v>
      </c>
      <c r="N826" s="66" t="s">
        <v>1</v>
      </c>
      <c r="O826" s="33">
        <v>46265</v>
      </c>
      <c r="P826" t="s">
        <v>3298</v>
      </c>
    </row>
    <row r="827" spans="3:16" hidden="1">
      <c r="C827" s="25">
        <f t="shared" si="30"/>
        <v>819</v>
      </c>
      <c r="D827" s="24" t="s">
        <v>270</v>
      </c>
      <c r="E827" s="24" t="s">
        <v>3128</v>
      </c>
      <c r="F827" s="31">
        <v>46237</v>
      </c>
      <c r="G827" s="233">
        <f t="shared" si="31"/>
        <v>2026</v>
      </c>
      <c r="H827" s="24" t="s">
        <v>3149</v>
      </c>
      <c r="J827" t="s">
        <v>3129</v>
      </c>
      <c r="N827" s="66" t="s">
        <v>1</v>
      </c>
      <c r="O827" s="33">
        <v>46238</v>
      </c>
      <c r="P827" t="s">
        <v>3176</v>
      </c>
    </row>
    <row r="828" spans="3:16" hidden="1">
      <c r="C828" s="25">
        <f t="shared" si="30"/>
        <v>820</v>
      </c>
      <c r="D828" s="24" t="s">
        <v>1045</v>
      </c>
      <c r="E828" s="24" t="s">
        <v>3130</v>
      </c>
      <c r="F828" s="31">
        <v>46237</v>
      </c>
      <c r="G828" s="233">
        <f t="shared" si="31"/>
        <v>2026</v>
      </c>
      <c r="N828" s="66" t="s">
        <v>1</v>
      </c>
      <c r="O828" s="33">
        <v>46238</v>
      </c>
    </row>
    <row r="829" spans="3:16" hidden="1">
      <c r="C829" s="25">
        <f t="shared" si="30"/>
        <v>821</v>
      </c>
      <c r="D829" s="24" t="s">
        <v>320</v>
      </c>
      <c r="E829" s="24" t="s">
        <v>3150</v>
      </c>
      <c r="F829" s="31">
        <v>46237</v>
      </c>
      <c r="G829" s="233">
        <f t="shared" si="31"/>
        <v>2026</v>
      </c>
      <c r="H829" s="24" t="s">
        <v>1050</v>
      </c>
      <c r="I829" s="25" t="str">
        <f>INDEX(Originadores!E:E,MATCH(Pipe!H829,Originadores!D:D,0))</f>
        <v>Broker</v>
      </c>
      <c r="K829" t="s">
        <v>3202</v>
      </c>
      <c r="N829" s="66" t="s">
        <v>1</v>
      </c>
      <c r="O829" s="33">
        <v>46265</v>
      </c>
      <c r="P829" t="s">
        <v>3300</v>
      </c>
    </row>
    <row r="830" spans="3:16" ht="43.2" hidden="1">
      <c r="C830" s="25">
        <f t="shared" si="30"/>
        <v>822</v>
      </c>
      <c r="D830" s="25" t="s">
        <v>270</v>
      </c>
      <c r="E830" s="25" t="s">
        <v>3131</v>
      </c>
      <c r="F830" s="33">
        <v>46237</v>
      </c>
      <c r="G830" s="233">
        <f t="shared" si="31"/>
        <v>2026</v>
      </c>
      <c r="H830" s="25" t="s">
        <v>3132</v>
      </c>
      <c r="I830" s="25" t="str">
        <f>INDEX(Originadores!E:E,MATCH(Pipe!H830,Originadores!D:D,0))</f>
        <v>Advogado</v>
      </c>
      <c r="J830" s="2" t="s">
        <v>3133</v>
      </c>
      <c r="K830" s="26" t="s">
        <v>3177</v>
      </c>
      <c r="N830" s="66" t="s">
        <v>1</v>
      </c>
      <c r="O830" s="33">
        <v>46258</v>
      </c>
      <c r="P830" s="26" t="s">
        <v>3253</v>
      </c>
    </row>
    <row r="831" spans="3:16" hidden="1">
      <c r="C831" s="25">
        <f t="shared" si="30"/>
        <v>823</v>
      </c>
      <c r="D831" s="25" t="s">
        <v>270</v>
      </c>
      <c r="E831" s="24" t="s">
        <v>2783</v>
      </c>
      <c r="F831" s="33">
        <v>46237</v>
      </c>
      <c r="G831" s="233">
        <f t="shared" si="31"/>
        <v>2026</v>
      </c>
      <c r="H831" s="24" t="s">
        <v>3089</v>
      </c>
      <c r="I831" s="25" t="str">
        <f>INDEX(Originadores!E:E,MATCH(Pipe!H831,Originadores!D:D,0))</f>
        <v>Broker</v>
      </c>
      <c r="J831" t="s">
        <v>3135</v>
      </c>
      <c r="N831" s="66" t="s">
        <v>1</v>
      </c>
      <c r="O831" s="31">
        <v>46237</v>
      </c>
      <c r="P831" t="s">
        <v>3134</v>
      </c>
    </row>
    <row r="832" spans="3:16" hidden="1">
      <c r="C832" s="25">
        <f t="shared" si="30"/>
        <v>824</v>
      </c>
      <c r="D832" s="24" t="s">
        <v>329</v>
      </c>
      <c r="E832" s="24" t="s">
        <v>3136</v>
      </c>
      <c r="F832" s="33">
        <v>46237</v>
      </c>
      <c r="G832" s="233">
        <f t="shared" si="31"/>
        <v>2026</v>
      </c>
      <c r="H832" s="24" t="s">
        <v>3137</v>
      </c>
      <c r="I832" s="25" t="str">
        <f>INDEX(Originadores!E:E,MATCH(Pipe!H832,Originadores!D:D,0))</f>
        <v>Boutique</v>
      </c>
      <c r="K832" t="s">
        <v>3151</v>
      </c>
      <c r="N832" s="66" t="s">
        <v>1</v>
      </c>
      <c r="O832" s="33">
        <v>46245</v>
      </c>
      <c r="P832" t="s">
        <v>3203</v>
      </c>
    </row>
    <row r="833" spans="3:16" ht="28.8" hidden="1">
      <c r="C833" s="25">
        <f t="shared" si="30"/>
        <v>825</v>
      </c>
      <c r="D833" s="24" t="s">
        <v>204</v>
      </c>
      <c r="E833" s="25" t="s">
        <v>3138</v>
      </c>
      <c r="F833" s="33">
        <v>46237</v>
      </c>
      <c r="G833" s="233">
        <f t="shared" si="31"/>
        <v>2026</v>
      </c>
      <c r="H833" s="24" t="s">
        <v>3152</v>
      </c>
      <c r="I833" s="25" t="e">
        <f>INDEX(Originadores!E:E,MATCH(Pipe!H833,Originadores!D:D,0))</f>
        <v>#N/A</v>
      </c>
      <c r="J833" t="s">
        <v>3140</v>
      </c>
      <c r="N833" s="66" t="s">
        <v>1</v>
      </c>
      <c r="O833" s="33">
        <v>46245</v>
      </c>
      <c r="P833" s="1" t="s">
        <v>3204</v>
      </c>
    </row>
    <row r="834" spans="3:16" ht="57.6" hidden="1">
      <c r="C834" s="25">
        <f t="shared" si="30"/>
        <v>826</v>
      </c>
      <c r="D834" s="25" t="s">
        <v>204</v>
      </c>
      <c r="E834" s="25" t="s">
        <v>3148</v>
      </c>
      <c r="F834" s="33">
        <v>46237</v>
      </c>
      <c r="G834" s="233">
        <f t="shared" si="31"/>
        <v>2026</v>
      </c>
      <c r="H834" s="25" t="s">
        <v>206</v>
      </c>
      <c r="I834" s="25" t="str">
        <f>INDEX(Originadores!E:E,MATCH(Pipe!H834,Originadores!D:D,0))</f>
        <v>Banco</v>
      </c>
      <c r="K834" s="1" t="s">
        <v>3226</v>
      </c>
      <c r="N834" s="66" t="s">
        <v>1</v>
      </c>
      <c r="O834" s="33">
        <v>46258</v>
      </c>
      <c r="P834" s="26" t="s">
        <v>3254</v>
      </c>
    </row>
    <row r="835" spans="3:16" hidden="1">
      <c r="C835" s="25">
        <f t="shared" si="30"/>
        <v>827</v>
      </c>
      <c r="D835" s="24" t="s">
        <v>1045</v>
      </c>
      <c r="E835" s="24" t="s">
        <v>3153</v>
      </c>
      <c r="F835" s="33">
        <v>46237</v>
      </c>
      <c r="G835" s="233">
        <f t="shared" si="31"/>
        <v>2026</v>
      </c>
      <c r="H835" s="24" t="s">
        <v>76</v>
      </c>
      <c r="I835" s="25" t="str">
        <f>INDEX(Originadores!E:E,MATCH(Pipe!H835,Originadores!D:D,0))</f>
        <v>Consultoria</v>
      </c>
      <c r="N835" s="66" t="s">
        <v>1</v>
      </c>
      <c r="O835" s="33">
        <v>46245</v>
      </c>
    </row>
    <row r="836" spans="3:16" hidden="1">
      <c r="C836" s="25">
        <f t="shared" si="30"/>
        <v>828</v>
      </c>
      <c r="D836" s="24" t="s">
        <v>1045</v>
      </c>
      <c r="E836" s="24" t="s">
        <v>3154</v>
      </c>
      <c r="F836" s="33">
        <v>46237</v>
      </c>
      <c r="G836" s="233">
        <f t="shared" si="31"/>
        <v>2026</v>
      </c>
      <c r="H836" s="24" t="s">
        <v>76</v>
      </c>
      <c r="I836" s="25" t="str">
        <f>INDEX(Originadores!E:E,MATCH(Pipe!H836,Originadores!D:D,0))</f>
        <v>Consultoria</v>
      </c>
      <c r="N836" s="66" t="s">
        <v>1</v>
      </c>
      <c r="O836" s="31">
        <v>46251</v>
      </c>
      <c r="P836" t="s">
        <v>3225</v>
      </c>
    </row>
    <row r="837" spans="3:16" hidden="1">
      <c r="C837" s="25">
        <f t="shared" si="30"/>
        <v>829</v>
      </c>
      <c r="D837" s="24" t="s">
        <v>304</v>
      </c>
      <c r="E837" s="24" t="s">
        <v>3155</v>
      </c>
      <c r="F837" s="33">
        <v>46237</v>
      </c>
      <c r="G837" s="233">
        <f t="shared" si="31"/>
        <v>2026</v>
      </c>
      <c r="H837" s="24" t="s">
        <v>3089</v>
      </c>
      <c r="I837" s="25" t="str">
        <f>INDEX(Originadores!E:E,MATCH(Pipe!H837,Originadores!D:D,0))</f>
        <v>Broker</v>
      </c>
      <c r="N837" s="66" t="s">
        <v>1</v>
      </c>
      <c r="O837" s="33">
        <v>46245</v>
      </c>
      <c r="P837" t="s">
        <v>3205</v>
      </c>
    </row>
    <row r="838" spans="3:16" hidden="1">
      <c r="C838" s="25">
        <f t="shared" si="30"/>
        <v>830</v>
      </c>
      <c r="D838" s="24" t="s">
        <v>320</v>
      </c>
      <c r="E838" s="24" t="s">
        <v>3156</v>
      </c>
      <c r="F838" s="33">
        <v>46237</v>
      </c>
      <c r="G838" s="233">
        <f t="shared" si="31"/>
        <v>2026</v>
      </c>
      <c r="H838" s="24" t="s">
        <v>3089</v>
      </c>
      <c r="I838" s="25" t="str">
        <f>INDEX(Originadores!E:E,MATCH(Pipe!H838,Originadores!D:D,0))</f>
        <v>Broker</v>
      </c>
      <c r="N838" s="66" t="s">
        <v>1</v>
      </c>
    </row>
    <row r="839" spans="3:16" hidden="1">
      <c r="C839" s="25">
        <f t="shared" si="30"/>
        <v>831</v>
      </c>
      <c r="D839" s="24" t="s">
        <v>304</v>
      </c>
      <c r="E839" s="24" t="s">
        <v>3160</v>
      </c>
      <c r="F839" s="33">
        <v>46237</v>
      </c>
      <c r="G839" s="233">
        <f t="shared" si="31"/>
        <v>2026</v>
      </c>
      <c r="H839" s="24" t="s">
        <v>3089</v>
      </c>
      <c r="I839" s="25" t="str">
        <f>INDEX(Originadores!E:E,MATCH(Pipe!H839,Originadores!D:D,0))</f>
        <v>Broker</v>
      </c>
      <c r="J839" t="s">
        <v>3157</v>
      </c>
      <c r="N839" s="66" t="s">
        <v>1</v>
      </c>
      <c r="O839" s="33">
        <v>46258</v>
      </c>
      <c r="P839" t="s">
        <v>2251</v>
      </c>
    </row>
    <row r="840" spans="3:16" hidden="1">
      <c r="C840" s="25">
        <f t="shared" si="30"/>
        <v>832</v>
      </c>
      <c r="D840" s="24" t="s">
        <v>304</v>
      </c>
      <c r="E840" s="24" t="s">
        <v>3159</v>
      </c>
      <c r="F840" s="33">
        <v>46237</v>
      </c>
      <c r="G840" s="233">
        <f t="shared" si="31"/>
        <v>2026</v>
      </c>
      <c r="H840" s="24" t="s">
        <v>3089</v>
      </c>
      <c r="I840" s="25" t="str">
        <f>INDEX(Originadores!E:E,MATCH(Pipe!H840,Originadores!D:D,0))</f>
        <v>Broker</v>
      </c>
      <c r="N840" s="66" t="s">
        <v>1</v>
      </c>
      <c r="O840" s="33">
        <v>46258</v>
      </c>
      <c r="P840" t="s">
        <v>2251</v>
      </c>
    </row>
    <row r="841" spans="3:16" hidden="1">
      <c r="C841" s="25">
        <f t="shared" si="30"/>
        <v>833</v>
      </c>
      <c r="D841" s="24" t="s">
        <v>304</v>
      </c>
      <c r="E841" s="24" t="s">
        <v>3158</v>
      </c>
      <c r="F841" s="33">
        <v>46237</v>
      </c>
      <c r="G841" s="233">
        <f t="shared" si="31"/>
        <v>2026</v>
      </c>
      <c r="H841" s="24" t="s">
        <v>3089</v>
      </c>
      <c r="I841" s="25" t="str">
        <f>INDEX(Originadores!E:E,MATCH(Pipe!H841,Originadores!D:D,0))</f>
        <v>Broker</v>
      </c>
      <c r="N841" s="66" t="s">
        <v>1</v>
      </c>
      <c r="O841" s="33">
        <v>46258</v>
      </c>
      <c r="P841" t="s">
        <v>2251</v>
      </c>
    </row>
    <row r="842" spans="3:16" hidden="1">
      <c r="C842" s="25">
        <f t="shared" si="30"/>
        <v>834</v>
      </c>
      <c r="D842" s="24" t="s">
        <v>304</v>
      </c>
      <c r="E842" s="24" t="s">
        <v>3161</v>
      </c>
      <c r="F842" s="33">
        <v>46237</v>
      </c>
      <c r="G842" s="233">
        <f t="shared" si="31"/>
        <v>2026</v>
      </c>
      <c r="H842" s="24" t="s">
        <v>3089</v>
      </c>
      <c r="I842" s="25" t="str">
        <f>INDEX(Originadores!E:E,MATCH(Pipe!H842,Originadores!D:D,0))</f>
        <v>Broker</v>
      </c>
      <c r="N842" s="66" t="s">
        <v>1</v>
      </c>
      <c r="O842" s="33">
        <v>46258</v>
      </c>
      <c r="P842" t="s">
        <v>2251</v>
      </c>
    </row>
    <row r="843" spans="3:16" hidden="1">
      <c r="C843" s="25">
        <f t="shared" si="30"/>
        <v>835</v>
      </c>
      <c r="D843" s="24" t="s">
        <v>86</v>
      </c>
      <c r="E843" s="24" t="s">
        <v>3162</v>
      </c>
      <c r="F843" s="33">
        <v>46237</v>
      </c>
      <c r="G843" s="233">
        <f t="shared" si="31"/>
        <v>2026</v>
      </c>
      <c r="H843" s="24" t="s">
        <v>3089</v>
      </c>
      <c r="I843" s="25" t="str">
        <f>INDEX(Originadores!E:E,MATCH(Pipe!H843,Originadores!D:D,0))</f>
        <v>Broker</v>
      </c>
      <c r="N843" s="66" t="s">
        <v>1</v>
      </c>
      <c r="O843" s="31">
        <v>46237</v>
      </c>
      <c r="P843" t="s">
        <v>3163</v>
      </c>
    </row>
    <row r="844" spans="3:16" hidden="1">
      <c r="C844" s="25">
        <f t="shared" si="30"/>
        <v>836</v>
      </c>
      <c r="D844" s="24" t="s">
        <v>320</v>
      </c>
      <c r="E844" s="24" t="s">
        <v>3164</v>
      </c>
      <c r="F844" s="33">
        <v>46237</v>
      </c>
      <c r="G844" s="233">
        <f t="shared" si="31"/>
        <v>2026</v>
      </c>
      <c r="H844" s="24" t="s">
        <v>3089</v>
      </c>
      <c r="I844" s="25" t="str">
        <f>INDEX(Originadores!E:E,MATCH(Pipe!H844,Originadores!D:D,0))</f>
        <v>Broker</v>
      </c>
      <c r="J844" t="s">
        <v>3165</v>
      </c>
      <c r="N844" s="66" t="s">
        <v>1</v>
      </c>
    </row>
    <row r="845" spans="3:16" ht="43.2">
      <c r="C845" s="25">
        <f t="shared" si="30"/>
        <v>837</v>
      </c>
      <c r="D845" s="25" t="s">
        <v>204</v>
      </c>
      <c r="E845" s="25" t="s">
        <v>3166</v>
      </c>
      <c r="F845" s="33">
        <v>46237</v>
      </c>
      <c r="G845" s="233">
        <f t="shared" si="31"/>
        <v>2026</v>
      </c>
      <c r="H845" s="24" t="s">
        <v>3137</v>
      </c>
      <c r="I845" s="25" t="str">
        <f>INDEX(Originadores!E:E,MATCH(Pipe!H845,Originadores!D:D,0))</f>
        <v>Boutique</v>
      </c>
      <c r="K845" s="1" t="s">
        <v>3321</v>
      </c>
      <c r="N845" s="72" t="s">
        <v>2</v>
      </c>
    </row>
    <row r="846" spans="3:16" ht="57.6">
      <c r="C846" s="25">
        <f t="shared" si="30"/>
        <v>838</v>
      </c>
      <c r="D846" s="25" t="s">
        <v>270</v>
      </c>
      <c r="E846" s="25" t="s">
        <v>3178</v>
      </c>
      <c r="F846" s="33">
        <v>46237</v>
      </c>
      <c r="G846" s="233">
        <f t="shared" si="31"/>
        <v>2026</v>
      </c>
      <c r="H846" s="25" t="s">
        <v>3179</v>
      </c>
      <c r="I846" s="25" t="str">
        <f>INDEX(Originadores!E:E,MATCH(Pipe!H846,Originadores!D:D,0))</f>
        <v>Consultoria</v>
      </c>
      <c r="K846" s="1" t="s">
        <v>3322</v>
      </c>
      <c r="N846" s="72" t="s">
        <v>2</v>
      </c>
    </row>
    <row r="847" spans="3:16" ht="28.8">
      <c r="C847" s="25">
        <f t="shared" si="30"/>
        <v>839</v>
      </c>
      <c r="D847" s="25" t="s">
        <v>270</v>
      </c>
      <c r="E847" s="25" t="s">
        <v>3255</v>
      </c>
      <c r="F847" s="33">
        <v>46237</v>
      </c>
      <c r="G847" s="233">
        <f t="shared" si="31"/>
        <v>2026</v>
      </c>
      <c r="H847" s="25" t="s">
        <v>3180</v>
      </c>
      <c r="I847" s="25" t="str">
        <f>INDEX(Originadores!E:E,MATCH(Pipe!H847,Originadores!D:D,0))</f>
        <v>Advogado</v>
      </c>
      <c r="K847" s="1" t="s">
        <v>3299</v>
      </c>
      <c r="N847" s="72" t="s">
        <v>2</v>
      </c>
    </row>
    <row r="848" spans="3:16" ht="28.8" hidden="1">
      <c r="C848" s="25">
        <f t="shared" si="30"/>
        <v>840</v>
      </c>
      <c r="D848" s="24" t="s">
        <v>1045</v>
      </c>
      <c r="E848" s="24" t="s">
        <v>3182</v>
      </c>
      <c r="F848" s="33">
        <v>46237</v>
      </c>
      <c r="G848" s="233">
        <f t="shared" si="31"/>
        <v>2026</v>
      </c>
      <c r="H848" s="25" t="s">
        <v>3181</v>
      </c>
      <c r="J848" s="26" t="s">
        <v>3183</v>
      </c>
      <c r="K848" s="1" t="s">
        <v>3228</v>
      </c>
      <c r="N848" s="71" t="s">
        <v>4</v>
      </c>
    </row>
    <row r="849" spans="3:16" hidden="1">
      <c r="C849" s="25">
        <f t="shared" si="30"/>
        <v>841</v>
      </c>
      <c r="D849" s="24" t="s">
        <v>1045</v>
      </c>
      <c r="E849" s="24" t="s">
        <v>3185</v>
      </c>
      <c r="F849" s="33">
        <v>46237</v>
      </c>
      <c r="G849" s="233">
        <f t="shared" si="31"/>
        <v>2026</v>
      </c>
      <c r="H849" s="24" t="s">
        <v>3184</v>
      </c>
      <c r="I849" s="25" t="str">
        <f>INDEX(Originadores!E:E,MATCH(Pipe!H849,Originadores!D:D,0))</f>
        <v>Asset</v>
      </c>
      <c r="J849" t="s">
        <v>3186</v>
      </c>
      <c r="K849" t="s">
        <v>3206</v>
      </c>
      <c r="N849" s="66" t="s">
        <v>1</v>
      </c>
      <c r="O849" s="31">
        <v>46251</v>
      </c>
      <c r="P849" t="s">
        <v>3229</v>
      </c>
    </row>
    <row r="850" spans="3:16" hidden="1">
      <c r="C850" s="25">
        <f t="shared" si="30"/>
        <v>842</v>
      </c>
      <c r="D850" s="24" t="s">
        <v>3207</v>
      </c>
      <c r="E850" s="24" t="s">
        <v>2771</v>
      </c>
      <c r="F850" s="33">
        <v>46237</v>
      </c>
      <c r="G850" s="233">
        <f t="shared" si="31"/>
        <v>2026</v>
      </c>
      <c r="H850" s="24" t="s">
        <v>3187</v>
      </c>
      <c r="J850" t="s">
        <v>3208</v>
      </c>
      <c r="N850" s="66" t="s">
        <v>1</v>
      </c>
      <c r="O850" s="33">
        <v>46245</v>
      </c>
      <c r="P850" t="s">
        <v>3213</v>
      </c>
    </row>
    <row r="851" spans="3:16" hidden="1">
      <c r="C851" s="25">
        <f t="shared" si="30"/>
        <v>843</v>
      </c>
      <c r="D851" s="24" t="s">
        <v>204</v>
      </c>
      <c r="E851" s="24" t="s">
        <v>553</v>
      </c>
      <c r="F851" s="33">
        <v>46237</v>
      </c>
      <c r="G851" s="233">
        <f t="shared" si="31"/>
        <v>2026</v>
      </c>
      <c r="H851" s="24" t="s">
        <v>553</v>
      </c>
      <c r="I851" s="25" t="str">
        <f>INDEX(Originadores!E:E,MATCH(Pipe!H851,Originadores!D:D,0))</f>
        <v>Banco</v>
      </c>
      <c r="N851" s="66" t="s">
        <v>1</v>
      </c>
      <c r="O851" s="33">
        <v>46245</v>
      </c>
      <c r="P851" t="s">
        <v>3215</v>
      </c>
    </row>
    <row r="852" spans="3:16" hidden="1">
      <c r="C852" s="25">
        <f t="shared" si="30"/>
        <v>844</v>
      </c>
      <c r="D852" s="24" t="s">
        <v>440</v>
      </c>
      <c r="E852" s="24" t="s">
        <v>3188</v>
      </c>
      <c r="F852" s="31">
        <v>46245</v>
      </c>
      <c r="G852" s="233">
        <f t="shared" si="31"/>
        <v>2026</v>
      </c>
      <c r="H852" s="24" t="s">
        <v>3189</v>
      </c>
      <c r="I852" s="25" t="str">
        <f>INDEX(Originadores!E:E,MATCH(Pipe!H852,Originadores!D:D,0))</f>
        <v>Broker</v>
      </c>
      <c r="J852" t="s">
        <v>3190</v>
      </c>
      <c r="N852" s="66" t="s">
        <v>1</v>
      </c>
      <c r="O852" s="31">
        <v>46251</v>
      </c>
      <c r="P852" t="s">
        <v>3230</v>
      </c>
    </row>
    <row r="853" spans="3:16" hidden="1">
      <c r="C853" s="25">
        <f t="shared" si="30"/>
        <v>845</v>
      </c>
      <c r="D853" s="24" t="s">
        <v>329</v>
      </c>
      <c r="E853" s="24" t="s">
        <v>3191</v>
      </c>
      <c r="F853" s="31">
        <v>46245</v>
      </c>
      <c r="G853" s="233">
        <f t="shared" si="31"/>
        <v>2026</v>
      </c>
      <c r="H853" s="24" t="s">
        <v>3192</v>
      </c>
      <c r="I853" s="25" t="str">
        <f>INDEX(Originadores!E:E,MATCH(Pipe!H853,Originadores!D:D,0))</f>
        <v>Broker</v>
      </c>
      <c r="K853" t="s">
        <v>3216</v>
      </c>
      <c r="N853" s="66" t="s">
        <v>1</v>
      </c>
      <c r="O853" s="33">
        <v>46258</v>
      </c>
      <c r="P853" t="s">
        <v>3268</v>
      </c>
    </row>
    <row r="854" spans="3:16" hidden="1">
      <c r="C854" s="25">
        <f t="shared" si="30"/>
        <v>846</v>
      </c>
      <c r="D854" s="24" t="s">
        <v>198</v>
      </c>
      <c r="E854" s="24" t="s">
        <v>3193</v>
      </c>
      <c r="F854" s="31">
        <v>46245</v>
      </c>
      <c r="G854" s="233">
        <f t="shared" si="31"/>
        <v>2026</v>
      </c>
      <c r="H854" s="24" t="s">
        <v>3194</v>
      </c>
      <c r="I854" s="25" t="e">
        <f>INDEX(Originadores!E:E,MATCH(Pipe!H854,Originadores!D:D,0))</f>
        <v>#N/A</v>
      </c>
      <c r="N854" s="66" t="s">
        <v>1</v>
      </c>
      <c r="O854" s="31">
        <v>46251</v>
      </c>
      <c r="P854" t="s">
        <v>3232</v>
      </c>
    </row>
    <row r="855" spans="3:16">
      <c r="C855" s="25">
        <f t="shared" si="30"/>
        <v>847</v>
      </c>
      <c r="D855" s="24" t="s">
        <v>3209</v>
      </c>
      <c r="E855" s="24" t="s">
        <v>3210</v>
      </c>
      <c r="F855" s="31">
        <v>46245</v>
      </c>
      <c r="G855" s="233">
        <f t="shared" si="31"/>
        <v>2026</v>
      </c>
      <c r="H855" s="24" t="s">
        <v>2117</v>
      </c>
      <c r="I855" s="25" t="str">
        <f>INDEX(Originadores!E:E,MATCH(Pipe!H855,Originadores!D:D,0))</f>
        <v>Consultoria</v>
      </c>
      <c r="K855" t="s">
        <v>3231</v>
      </c>
      <c r="N855" s="72" t="s">
        <v>2</v>
      </c>
    </row>
    <row r="856" spans="3:16" hidden="1">
      <c r="C856" s="25">
        <f t="shared" si="30"/>
        <v>848</v>
      </c>
      <c r="D856" s="24" t="s">
        <v>270</v>
      </c>
      <c r="E856" s="24" t="s">
        <v>3211</v>
      </c>
      <c r="F856" s="31">
        <v>46245</v>
      </c>
      <c r="G856" s="233">
        <f t="shared" si="31"/>
        <v>2026</v>
      </c>
      <c r="H856" s="24" t="s">
        <v>3214</v>
      </c>
      <c r="I856" s="25" t="str">
        <f>INDEX(Originadores!E:E,MATCH(Pipe!H856,Originadores!D:D,0))</f>
        <v>Asset</v>
      </c>
      <c r="N856" s="66" t="s">
        <v>1</v>
      </c>
    </row>
    <row r="857" spans="3:16" hidden="1">
      <c r="C857" s="25">
        <f t="shared" si="30"/>
        <v>849</v>
      </c>
      <c r="D857" s="24" t="s">
        <v>3209</v>
      </c>
      <c r="E857" s="24" t="s">
        <v>3212</v>
      </c>
      <c r="F857" s="31">
        <v>46245</v>
      </c>
      <c r="G857" s="233">
        <f t="shared" si="31"/>
        <v>2026</v>
      </c>
      <c r="H857" s="24" t="s">
        <v>2455</v>
      </c>
      <c r="I857" s="25" t="str">
        <f>INDEX(Originadores!E:E,MATCH(Pipe!H857,Originadores!D:D,0))</f>
        <v>Broker</v>
      </c>
      <c r="N857" s="66" t="s">
        <v>1</v>
      </c>
      <c r="O857" s="33">
        <v>46245</v>
      </c>
      <c r="P857" t="s">
        <v>3213</v>
      </c>
    </row>
    <row r="858" spans="3:16" hidden="1">
      <c r="C858" s="25">
        <f t="shared" si="30"/>
        <v>850</v>
      </c>
      <c r="D858" s="24" t="s">
        <v>270</v>
      </c>
      <c r="E858" s="24" t="s">
        <v>3217</v>
      </c>
      <c r="F858" s="31">
        <v>46251</v>
      </c>
      <c r="G858" s="233">
        <f t="shared" si="31"/>
        <v>2026</v>
      </c>
      <c r="H858" s="24" t="s">
        <v>2814</v>
      </c>
      <c r="I858" s="25" t="str">
        <f>INDEX(Originadores!E:E,MATCH(Pipe!H858,Originadores!D:D,0))</f>
        <v>Broker</v>
      </c>
      <c r="K858" t="s">
        <v>3256</v>
      </c>
      <c r="N858" s="66" t="s">
        <v>1</v>
      </c>
      <c r="O858" s="33">
        <v>46258</v>
      </c>
    </row>
    <row r="859" spans="3:16" ht="28.8" hidden="1">
      <c r="C859" s="25">
        <f t="shared" si="30"/>
        <v>851</v>
      </c>
      <c r="D859" s="25" t="s">
        <v>86</v>
      </c>
      <c r="E859" s="25" t="s">
        <v>3218</v>
      </c>
      <c r="F859" s="33">
        <v>46251</v>
      </c>
      <c r="G859" s="233">
        <f t="shared" si="31"/>
        <v>2026</v>
      </c>
      <c r="H859" s="25" t="s">
        <v>994</v>
      </c>
      <c r="I859" s="25" t="str">
        <f>INDEX(Originadores!E:E,MATCH(Pipe!H859,Originadores!D:D,0))</f>
        <v>Broker</v>
      </c>
      <c r="K859" s="1" t="s">
        <v>3219</v>
      </c>
      <c r="N859" s="72" t="s">
        <v>4</v>
      </c>
    </row>
    <row r="860" spans="3:16" hidden="1">
      <c r="C860" s="25">
        <f t="shared" si="30"/>
        <v>852</v>
      </c>
      <c r="D860" s="25" t="s">
        <v>807</v>
      </c>
      <c r="E860" s="24" t="s">
        <v>3220</v>
      </c>
      <c r="F860" s="31">
        <v>46251</v>
      </c>
      <c r="G860" s="233">
        <f t="shared" si="31"/>
        <v>2026</v>
      </c>
      <c r="N860" s="66" t="s">
        <v>1</v>
      </c>
      <c r="O860" s="31">
        <v>46251</v>
      </c>
      <c r="P860" t="s">
        <v>3233</v>
      </c>
    </row>
    <row r="861" spans="3:16">
      <c r="C861" s="25">
        <f t="shared" si="30"/>
        <v>853</v>
      </c>
      <c r="D861" s="24" t="s">
        <v>304</v>
      </c>
      <c r="E861" s="24" t="s">
        <v>3221</v>
      </c>
      <c r="F861" s="31">
        <v>46251</v>
      </c>
      <c r="G861" s="233">
        <f t="shared" si="31"/>
        <v>2026</v>
      </c>
      <c r="H861" s="24" t="s">
        <v>1050</v>
      </c>
      <c r="I861" s="25" t="str">
        <f>INDEX(Originadores!E:E,MATCH(Pipe!H861,Originadores!D:D,0))</f>
        <v>Broker</v>
      </c>
      <c r="N861" s="72" t="s">
        <v>2</v>
      </c>
    </row>
    <row r="862" spans="3:16" hidden="1">
      <c r="C862" s="25">
        <f t="shared" si="30"/>
        <v>854</v>
      </c>
      <c r="D862" s="25" t="s">
        <v>1045</v>
      </c>
      <c r="E862" s="25" t="s">
        <v>3222</v>
      </c>
      <c r="F862" s="33">
        <v>46251</v>
      </c>
      <c r="G862" s="233">
        <f t="shared" si="31"/>
        <v>2026</v>
      </c>
      <c r="H862" s="24" t="s">
        <v>3236</v>
      </c>
      <c r="K862" s="1" t="s">
        <v>3234</v>
      </c>
      <c r="N862" s="66" t="s">
        <v>1</v>
      </c>
      <c r="O862" s="31">
        <v>46251</v>
      </c>
      <c r="P862" t="s">
        <v>2846</v>
      </c>
    </row>
    <row r="863" spans="3:16" hidden="1">
      <c r="C863" s="25">
        <f t="shared" si="30"/>
        <v>855</v>
      </c>
      <c r="D863" s="24" t="s">
        <v>320</v>
      </c>
      <c r="E863" s="24" t="s">
        <v>3235</v>
      </c>
      <c r="F863" s="31">
        <v>46251</v>
      </c>
      <c r="G863" s="233">
        <f t="shared" si="31"/>
        <v>2026</v>
      </c>
      <c r="J863" t="s">
        <v>3227</v>
      </c>
      <c r="K863" t="s">
        <v>3269</v>
      </c>
      <c r="N863" s="230" t="s">
        <v>4</v>
      </c>
    </row>
    <row r="864" spans="3:16">
      <c r="C864" s="25">
        <f t="shared" si="30"/>
        <v>856</v>
      </c>
      <c r="D864" s="25" t="s">
        <v>204</v>
      </c>
      <c r="E864" s="24" t="s">
        <v>3237</v>
      </c>
      <c r="F864" s="31">
        <v>46251</v>
      </c>
      <c r="G864" s="233">
        <f t="shared" si="31"/>
        <v>2026</v>
      </c>
      <c r="H864" s="24" t="s">
        <v>3238</v>
      </c>
      <c r="K864" t="s">
        <v>3257</v>
      </c>
      <c r="N864" s="72" t="s">
        <v>2</v>
      </c>
    </row>
    <row r="865" spans="3:16">
      <c r="C865" s="25">
        <f t="shared" si="30"/>
        <v>857</v>
      </c>
      <c r="D865" s="24" t="s">
        <v>304</v>
      </c>
      <c r="E865" s="24" t="s">
        <v>3239</v>
      </c>
      <c r="F865" s="31">
        <v>46251</v>
      </c>
      <c r="G865" s="233">
        <f t="shared" si="31"/>
        <v>2026</v>
      </c>
      <c r="K865" t="s">
        <v>3258</v>
      </c>
      <c r="N865" s="72" t="s">
        <v>2</v>
      </c>
    </row>
    <row r="866" spans="3:16" hidden="1">
      <c r="C866" s="25">
        <f t="shared" si="30"/>
        <v>858</v>
      </c>
      <c r="D866" s="24" t="s">
        <v>304</v>
      </c>
      <c r="E866" s="24" t="s">
        <v>3241</v>
      </c>
      <c r="F866" s="31">
        <v>46258</v>
      </c>
      <c r="G866" s="233">
        <f t="shared" si="31"/>
        <v>2026</v>
      </c>
      <c r="H866" s="24" t="s">
        <v>1050</v>
      </c>
      <c r="I866" s="25" t="str">
        <f>INDEX(Originadores!E:E,MATCH(Pipe!H866,Originadores!D:D,0))</f>
        <v>Broker</v>
      </c>
      <c r="N866" s="11" t="s">
        <v>1</v>
      </c>
      <c r="O866" s="31">
        <v>46258</v>
      </c>
      <c r="P866" t="s">
        <v>3242</v>
      </c>
    </row>
    <row r="867" spans="3:16" ht="28.8">
      <c r="C867" s="25">
        <f t="shared" si="30"/>
        <v>859</v>
      </c>
      <c r="D867" s="25" t="s">
        <v>329</v>
      </c>
      <c r="E867" s="25" t="s">
        <v>3243</v>
      </c>
      <c r="F867" s="33">
        <v>46258</v>
      </c>
      <c r="G867" s="233">
        <f t="shared" si="31"/>
        <v>2026</v>
      </c>
      <c r="K867" s="1" t="s">
        <v>3334</v>
      </c>
      <c r="N867" s="72" t="s">
        <v>2</v>
      </c>
    </row>
    <row r="868" spans="3:16" hidden="1">
      <c r="C868" s="25">
        <f t="shared" si="30"/>
        <v>860</v>
      </c>
      <c r="D868" s="24" t="s">
        <v>204</v>
      </c>
      <c r="E868" s="24" t="s">
        <v>3244</v>
      </c>
      <c r="F868" s="31">
        <v>46258</v>
      </c>
      <c r="G868" s="233">
        <f t="shared" si="31"/>
        <v>2026</v>
      </c>
      <c r="H868" s="24" t="s">
        <v>206</v>
      </c>
      <c r="I868" s="25" t="str">
        <f>INDEX(Originadores!E:E,MATCH(Pipe!H868,Originadores!D:D,0))</f>
        <v>Banco</v>
      </c>
      <c r="K868" t="s">
        <v>3301</v>
      </c>
      <c r="N868" s="66" t="s">
        <v>1</v>
      </c>
    </row>
    <row r="869" spans="3:16" hidden="1">
      <c r="C869" s="25">
        <f t="shared" si="30"/>
        <v>861</v>
      </c>
      <c r="D869" s="24" t="s">
        <v>329</v>
      </c>
      <c r="E869" s="24" t="s">
        <v>3245</v>
      </c>
      <c r="F869" s="31">
        <v>46258</v>
      </c>
      <c r="G869" s="233">
        <f t="shared" si="31"/>
        <v>2026</v>
      </c>
      <c r="H869" s="24" t="s">
        <v>3246</v>
      </c>
      <c r="I869" s="25" t="e">
        <f>INDEX(Originadores!E:E,MATCH(Pipe!H869,Originadores!D:D,0))</f>
        <v>#N/A</v>
      </c>
      <c r="K869" t="s">
        <v>3302</v>
      </c>
      <c r="N869" s="71" t="s">
        <v>4</v>
      </c>
    </row>
    <row r="870" spans="3:16" hidden="1">
      <c r="C870" s="25">
        <f t="shared" si="30"/>
        <v>862</v>
      </c>
      <c r="D870" s="24" t="s">
        <v>270</v>
      </c>
      <c r="E870" s="24" t="s">
        <v>3247</v>
      </c>
      <c r="F870" s="31">
        <v>46258</v>
      </c>
      <c r="G870" s="233">
        <f t="shared" si="31"/>
        <v>2026</v>
      </c>
      <c r="H870" s="24" t="s">
        <v>3180</v>
      </c>
      <c r="I870" s="25" t="str">
        <f>INDEX(Originadores!E:E,MATCH(Pipe!H870,Originadores!D:D,0))</f>
        <v>Advogado</v>
      </c>
      <c r="N870" s="66" t="s">
        <v>1</v>
      </c>
      <c r="O870" s="31">
        <v>46265</v>
      </c>
      <c r="P870" t="s">
        <v>3303</v>
      </c>
    </row>
    <row r="871" spans="3:16" hidden="1">
      <c r="C871" s="25">
        <f t="shared" si="30"/>
        <v>863</v>
      </c>
      <c r="D871" s="24" t="s">
        <v>270</v>
      </c>
      <c r="E871" s="24" t="s">
        <v>3248</v>
      </c>
      <c r="F871" s="31">
        <v>46258</v>
      </c>
      <c r="G871" s="233">
        <f t="shared" si="31"/>
        <v>2026</v>
      </c>
      <c r="H871" s="24" t="s">
        <v>2643</v>
      </c>
      <c r="I871" s="25" t="str">
        <f>INDEX(Originadores!E:E,MATCH(Pipe!H871,Originadores!D:D,0))</f>
        <v>Broker</v>
      </c>
      <c r="N871" s="66" t="s">
        <v>1</v>
      </c>
      <c r="O871" s="31">
        <v>46265</v>
      </c>
      <c r="P871" t="s">
        <v>3304</v>
      </c>
    </row>
    <row r="872" spans="3:16" hidden="1">
      <c r="C872" s="25">
        <f t="shared" si="30"/>
        <v>864</v>
      </c>
      <c r="D872" s="24" t="s">
        <v>320</v>
      </c>
      <c r="E872" s="24" t="s">
        <v>3249</v>
      </c>
      <c r="F872" s="31">
        <v>46258</v>
      </c>
      <c r="G872" s="233">
        <f t="shared" ref="G872:G876" si="32">+YEAR(F872)</f>
        <v>2026</v>
      </c>
      <c r="H872" s="24" t="s">
        <v>1637</v>
      </c>
      <c r="I872" s="25" t="str">
        <f>INDEX(Originadores!E:E,MATCH(Pipe!H872,Originadores!D:D,0))</f>
        <v>Broker</v>
      </c>
      <c r="N872" s="66" t="s">
        <v>1</v>
      </c>
      <c r="O872" s="31">
        <v>46265</v>
      </c>
      <c r="P872" t="s">
        <v>2985</v>
      </c>
    </row>
    <row r="873" spans="3:16" hidden="1">
      <c r="C873" s="25">
        <f t="shared" si="30"/>
        <v>865</v>
      </c>
      <c r="D873" s="24" t="s">
        <v>320</v>
      </c>
      <c r="E873" s="24" t="s">
        <v>3250</v>
      </c>
      <c r="F873" s="31">
        <v>46258</v>
      </c>
      <c r="G873" s="233">
        <f t="shared" si="32"/>
        <v>2026</v>
      </c>
      <c r="H873" s="24" t="s">
        <v>1637</v>
      </c>
      <c r="I873" s="25" t="str">
        <f>INDEX(Originadores!E:E,MATCH(Pipe!H873,Originadores!D:D,0))</f>
        <v>Broker</v>
      </c>
      <c r="N873" s="66" t="s">
        <v>1</v>
      </c>
      <c r="O873" s="31">
        <v>46265</v>
      </c>
      <c r="P873" t="s">
        <v>3306</v>
      </c>
    </row>
    <row r="874" spans="3:16" hidden="1">
      <c r="C874" s="25">
        <f t="shared" si="30"/>
        <v>866</v>
      </c>
      <c r="D874" s="24" t="s">
        <v>3264</v>
      </c>
      <c r="E874" s="24" t="s">
        <v>3259</v>
      </c>
      <c r="F874" s="31">
        <v>46258</v>
      </c>
      <c r="G874" s="233">
        <f t="shared" si="32"/>
        <v>2026</v>
      </c>
      <c r="H874" s="24" t="s">
        <v>3089</v>
      </c>
      <c r="I874" s="25" t="str">
        <f>INDEX(Originadores!E:E,MATCH(Pipe!H874,Originadores!D:D,0))</f>
        <v>Broker</v>
      </c>
      <c r="N874" s="66" t="s">
        <v>1</v>
      </c>
      <c r="O874" s="31">
        <v>46265</v>
      </c>
      <c r="P874" t="s">
        <v>3307</v>
      </c>
    </row>
    <row r="875" spans="3:16">
      <c r="C875" s="25">
        <f t="shared" si="30"/>
        <v>867</v>
      </c>
      <c r="D875" s="24" t="s">
        <v>807</v>
      </c>
      <c r="E875" s="24" t="s">
        <v>3260</v>
      </c>
      <c r="F875" s="31">
        <v>46258</v>
      </c>
      <c r="G875" s="233">
        <f t="shared" si="32"/>
        <v>2026</v>
      </c>
      <c r="H875" s="24" t="s">
        <v>994</v>
      </c>
      <c r="I875" s="25" t="str">
        <f>INDEX(Originadores!E:E,MATCH(Pipe!H875,Originadores!D:D,0))</f>
        <v>Broker</v>
      </c>
      <c r="K875" t="s">
        <v>3308</v>
      </c>
      <c r="N875" s="72" t="s">
        <v>2</v>
      </c>
    </row>
    <row r="876" spans="3:16" ht="28.8">
      <c r="C876" s="25">
        <f t="shared" si="30"/>
        <v>868</v>
      </c>
      <c r="D876" s="25" t="s">
        <v>270</v>
      </c>
      <c r="E876" s="25" t="s">
        <v>3261</v>
      </c>
      <c r="F876" s="33">
        <v>46258</v>
      </c>
      <c r="G876" s="233">
        <f t="shared" si="32"/>
        <v>2026</v>
      </c>
      <c r="H876" s="25" t="s">
        <v>3262</v>
      </c>
      <c r="I876" s="25" t="e">
        <f>INDEX(Originadores!E:E,MATCH(Pipe!H876,Originadores!D:D,0))</f>
        <v>#N/A</v>
      </c>
      <c r="J876" s="1" t="s">
        <v>3263</v>
      </c>
      <c r="N876" s="72" t="s">
        <v>2</v>
      </c>
    </row>
    <row r="877" spans="3:16" hidden="1">
      <c r="C877" s="25">
        <f t="shared" si="30"/>
        <v>869</v>
      </c>
      <c r="D877" s="24" t="s">
        <v>1045</v>
      </c>
      <c r="E877" s="24" t="s">
        <v>3265</v>
      </c>
      <c r="F877" s="33">
        <v>46258</v>
      </c>
      <c r="G877" s="233">
        <f t="shared" ref="G877" si="33">+YEAR(F877)</f>
        <v>2026</v>
      </c>
      <c r="H877" s="24" t="s">
        <v>3184</v>
      </c>
      <c r="I877" s="25" t="str">
        <f>INDEX(Originadores!E:E,MATCH(Pipe!H877,Originadores!D:D,0))</f>
        <v>Asset</v>
      </c>
      <c r="N877" s="66" t="s">
        <v>1</v>
      </c>
      <c r="O877" s="33">
        <v>46258</v>
      </c>
      <c r="P877" t="s">
        <v>3270</v>
      </c>
    </row>
    <row r="878" spans="3:16" ht="129.6" hidden="1">
      <c r="C878" s="25">
        <f t="shared" si="30"/>
        <v>870</v>
      </c>
      <c r="D878" s="25" t="s">
        <v>1045</v>
      </c>
      <c r="E878" s="25" t="s">
        <v>3271</v>
      </c>
      <c r="F878" s="33">
        <v>46261</v>
      </c>
      <c r="G878" s="233">
        <f t="shared" ref="G878" si="34">+YEAR(F878)</f>
        <v>2026</v>
      </c>
      <c r="H878" s="25" t="s">
        <v>3272</v>
      </c>
      <c r="I878" s="25" t="e">
        <f>INDEX(Originadores!E:E,MATCH(Pipe!H878,Originadores!D:D,0))</f>
        <v>#N/A</v>
      </c>
      <c r="J878" s="1" t="s">
        <v>3273</v>
      </c>
      <c r="N878" s="66" t="s">
        <v>1</v>
      </c>
    </row>
    <row r="879" spans="3:16" ht="28.8" hidden="1">
      <c r="C879" s="25">
        <f t="shared" si="30"/>
        <v>871</v>
      </c>
      <c r="D879" s="25" t="s">
        <v>1045</v>
      </c>
      <c r="E879" s="25" t="s">
        <v>3274</v>
      </c>
      <c r="F879" s="33">
        <v>46261</v>
      </c>
      <c r="G879" s="233">
        <f t="shared" ref="G879" si="35">+YEAR(F879)</f>
        <v>2026</v>
      </c>
      <c r="H879" s="25" t="s">
        <v>76</v>
      </c>
      <c r="I879" s="25" t="str">
        <f>INDEX(Originadores!E:E,MATCH(Pipe!H879,Originadores!D:D,0))</f>
        <v>Consultoria</v>
      </c>
      <c r="J879" s="1" t="s">
        <v>3309</v>
      </c>
      <c r="N879" s="66" t="s">
        <v>1</v>
      </c>
      <c r="O879" s="64">
        <v>46265</v>
      </c>
      <c r="P879" s="26" t="s">
        <v>3310</v>
      </c>
    </row>
    <row r="880" spans="3:16" ht="43.2" hidden="1">
      <c r="C880" s="25">
        <f t="shared" si="30"/>
        <v>872</v>
      </c>
      <c r="D880" s="25" t="s">
        <v>1045</v>
      </c>
      <c r="E880" s="25" t="s">
        <v>3275</v>
      </c>
      <c r="F880" s="33">
        <v>46261</v>
      </c>
      <c r="G880" s="233">
        <f t="shared" ref="G880" si="36">+YEAR(F880)</f>
        <v>2026</v>
      </c>
      <c r="H880" s="25" t="s">
        <v>3011</v>
      </c>
      <c r="I880" s="25" t="str">
        <f>INDEX(Originadores!E:E,MATCH(Pipe!H880,Originadores!D:D,0))</f>
        <v>Advisor</v>
      </c>
      <c r="J880" s="1" t="s">
        <v>3276</v>
      </c>
      <c r="N880" s="66" t="s">
        <v>1</v>
      </c>
    </row>
    <row r="881" spans="3:16" ht="28.8">
      <c r="C881" s="25">
        <f t="shared" si="30"/>
        <v>873</v>
      </c>
      <c r="D881" s="25" t="s">
        <v>270</v>
      </c>
      <c r="E881" s="25" t="s">
        <v>3278</v>
      </c>
      <c r="F881" s="33">
        <v>46261</v>
      </c>
      <c r="G881" s="233">
        <f t="shared" ref="G881" si="37">+YEAR(F881)</f>
        <v>2026</v>
      </c>
      <c r="H881" s="25" t="s">
        <v>3277</v>
      </c>
      <c r="I881" s="25" t="e">
        <f>INDEX(Originadores!E:E,MATCH(Pipe!H881,Originadores!D:D,0))</f>
        <v>#N/A</v>
      </c>
      <c r="J881" s="2" t="s">
        <v>3279</v>
      </c>
      <c r="K881" s="1" t="s">
        <v>3335</v>
      </c>
      <c r="N881" s="72" t="s">
        <v>2</v>
      </c>
    </row>
    <row r="882" spans="3:16" hidden="1">
      <c r="C882" s="25">
        <f t="shared" si="30"/>
        <v>874</v>
      </c>
      <c r="D882" s="25" t="s">
        <v>204</v>
      </c>
      <c r="E882" s="25" t="s">
        <v>3280</v>
      </c>
      <c r="F882" s="33">
        <v>46261</v>
      </c>
      <c r="G882" s="233">
        <f t="shared" ref="G882" si="38">+YEAR(F882)</f>
        <v>2026</v>
      </c>
      <c r="H882" s="25" t="s">
        <v>3281</v>
      </c>
      <c r="N882" s="66" t="s">
        <v>1</v>
      </c>
      <c r="O882" s="64">
        <v>46273</v>
      </c>
      <c r="P882" t="s">
        <v>3337</v>
      </c>
    </row>
    <row r="883" spans="3:16" hidden="1">
      <c r="C883" s="25">
        <f t="shared" si="30"/>
        <v>875</v>
      </c>
      <c r="D883" s="25" t="s">
        <v>3282</v>
      </c>
      <c r="E883" s="25" t="s">
        <v>3283</v>
      </c>
      <c r="F883" s="33">
        <v>46261</v>
      </c>
      <c r="G883" s="233">
        <f t="shared" ref="G883" si="39">+YEAR(F883)</f>
        <v>2026</v>
      </c>
      <c r="H883" s="25" t="s">
        <v>802</v>
      </c>
      <c r="I883" s="25" t="e">
        <f>INDEX(Originadores!E:E,MATCH(Pipe!H883,Originadores!D:D,0))</f>
        <v>#N/A</v>
      </c>
      <c r="J883" s="1" t="s">
        <v>3294</v>
      </c>
      <c r="K883" t="s">
        <v>3295</v>
      </c>
      <c r="N883" s="66" t="s">
        <v>1</v>
      </c>
      <c r="O883" s="64">
        <v>46273</v>
      </c>
      <c r="P883" t="s">
        <v>3336</v>
      </c>
    </row>
    <row r="884" spans="3:16" hidden="1">
      <c r="C884" s="25">
        <f t="shared" si="30"/>
        <v>876</v>
      </c>
      <c r="D884" s="25" t="s">
        <v>304</v>
      </c>
      <c r="E884" s="25" t="s">
        <v>3284</v>
      </c>
      <c r="F884" s="33">
        <v>46261</v>
      </c>
      <c r="G884" s="233">
        <f t="shared" ref="G884" si="40">+YEAR(F884)</f>
        <v>2026</v>
      </c>
      <c r="H884" s="25" t="s">
        <v>3285</v>
      </c>
      <c r="I884" s="25" t="e">
        <f>INDEX(Originadores!E:E,MATCH(Pipe!H884,Originadores!D:D,0))</f>
        <v>#N/A</v>
      </c>
      <c r="N884" s="66" t="s">
        <v>1</v>
      </c>
      <c r="O884" s="64">
        <v>46265</v>
      </c>
      <c r="P884" t="s">
        <v>3242</v>
      </c>
    </row>
    <row r="885" spans="3:16">
      <c r="C885" s="25">
        <f t="shared" si="30"/>
        <v>877</v>
      </c>
      <c r="D885" s="25" t="s">
        <v>1563</v>
      </c>
      <c r="E885" s="25" t="s">
        <v>3286</v>
      </c>
      <c r="F885" s="33">
        <v>46261</v>
      </c>
      <c r="G885" s="233">
        <f t="shared" ref="G885" si="41">+YEAR(F885)</f>
        <v>2026</v>
      </c>
      <c r="H885" s="25" t="s">
        <v>3287</v>
      </c>
      <c r="I885" s="25" t="e">
        <f>INDEX(Originadores!E:E,MATCH(Pipe!H885,Originadores!D:D,0))</f>
        <v>#N/A</v>
      </c>
      <c r="J885" t="s">
        <v>3288</v>
      </c>
      <c r="N885" s="72" t="s">
        <v>2</v>
      </c>
    </row>
    <row r="886" spans="3:16" hidden="1">
      <c r="C886" s="25">
        <f t="shared" si="30"/>
        <v>878</v>
      </c>
      <c r="D886" s="25" t="s">
        <v>2473</v>
      </c>
      <c r="E886" s="25" t="s">
        <v>3289</v>
      </c>
      <c r="F886" s="33">
        <v>46261</v>
      </c>
      <c r="G886" s="233">
        <f t="shared" ref="G886" si="42">+YEAR(F886)</f>
        <v>2026</v>
      </c>
      <c r="N886" s="66" t="s">
        <v>1</v>
      </c>
      <c r="O886" s="64">
        <v>46265</v>
      </c>
      <c r="P886" t="s">
        <v>3311</v>
      </c>
    </row>
    <row r="887" spans="3:16">
      <c r="C887" s="25">
        <f t="shared" si="30"/>
        <v>879</v>
      </c>
      <c r="D887" s="25" t="s">
        <v>1045</v>
      </c>
      <c r="E887" s="25" t="s">
        <v>3290</v>
      </c>
      <c r="F887" s="33">
        <v>46261</v>
      </c>
      <c r="G887" s="233">
        <f t="shared" ref="G887" si="43">+YEAR(F887)</f>
        <v>2026</v>
      </c>
      <c r="H887" s="25" t="s">
        <v>3071</v>
      </c>
      <c r="I887" s="25">
        <f>INDEX(Originadores!E:E,MATCH(Pipe!H887,Originadores!D:D,0))</f>
        <v>0</v>
      </c>
      <c r="J887" t="s">
        <v>3291</v>
      </c>
      <c r="N887" s="72" t="s">
        <v>2</v>
      </c>
    </row>
    <row r="888" spans="3:16" hidden="1">
      <c r="C888" s="25">
        <f t="shared" si="30"/>
        <v>880</v>
      </c>
      <c r="D888" s="25" t="s">
        <v>270</v>
      </c>
      <c r="E888" s="25" t="s">
        <v>3305</v>
      </c>
      <c r="F888" s="33">
        <v>46261</v>
      </c>
      <c r="G888" s="233">
        <f t="shared" ref="G888" si="44">+YEAR(F888)</f>
        <v>2026</v>
      </c>
      <c r="H888" s="25" t="s">
        <v>1637</v>
      </c>
      <c r="I888" s="25" t="str">
        <f>INDEX(Originadores!E:E,MATCH(Pipe!H888,Originadores!D:D,0))</f>
        <v>Broker</v>
      </c>
      <c r="N888" s="66" t="s">
        <v>1</v>
      </c>
    </row>
    <row r="889" spans="3:16">
      <c r="C889" s="25">
        <f t="shared" si="30"/>
        <v>881</v>
      </c>
      <c r="D889" s="25" t="s">
        <v>270</v>
      </c>
      <c r="E889" s="25" t="s">
        <v>3312</v>
      </c>
      <c r="F889" s="33">
        <v>46261</v>
      </c>
      <c r="G889" s="233">
        <f t="shared" ref="G889" si="45">+YEAR(F889)</f>
        <v>2026</v>
      </c>
      <c r="H889" s="25" t="s">
        <v>1948</v>
      </c>
      <c r="I889" s="25" t="str">
        <f>INDEX(Originadores!E:E,MATCH(Pipe!H889,Originadores!D:D,0))</f>
        <v>Advogado</v>
      </c>
      <c r="J889" t="s">
        <v>3313</v>
      </c>
      <c r="K889" t="s">
        <v>3338</v>
      </c>
      <c r="N889" s="72" t="s">
        <v>2</v>
      </c>
    </row>
    <row r="890" spans="3:16" ht="28.8">
      <c r="C890" s="25">
        <f t="shared" si="30"/>
        <v>882</v>
      </c>
      <c r="D890" s="25" t="s">
        <v>270</v>
      </c>
      <c r="E890" s="25" t="s">
        <v>3314</v>
      </c>
      <c r="F890" s="33">
        <v>46261</v>
      </c>
      <c r="G890" s="233">
        <f t="shared" ref="G890" si="46">+YEAR(F890)</f>
        <v>2026</v>
      </c>
      <c r="H890" s="25" t="s">
        <v>1948</v>
      </c>
      <c r="I890" s="25" t="str">
        <f>INDEX(Originadores!E:E,MATCH(Pipe!H890,Originadores!D:D,0))</f>
        <v>Advogado</v>
      </c>
      <c r="J890" s="26" t="s">
        <v>3315</v>
      </c>
      <c r="K890" s="1" t="s">
        <v>3339</v>
      </c>
      <c r="N890" s="72" t="s">
        <v>2</v>
      </c>
    </row>
    <row r="891" spans="3:16">
      <c r="C891" s="25">
        <f t="shared" si="30"/>
        <v>883</v>
      </c>
      <c r="D891" s="25" t="s">
        <v>270</v>
      </c>
      <c r="E891" s="25" t="s">
        <v>3317</v>
      </c>
      <c r="F891" s="33">
        <v>46261</v>
      </c>
      <c r="G891" s="233">
        <f t="shared" ref="G891" si="47">+YEAR(F891)</f>
        <v>2026</v>
      </c>
      <c r="H891" s="25" t="s">
        <v>3316</v>
      </c>
      <c r="I891" s="25" t="e">
        <f>INDEX(Originadores!E:E,MATCH(Pipe!H891,Originadores!D:D,0))</f>
        <v>#N/A</v>
      </c>
      <c r="J891" t="s">
        <v>3318</v>
      </c>
      <c r="K891" t="s">
        <v>3340</v>
      </c>
      <c r="N891" s="72" t="s">
        <v>2</v>
      </c>
    </row>
    <row r="892" spans="3:16">
      <c r="C892" s="25">
        <f t="shared" si="30"/>
        <v>884</v>
      </c>
      <c r="D892" s="25" t="s">
        <v>270</v>
      </c>
      <c r="E892" s="25" t="s">
        <v>3343</v>
      </c>
      <c r="F892" s="33">
        <v>46261</v>
      </c>
      <c r="G892" s="233">
        <f t="shared" ref="G892:G893" si="48">+YEAR(F892)</f>
        <v>2026</v>
      </c>
      <c r="H892" s="25" t="s">
        <v>3342</v>
      </c>
      <c r="I892" s="25" t="e">
        <f>INDEX(Originadores!E:E,MATCH(Pipe!H892,Originadores!D:D,0))</f>
        <v>#N/A</v>
      </c>
      <c r="K892" t="s">
        <v>3341</v>
      </c>
      <c r="N892" s="72" t="s">
        <v>2</v>
      </c>
    </row>
    <row r="893" spans="3:16">
      <c r="C893" s="25">
        <f t="shared" si="30"/>
        <v>885</v>
      </c>
      <c r="D893" s="25" t="s">
        <v>1045</v>
      </c>
      <c r="E893" s="25" t="s">
        <v>3319</v>
      </c>
      <c r="F893" s="33">
        <v>46261</v>
      </c>
      <c r="G893" s="233">
        <f t="shared" si="48"/>
        <v>2026</v>
      </c>
      <c r="H893" s="25" t="s">
        <v>3094</v>
      </c>
      <c r="I893" s="25" t="e">
        <f>INDEX(Originadores!E:E,MATCH(Pipe!H893,Originadores!D:D,0))</f>
        <v>#N/A</v>
      </c>
      <c r="J893" t="s">
        <v>3344</v>
      </c>
      <c r="K893" t="s">
        <v>3345</v>
      </c>
      <c r="N893" s="72" t="s">
        <v>2</v>
      </c>
    </row>
    <row r="894" spans="3:16">
      <c r="C894" s="25">
        <f t="shared" si="30"/>
        <v>886</v>
      </c>
      <c r="D894" s="25" t="s">
        <v>1045</v>
      </c>
      <c r="E894" s="25" t="s">
        <v>3320</v>
      </c>
      <c r="F894" s="33">
        <v>46261</v>
      </c>
      <c r="G894" s="233">
        <f t="shared" ref="G894:G895" si="49">+YEAR(F894)</f>
        <v>2026</v>
      </c>
      <c r="H894" s="25" t="s">
        <v>3049</v>
      </c>
      <c r="I894" s="25" t="str">
        <f>INDEX(Originadores!E:E,MATCH(Pipe!H894,Originadores!D:D,0))</f>
        <v>Broker</v>
      </c>
      <c r="N894" s="72" t="s">
        <v>2</v>
      </c>
    </row>
    <row r="895" spans="3:16">
      <c r="C895" s="25">
        <f t="shared" si="30"/>
        <v>887</v>
      </c>
      <c r="D895" s="25" t="s">
        <v>1045</v>
      </c>
      <c r="E895" s="25" t="s">
        <v>3323</v>
      </c>
      <c r="F895" s="33">
        <v>46261</v>
      </c>
      <c r="G895" s="233">
        <f t="shared" si="49"/>
        <v>2026</v>
      </c>
      <c r="H895" s="25" t="s">
        <v>3049</v>
      </c>
      <c r="I895" s="25" t="str">
        <f>INDEX(Originadores!E:E,MATCH(Pipe!H895,Originadores!D:D,0))</f>
        <v>Broker</v>
      </c>
      <c r="N895" s="72" t="s">
        <v>2</v>
      </c>
    </row>
    <row r="896" spans="3:16">
      <c r="C896" s="25">
        <f t="shared" si="30"/>
        <v>888</v>
      </c>
      <c r="D896" s="25" t="s">
        <v>204</v>
      </c>
      <c r="F896" s="33">
        <v>46261</v>
      </c>
      <c r="G896" s="233">
        <f t="shared" ref="G896:G897" si="50">+YEAR(F896)</f>
        <v>2026</v>
      </c>
      <c r="H896" s="25" t="s">
        <v>3049</v>
      </c>
      <c r="I896" s="25" t="str">
        <f>INDEX(Originadores!E:E,MATCH(Pipe!H896,Originadores!D:D,0))</f>
        <v>Broker</v>
      </c>
      <c r="N896" s="72" t="s">
        <v>2</v>
      </c>
    </row>
    <row r="897" spans="3:16" ht="28.8">
      <c r="C897" s="25">
        <f t="shared" si="30"/>
        <v>889</v>
      </c>
      <c r="D897" s="25" t="s">
        <v>2720</v>
      </c>
      <c r="E897" s="25" t="s">
        <v>3326</v>
      </c>
      <c r="F897" s="33">
        <v>46273</v>
      </c>
      <c r="G897" s="233">
        <f t="shared" si="50"/>
        <v>2026</v>
      </c>
      <c r="H897" s="25" t="s">
        <v>3324</v>
      </c>
      <c r="I897" s="25" t="e">
        <f>INDEX(Originadores!E:E,MATCH(Pipe!H897,Originadores!D:D,0))</f>
        <v>#N/A</v>
      </c>
      <c r="J897" s="1" t="s">
        <v>3325</v>
      </c>
      <c r="N897" s="72" t="s">
        <v>2</v>
      </c>
    </row>
    <row r="898" spans="3:16">
      <c r="C898" s="25">
        <f t="shared" si="30"/>
        <v>890</v>
      </c>
      <c r="D898" s="25" t="s">
        <v>1045</v>
      </c>
      <c r="E898" s="25" t="s">
        <v>3327</v>
      </c>
      <c r="F898" s="33">
        <v>46273</v>
      </c>
      <c r="G898" s="233">
        <f t="shared" ref="G898" si="51">+YEAR(F898)</f>
        <v>2026</v>
      </c>
      <c r="H898" s="25" t="s">
        <v>3328</v>
      </c>
      <c r="I898" s="25" t="e">
        <f>INDEX(Originadores!E:E,MATCH(Pipe!H898,Originadores!D:D,0))</f>
        <v>#N/A</v>
      </c>
      <c r="K898" t="s">
        <v>3347</v>
      </c>
      <c r="N898" s="72" t="s">
        <v>2</v>
      </c>
    </row>
    <row r="899" spans="3:16">
      <c r="C899" s="25">
        <f t="shared" si="30"/>
        <v>891</v>
      </c>
      <c r="D899" s="25" t="s">
        <v>270</v>
      </c>
      <c r="E899" s="25" t="s">
        <v>3360</v>
      </c>
      <c r="F899" s="33">
        <v>46273</v>
      </c>
      <c r="G899" s="233">
        <f t="shared" ref="G899" si="52">+YEAR(F899)</f>
        <v>2026</v>
      </c>
      <c r="H899" s="25" t="s">
        <v>2971</v>
      </c>
      <c r="I899" s="25" t="str">
        <f>INDEX(Originadores!E:E,MATCH(Pipe!H899,Originadores!D:D,0))</f>
        <v>Advogado</v>
      </c>
      <c r="K899" t="s">
        <v>3346</v>
      </c>
      <c r="N899" s="72" t="s">
        <v>2</v>
      </c>
    </row>
    <row r="900" spans="3:16">
      <c r="C900" s="25">
        <f t="shared" si="30"/>
        <v>892</v>
      </c>
      <c r="D900" s="25" t="s">
        <v>270</v>
      </c>
      <c r="E900" s="25" t="s">
        <v>3329</v>
      </c>
      <c r="F900" s="33">
        <v>46273</v>
      </c>
      <c r="G900" s="233">
        <f t="shared" ref="G900" si="53">+YEAR(F900)</f>
        <v>2026</v>
      </c>
      <c r="H900" s="25" t="s">
        <v>3189</v>
      </c>
      <c r="I900" s="25" t="str">
        <f>INDEX(Originadores!E:E,MATCH(Pipe!H900,Originadores!D:D,0))</f>
        <v>Broker</v>
      </c>
      <c r="N900" s="72" t="s">
        <v>2</v>
      </c>
    </row>
    <row r="901" spans="3:16" hidden="1">
      <c r="C901" s="25">
        <f t="shared" si="30"/>
        <v>893</v>
      </c>
      <c r="D901" s="25" t="s">
        <v>270</v>
      </c>
      <c r="E901" s="25" t="s">
        <v>3331</v>
      </c>
      <c r="F901" s="33">
        <v>46273</v>
      </c>
      <c r="G901" s="233">
        <f t="shared" ref="G901" si="54">+YEAR(F901)</f>
        <v>2026</v>
      </c>
      <c r="H901" s="25" t="s">
        <v>3330</v>
      </c>
      <c r="I901" s="25" t="e">
        <f>INDEX(Originadores!E:E,MATCH(Pipe!H901,Originadores!D:D,0))</f>
        <v>#N/A</v>
      </c>
      <c r="J901" t="s">
        <v>3350</v>
      </c>
      <c r="K901" t="s">
        <v>3349</v>
      </c>
      <c r="N901" s="66" t="s">
        <v>1</v>
      </c>
      <c r="O901" s="33">
        <v>46273</v>
      </c>
      <c r="P901" t="s">
        <v>3353</v>
      </c>
    </row>
    <row r="902" spans="3:16">
      <c r="C902" s="25">
        <f t="shared" si="30"/>
        <v>894</v>
      </c>
      <c r="D902" s="25" t="s">
        <v>270</v>
      </c>
      <c r="E902" s="25" t="s">
        <v>3333</v>
      </c>
      <c r="F902" s="33">
        <v>46273</v>
      </c>
      <c r="G902" s="233">
        <f t="shared" ref="G902:G903" si="55">+YEAR(F902)</f>
        <v>2026</v>
      </c>
      <c r="H902" s="24" t="s">
        <v>3332</v>
      </c>
      <c r="I902" s="25" t="e">
        <f>INDEX(Originadores!E:E,MATCH(Pipe!H902,Originadores!D:D,0))</f>
        <v>#N/A</v>
      </c>
      <c r="J902" t="s">
        <v>3351</v>
      </c>
      <c r="N902" s="72" t="s">
        <v>2</v>
      </c>
    </row>
    <row r="903" spans="3:16">
      <c r="C903" s="25">
        <f t="shared" si="30"/>
        <v>895</v>
      </c>
      <c r="D903" s="25" t="s">
        <v>270</v>
      </c>
      <c r="E903" s="25" t="s">
        <v>3333</v>
      </c>
      <c r="F903" s="33">
        <v>46273</v>
      </c>
      <c r="G903" s="233">
        <f t="shared" si="55"/>
        <v>2026</v>
      </c>
      <c r="H903" s="24" t="s">
        <v>3332</v>
      </c>
      <c r="I903" s="25" t="e">
        <f>INDEX(Originadores!E:E,MATCH(Pipe!H903,Originadores!D:D,0))</f>
        <v>#N/A</v>
      </c>
      <c r="J903" t="s">
        <v>3352</v>
      </c>
      <c r="N903" s="72" t="s">
        <v>2</v>
      </c>
    </row>
    <row r="904" spans="3:16">
      <c r="C904" s="25">
        <f t="shared" si="30"/>
        <v>896</v>
      </c>
      <c r="D904" s="25" t="s">
        <v>320</v>
      </c>
      <c r="E904" s="25" t="s">
        <v>3348</v>
      </c>
      <c r="F904" s="33">
        <v>46273</v>
      </c>
      <c r="G904" s="233">
        <f t="shared" ref="G904" si="56">+YEAR(F904)</f>
        <v>2026</v>
      </c>
      <c r="H904" s="25" t="s">
        <v>425</v>
      </c>
      <c r="I904" s="25" t="str">
        <f>INDEX(Originadores!E:E,MATCH(Pipe!H904,Originadores!D:D,0))</f>
        <v>Consultoria</v>
      </c>
      <c r="N904" s="72" t="s">
        <v>2</v>
      </c>
    </row>
    <row r="905" spans="3:16">
      <c r="C905" s="25">
        <f t="shared" si="30"/>
        <v>897</v>
      </c>
      <c r="D905" s="25" t="s">
        <v>204</v>
      </c>
      <c r="E905" s="25" t="s">
        <v>3354</v>
      </c>
      <c r="F905" s="33">
        <v>46273</v>
      </c>
      <c r="G905" s="233">
        <f t="shared" ref="G905" si="57">+YEAR(F905)</f>
        <v>2026</v>
      </c>
      <c r="H905" s="25" t="s">
        <v>553</v>
      </c>
      <c r="I905" s="25" t="str">
        <f>INDEX(Originadores!E:E,MATCH(Pipe!H905,Originadores!D:D,0))</f>
        <v>Banco</v>
      </c>
      <c r="K905" t="s">
        <v>3355</v>
      </c>
      <c r="N905" s="72" t="s">
        <v>2</v>
      </c>
    </row>
    <row r="906" spans="3:16">
      <c r="C906" s="25">
        <f t="shared" si="30"/>
        <v>898</v>
      </c>
      <c r="D906" s="25" t="s">
        <v>1045</v>
      </c>
      <c r="E906" s="25" t="s">
        <v>3356</v>
      </c>
      <c r="F906" s="33">
        <v>46273</v>
      </c>
      <c r="G906" s="233">
        <f t="shared" ref="G906" si="58">+YEAR(F906)</f>
        <v>2026</v>
      </c>
      <c r="H906" s="25" t="s">
        <v>3357</v>
      </c>
      <c r="I906" s="25" t="e">
        <f>INDEX(Originadores!E:E,MATCH(Pipe!H906,Originadores!D:D,0))</f>
        <v>#N/A</v>
      </c>
      <c r="N906" s="72" t="s">
        <v>2</v>
      </c>
    </row>
    <row r="907" spans="3:16" hidden="1">
      <c r="C907" s="25">
        <f t="shared" si="30"/>
        <v>899</v>
      </c>
      <c r="D907" s="25" t="s">
        <v>204</v>
      </c>
      <c r="E907" s="25" t="s">
        <v>3358</v>
      </c>
      <c r="F907" s="33">
        <v>46273</v>
      </c>
      <c r="G907" s="233">
        <f t="shared" ref="G907" si="59">+YEAR(F907)</f>
        <v>2026</v>
      </c>
      <c r="N907" s="66" t="s">
        <v>1</v>
      </c>
      <c r="O907" s="33">
        <v>46273</v>
      </c>
      <c r="P907" t="s">
        <v>3363</v>
      </c>
    </row>
    <row r="908" spans="3:16">
      <c r="C908" s="25">
        <f t="shared" si="30"/>
        <v>900</v>
      </c>
      <c r="D908" s="25" t="s">
        <v>270</v>
      </c>
      <c r="E908" s="25" t="s">
        <v>3359</v>
      </c>
      <c r="F908" s="33">
        <v>46273</v>
      </c>
      <c r="G908" s="233">
        <f t="shared" ref="G908" si="60">+YEAR(F908)</f>
        <v>2026</v>
      </c>
      <c r="N908" s="72" t="s">
        <v>2</v>
      </c>
    </row>
    <row r="909" spans="3:16">
      <c r="C909" s="25">
        <f t="shared" si="30"/>
        <v>901</v>
      </c>
      <c r="D909" s="25" t="s">
        <v>1596</v>
      </c>
      <c r="E909" s="25" t="s">
        <v>3361</v>
      </c>
      <c r="F909" s="33">
        <v>46273</v>
      </c>
      <c r="G909" s="233">
        <f t="shared" ref="G909" si="61">+YEAR(F909)</f>
        <v>2026</v>
      </c>
      <c r="H909" s="25" t="s">
        <v>3180</v>
      </c>
      <c r="I909" s="25" t="str">
        <f>INDEX(Originadores!E:E,MATCH(Pipe!H909,Originadores!D:D,0))</f>
        <v>Advogado</v>
      </c>
      <c r="N909" s="72" t="s">
        <v>2</v>
      </c>
    </row>
    <row r="910" spans="3:16" hidden="1">
      <c r="C910" s="25">
        <f t="shared" si="30"/>
        <v>902</v>
      </c>
      <c r="D910" s="25" t="s">
        <v>1596</v>
      </c>
      <c r="E910" s="25" t="s">
        <v>3362</v>
      </c>
      <c r="F910" s="33">
        <v>46273</v>
      </c>
      <c r="G910" s="233">
        <f t="shared" ref="G910" si="62">+YEAR(F910)</f>
        <v>2026</v>
      </c>
      <c r="H910" s="24" t="s">
        <v>1637</v>
      </c>
      <c r="I910" s="25" t="str">
        <f>INDEX(Originadores!E:E,MATCH(Pipe!H910,Originadores!D:D,0))</f>
        <v>Broker</v>
      </c>
      <c r="N910" s="66" t="s">
        <v>1</v>
      </c>
      <c r="O910" s="33">
        <v>46273</v>
      </c>
      <c r="P910" t="s">
        <v>3364</v>
      </c>
    </row>
    <row r="911" spans="3:16">
      <c r="C911" s="25">
        <f t="shared" si="30"/>
        <v>903</v>
      </c>
      <c r="D911" s="25" t="s">
        <v>320</v>
      </c>
      <c r="F911" s="33">
        <v>46273</v>
      </c>
      <c r="G911" s="233">
        <f t="shared" ref="G911" si="63">+YEAR(F911)</f>
        <v>2026</v>
      </c>
      <c r="H911" s="24" t="s">
        <v>76</v>
      </c>
      <c r="I911" s="25" t="str">
        <f>INDEX(Originadores!E:E,MATCH(Pipe!H911,Originadores!D:D,0))</f>
        <v>Consultoria</v>
      </c>
      <c r="N911" s="72" t="s">
        <v>2</v>
      </c>
    </row>
  </sheetData>
  <autoFilter ref="C8:P911" xr:uid="{0D8CF2C2-1BD7-4BC7-A220-1B2E582C97F8}">
    <filterColumn colId="11">
      <filters>
        <filter val="Em análise"/>
      </filters>
    </filterColumn>
  </autoFilter>
  <hyperlinks>
    <hyperlink ref="C658" r:id="rId1" display="https://www.farfetch.com/br/shopping/women/valentino-garavani-bolsa-vlogo-mini-item-31997563.aspx" xr:uid="{1C2FDF01-3050-4DE3-A5A6-440CE2D169F5}"/>
    <hyperlink ref="C660" r:id="rId2" display="https://www.farfetch.com/br/shopping/women/valentino-garavani-bolsa-vlogo-mini-item-31997563.aspx" xr:uid="{96B7C351-2974-4981-9EA3-FA576607E9A9}"/>
    <hyperlink ref="C662" r:id="rId3" display="https://www.farfetch.com/br/shopping/women/valentino-garavani-bolsa-vlogo-mini-item-31997563.aspx" xr:uid="{F3092B18-4821-4E11-B09B-4E2C9BA16830}"/>
    <hyperlink ref="C664" r:id="rId4" display="https://www.farfetch.com/br/shopping/women/valentino-garavani-bolsa-vlogo-mini-item-31997563.aspx" xr:uid="{845D4DF4-D9C9-4ED2-9359-64A3CC69970A}"/>
  </hyperlinks>
  <pageMargins left="0.7" right="0.7" top="0.75" bottom="0.75" header="0.3" footer="0.3"/>
  <pageSetup paperSize="9" orientation="portrait" r:id="rId5"/>
  <ignoredErrors>
    <ignoredError sqref="I818:I819" evalError="1"/>
  </ignoredErrors>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0AD8-DBE5-4304-963E-86CFB886DE86}">
  <sheetPr codeName="Sheet3"/>
  <dimension ref="C2:M317"/>
  <sheetViews>
    <sheetView showGridLines="0" topLeftCell="A258" workbookViewId="0">
      <selection activeCell="D290" sqref="D290"/>
    </sheetView>
  </sheetViews>
  <sheetFormatPr defaultRowHeight="14.4"/>
  <cols>
    <col min="1" max="2" width="1.6640625" customWidth="1"/>
    <col min="3" max="3" width="5.6640625" customWidth="1"/>
    <col min="4" max="4" width="41.44140625" bestFit="1" customWidth="1"/>
    <col min="5" max="5" width="21.6640625" bestFit="1" customWidth="1"/>
    <col min="6" max="6" width="10.88671875" customWidth="1"/>
    <col min="11" max="11" width="10.109375" bestFit="1" customWidth="1"/>
  </cols>
  <sheetData>
    <row r="2" spans="3:8">
      <c r="F2" s="223" t="s">
        <v>2620</v>
      </c>
      <c r="G2" s="223"/>
    </row>
    <row r="3" spans="3:8">
      <c r="C3" s="217" t="s">
        <v>7</v>
      </c>
      <c r="D3" s="216" t="s">
        <v>1827</v>
      </c>
      <c r="E3" s="216" t="s">
        <v>2601</v>
      </c>
      <c r="F3" s="217">
        <v>2024</v>
      </c>
      <c r="G3" s="217">
        <f>+F3+1</f>
        <v>2025</v>
      </c>
      <c r="H3" s="217">
        <f>+G3+1</f>
        <v>2026</v>
      </c>
    </row>
    <row r="4" spans="3:8">
      <c r="C4" s="24">
        <v>1</v>
      </c>
      <c r="D4" t="s">
        <v>2475</v>
      </c>
      <c r="E4" t="s">
        <v>1252</v>
      </c>
      <c r="F4" s="24">
        <f>COUNTIFS(Pipe!$H:$H,Originadores!$D4,Pipe!$G:$G,Originadores!F$3)</f>
        <v>0</v>
      </c>
      <c r="G4" s="24">
        <f>COUNTIFS(Pipe!$H:$H,Originadores!$D4,Pipe!$G:$G,Originadores!G$3)</f>
        <v>1</v>
      </c>
      <c r="H4" s="24">
        <f>COUNTIFS(Pipe!$H:$H,Originadores!$D4,Pipe!$G:$G,Originadores!H$3)</f>
        <v>0</v>
      </c>
    </row>
    <row r="5" spans="3:8">
      <c r="C5" s="24">
        <f t="shared" ref="C5:C96" si="0">+C4+1</f>
        <v>2</v>
      </c>
      <c r="D5" t="s">
        <v>845</v>
      </c>
      <c r="E5" t="s">
        <v>226</v>
      </c>
      <c r="F5" s="24">
        <f>COUNTIFS(Pipe!$H:$H,Originadores!$D5,Pipe!$G:$G,Originadores!F$3)</f>
        <v>1</v>
      </c>
      <c r="G5" s="24">
        <f>COUNTIFS(Pipe!$H:$H,Originadores!$D5,Pipe!$G:$G,Originadores!G$3)</f>
        <v>0</v>
      </c>
      <c r="H5" s="24">
        <f>COUNTIFS(Pipe!$H:$H,Originadores!$D5,Pipe!$G:$G,Originadores!H$3)</f>
        <v>0</v>
      </c>
    </row>
    <row r="6" spans="3:8">
      <c r="C6" s="24">
        <f t="shared" si="0"/>
        <v>3</v>
      </c>
      <c r="D6" t="s">
        <v>694</v>
      </c>
      <c r="E6" t="s">
        <v>226</v>
      </c>
      <c r="F6" s="24">
        <f>COUNTIFS(Pipe!$H:$H,Originadores!$D6,Pipe!$G:$G,Originadores!F$3)</f>
        <v>1</v>
      </c>
      <c r="G6" s="24">
        <f>COUNTIFS(Pipe!$H:$H,Originadores!$D6,Pipe!$G:$G,Originadores!G$3)</f>
        <v>0</v>
      </c>
      <c r="H6" s="24">
        <f>COUNTIFS(Pipe!$H:$H,Originadores!$D6,Pipe!$G:$G,Originadores!H$3)</f>
        <v>0</v>
      </c>
    </row>
    <row r="7" spans="3:8">
      <c r="C7" s="24">
        <f t="shared" si="0"/>
        <v>4</v>
      </c>
      <c r="D7" t="s">
        <v>1060</v>
      </c>
      <c r="E7" t="s">
        <v>403</v>
      </c>
      <c r="F7" s="24">
        <f>COUNTIFS(Pipe!$H:$H,Originadores!$D7,Pipe!$G:$G,Originadores!F$3)</f>
        <v>0</v>
      </c>
      <c r="G7" s="24">
        <f>COUNTIFS(Pipe!$H:$H,Originadores!$D7,Pipe!$G:$G,Originadores!G$3)</f>
        <v>1</v>
      </c>
      <c r="H7" s="24">
        <f>COUNTIFS(Pipe!$H:$H,Originadores!$D7,Pipe!$G:$G,Originadores!H$3)</f>
        <v>0</v>
      </c>
    </row>
    <row r="8" spans="3:8">
      <c r="C8" s="24">
        <f t="shared" si="0"/>
        <v>5</v>
      </c>
      <c r="D8" t="s">
        <v>3060</v>
      </c>
      <c r="E8" t="s">
        <v>226</v>
      </c>
      <c r="F8" s="24">
        <f>COUNTIFS(Pipe!$H:$H,Originadores!$D8,Pipe!$G:$G,Originadores!F$3)</f>
        <v>0</v>
      </c>
      <c r="G8" s="24">
        <f>COUNTIFS(Pipe!$H:$H,Originadores!$D8,Pipe!$G:$G,Originadores!G$3)</f>
        <v>0</v>
      </c>
      <c r="H8" s="24">
        <f>COUNTIFS(Pipe!$H:$H,Originadores!$D8,Pipe!$G:$G,Originadores!H$3)</f>
        <v>1</v>
      </c>
    </row>
    <row r="9" spans="3:8">
      <c r="C9" s="24">
        <f t="shared" si="0"/>
        <v>6</v>
      </c>
      <c r="D9" t="s">
        <v>2159</v>
      </c>
      <c r="E9" t="s">
        <v>1261</v>
      </c>
      <c r="F9" s="24">
        <f>COUNTIFS(Pipe!$H:$H,Originadores!$D9,Pipe!$G:$G,Originadores!F$3)</f>
        <v>0</v>
      </c>
      <c r="G9" s="24">
        <f>COUNTIFS(Pipe!$H:$H,Originadores!$D9,Pipe!$G:$G,Originadores!G$3)</f>
        <v>2</v>
      </c>
      <c r="H9" s="24">
        <f>COUNTIFS(Pipe!$H:$H,Originadores!$D9,Pipe!$G:$G,Originadores!H$3)</f>
        <v>0</v>
      </c>
    </row>
    <row r="10" spans="3:8">
      <c r="C10" s="24">
        <f t="shared" si="0"/>
        <v>7</v>
      </c>
      <c r="D10" t="s">
        <v>2455</v>
      </c>
      <c r="E10" t="s">
        <v>226</v>
      </c>
      <c r="F10" s="24">
        <f>COUNTIFS(Pipe!$H:$H,Originadores!$D10,Pipe!$G:$G,Originadores!F$3)</f>
        <v>1</v>
      </c>
      <c r="G10" s="24">
        <f>COUNTIFS(Pipe!$H:$H,Originadores!$D10,Pipe!$G:$G,Originadores!G$3)</f>
        <v>2</v>
      </c>
      <c r="H10" s="24">
        <f>COUNTIFS(Pipe!$H:$H,Originadores!$D10,Pipe!$G:$G,Originadores!H$3)</f>
        <v>4</v>
      </c>
    </row>
    <row r="11" spans="3:8">
      <c r="C11" s="24">
        <f t="shared" si="0"/>
        <v>8</v>
      </c>
      <c r="D11" t="s">
        <v>1071</v>
      </c>
      <c r="E11" t="s">
        <v>1072</v>
      </c>
      <c r="F11" s="24">
        <f>COUNTIFS(Pipe!$H:$H,Originadores!$D11,Pipe!$G:$G,Originadores!F$3)</f>
        <v>0</v>
      </c>
      <c r="G11" s="24">
        <f>COUNTIFS(Pipe!$H:$H,Originadores!$D11,Pipe!$G:$G,Originadores!G$3)</f>
        <v>3</v>
      </c>
      <c r="H11" s="24">
        <f>COUNTIFS(Pipe!$H:$H,Originadores!$D11,Pipe!$G:$G,Originadores!H$3)</f>
        <v>0</v>
      </c>
    </row>
    <row r="12" spans="3:8">
      <c r="C12" s="24">
        <f t="shared" si="0"/>
        <v>9</v>
      </c>
      <c r="D12" t="s">
        <v>425</v>
      </c>
      <c r="E12" t="s">
        <v>1261</v>
      </c>
      <c r="F12" s="24">
        <f>COUNTIFS(Pipe!$H:$H,Originadores!$D12,Pipe!$G:$G,Originadores!F$3)</f>
        <v>9</v>
      </c>
      <c r="G12" s="24">
        <f>COUNTIFS(Pipe!$H:$H,Originadores!$D12,Pipe!$G:$G,Originadores!G$3)</f>
        <v>10</v>
      </c>
      <c r="H12" s="24">
        <f>COUNTIFS(Pipe!$H:$H,Originadores!$D12,Pipe!$G:$G,Originadores!H$3)</f>
        <v>4</v>
      </c>
    </row>
    <row r="13" spans="3:8">
      <c r="C13" s="24">
        <f t="shared" si="0"/>
        <v>10</v>
      </c>
      <c r="D13" t="s">
        <v>49</v>
      </c>
      <c r="E13" t="s">
        <v>226</v>
      </c>
      <c r="F13" s="24">
        <f>COUNTIFS(Pipe!$H:$H,Originadores!$D13,Pipe!$G:$G,Originadores!F$3)</f>
        <v>1</v>
      </c>
      <c r="G13" s="24">
        <f>COUNTIFS(Pipe!$H:$H,Originadores!$D13,Pipe!$G:$G,Originadores!G$3)</f>
        <v>0</v>
      </c>
      <c r="H13" s="24">
        <f>COUNTIFS(Pipe!$H:$H,Originadores!$D13,Pipe!$G:$G,Originadores!H$3)</f>
        <v>0</v>
      </c>
    </row>
    <row r="14" spans="3:8">
      <c r="C14" s="24">
        <f t="shared" si="0"/>
        <v>11</v>
      </c>
      <c r="D14" t="s">
        <v>1631</v>
      </c>
      <c r="E14" t="s">
        <v>130</v>
      </c>
      <c r="F14" s="24">
        <f>COUNTIFS(Pipe!$H:$H,Originadores!$D14,Pipe!$G:$G,Originadores!F$3)</f>
        <v>0</v>
      </c>
      <c r="G14" s="24">
        <f>COUNTIFS(Pipe!$H:$H,Originadores!$D14,Pipe!$G:$G,Originadores!G$3)</f>
        <v>1</v>
      </c>
      <c r="H14" s="24">
        <f>COUNTIFS(Pipe!$H:$H,Originadores!$D14,Pipe!$G:$G,Originadores!H$3)</f>
        <v>0</v>
      </c>
    </row>
    <row r="15" spans="3:8">
      <c r="C15" s="24">
        <f t="shared" si="0"/>
        <v>12</v>
      </c>
      <c r="D15" t="s">
        <v>861</v>
      </c>
      <c r="E15" t="s">
        <v>802</v>
      </c>
      <c r="F15" s="24">
        <f>COUNTIFS(Pipe!$H:$H,Originadores!$D15,Pipe!$G:$G,Originadores!F$3)</f>
        <v>1</v>
      </c>
      <c r="G15" s="24">
        <f>COUNTIFS(Pipe!$H:$H,Originadores!$D15,Pipe!$G:$G,Originadores!G$3)</f>
        <v>0</v>
      </c>
      <c r="H15" s="24">
        <f>COUNTIFS(Pipe!$H:$H,Originadores!$D15,Pipe!$G:$G,Originadores!H$3)</f>
        <v>1</v>
      </c>
    </row>
    <row r="16" spans="3:8">
      <c r="C16" s="24">
        <f t="shared" si="0"/>
        <v>13</v>
      </c>
      <c r="D16" t="s">
        <v>2246</v>
      </c>
      <c r="E16" t="s">
        <v>226</v>
      </c>
      <c r="F16" s="24">
        <f>COUNTIFS(Pipe!$H:$H,Originadores!$D16,Pipe!$G:$G,Originadores!F$3)</f>
        <v>0</v>
      </c>
      <c r="G16" s="24">
        <f>COUNTIFS(Pipe!$H:$H,Originadores!$D16,Pipe!$G:$G,Originadores!G$3)</f>
        <v>1</v>
      </c>
      <c r="H16" s="24">
        <f>COUNTIFS(Pipe!$H:$H,Originadores!$D16,Pipe!$G:$G,Originadores!H$3)</f>
        <v>0</v>
      </c>
    </row>
    <row r="17" spans="3:13">
      <c r="C17" s="24">
        <f t="shared" si="0"/>
        <v>14</v>
      </c>
      <c r="D17" t="s">
        <v>669</v>
      </c>
      <c r="E17" t="s">
        <v>1261</v>
      </c>
      <c r="F17" s="24">
        <f>COUNTIFS(Pipe!$H:$H,Originadores!$D17,Pipe!$G:$G,Originadores!F$3)</f>
        <v>1</v>
      </c>
      <c r="G17" s="24">
        <f>COUNTIFS(Pipe!$H:$H,Originadores!$D17,Pipe!$G:$G,Originadores!G$3)</f>
        <v>0</v>
      </c>
      <c r="H17" s="24">
        <f>COUNTIFS(Pipe!$H:$H,Originadores!$D17,Pipe!$G:$G,Originadores!H$3)</f>
        <v>0</v>
      </c>
    </row>
    <row r="18" spans="3:13">
      <c r="C18" s="24">
        <f t="shared" si="0"/>
        <v>15</v>
      </c>
      <c r="D18" t="s">
        <v>108</v>
      </c>
      <c r="E18" t="s">
        <v>872</v>
      </c>
      <c r="F18" s="24">
        <f>COUNTIFS(Pipe!$H:$H,Originadores!$D18,Pipe!$G:$G,Originadores!F$3)</f>
        <v>1</v>
      </c>
      <c r="G18" s="24">
        <f>COUNTIFS(Pipe!$H:$H,Originadores!$D18,Pipe!$G:$G,Originadores!G$3)</f>
        <v>0</v>
      </c>
      <c r="H18" s="24">
        <f>COUNTIFS(Pipe!$H:$H,Originadores!$D18,Pipe!$G:$G,Originadores!H$3)</f>
        <v>0</v>
      </c>
    </row>
    <row r="19" spans="3:13">
      <c r="C19" s="24">
        <f t="shared" si="0"/>
        <v>16</v>
      </c>
      <c r="D19" t="s">
        <v>2626</v>
      </c>
      <c r="E19" t="s">
        <v>1261</v>
      </c>
      <c r="F19" s="24">
        <f>COUNTIFS(Pipe!$H:$H,Originadores!$D19,Pipe!$G:$G,Originadores!F$3)</f>
        <v>0</v>
      </c>
      <c r="G19" s="24">
        <f>COUNTIFS(Pipe!$H:$H,Originadores!$D19,Pipe!$G:$G,Originadores!G$3)</f>
        <v>0</v>
      </c>
      <c r="H19" s="24">
        <f>COUNTIFS(Pipe!$H:$H,Originadores!$D19,Pipe!$G:$G,Originadores!H$3)</f>
        <v>1</v>
      </c>
    </row>
    <row r="20" spans="3:13">
      <c r="C20" s="24">
        <f t="shared" si="0"/>
        <v>17</v>
      </c>
      <c r="D20" t="s">
        <v>2318</v>
      </c>
      <c r="E20" t="s">
        <v>1252</v>
      </c>
      <c r="F20" s="24">
        <f>COUNTIFS(Pipe!$H:$H,Originadores!$D20,Pipe!$G:$G,Originadores!F$3)</f>
        <v>0</v>
      </c>
      <c r="G20" s="24">
        <f>COUNTIFS(Pipe!$H:$H,Originadores!$D20,Pipe!$G:$G,Originadores!G$3)</f>
        <v>1</v>
      </c>
      <c r="H20" s="24">
        <f>COUNTIFS(Pipe!$H:$H,Originadores!$D20,Pipe!$G:$G,Originadores!H$3)</f>
        <v>0</v>
      </c>
    </row>
    <row r="21" spans="3:13">
      <c r="C21" s="24">
        <f t="shared" si="0"/>
        <v>18</v>
      </c>
      <c r="D21" t="s">
        <v>3084</v>
      </c>
      <c r="E21" t="s">
        <v>872</v>
      </c>
      <c r="F21" s="24">
        <f>COUNTIFS(Pipe!$H:$H,Originadores!$D21,Pipe!$G:$G,Originadores!F$3)</f>
        <v>0</v>
      </c>
      <c r="G21" s="24">
        <f>COUNTIFS(Pipe!$H:$H,Originadores!$D21,Pipe!$G:$G,Originadores!G$3)</f>
        <v>0</v>
      </c>
      <c r="H21" s="24">
        <f>COUNTIFS(Pipe!$H:$H,Originadores!$D21,Pipe!$G:$G,Originadores!H$3)</f>
        <v>1</v>
      </c>
    </row>
    <row r="22" spans="3:13">
      <c r="C22" s="24">
        <f t="shared" si="0"/>
        <v>19</v>
      </c>
      <c r="D22" t="s">
        <v>2093</v>
      </c>
      <c r="E22" t="s">
        <v>130</v>
      </c>
      <c r="F22" s="24">
        <f>COUNTIFS(Pipe!$H:$H,Originadores!$D22,Pipe!$G:$G,Originadores!F$3)</f>
        <v>0</v>
      </c>
      <c r="G22" s="24">
        <f>COUNTIFS(Pipe!$H:$H,Originadores!$D22,Pipe!$G:$G,Originadores!G$3)</f>
        <v>0</v>
      </c>
      <c r="H22" s="24">
        <f>COUNTIFS(Pipe!$H:$H,Originadores!$D22,Pipe!$G:$G,Originadores!H$3)</f>
        <v>0</v>
      </c>
    </row>
    <row r="23" spans="3:13">
      <c r="C23" s="24">
        <f t="shared" si="0"/>
        <v>20</v>
      </c>
      <c r="D23" t="s">
        <v>553</v>
      </c>
      <c r="E23" t="s">
        <v>1193</v>
      </c>
      <c r="F23" s="24">
        <f>COUNTIFS(Pipe!$H:$H,Originadores!$D23,Pipe!$G:$G,Originadores!F$3)</f>
        <v>0</v>
      </c>
      <c r="G23" s="24">
        <f>COUNTIFS(Pipe!$H:$H,Originadores!$D23,Pipe!$G:$G,Originadores!G$3)</f>
        <v>1</v>
      </c>
      <c r="H23" s="24">
        <f>COUNTIFS(Pipe!$H:$H,Originadores!$D23,Pipe!$G:$G,Originadores!H$3)</f>
        <v>4</v>
      </c>
    </row>
    <row r="24" spans="3:13">
      <c r="C24" s="24">
        <f t="shared" si="0"/>
        <v>21</v>
      </c>
      <c r="D24" t="s">
        <v>1192</v>
      </c>
      <c r="E24" t="s">
        <v>1193</v>
      </c>
      <c r="F24" s="24">
        <f>COUNTIFS(Pipe!$H:$H,Originadores!$D24,Pipe!$G:$G,Originadores!F$3)</f>
        <v>0</v>
      </c>
      <c r="G24" s="24">
        <f>COUNTIFS(Pipe!$H:$H,Originadores!$D24,Pipe!$G:$G,Originadores!G$3)</f>
        <v>1</v>
      </c>
      <c r="H24" s="24">
        <f>COUNTIFS(Pipe!$H:$H,Originadores!$D24,Pipe!$G:$G,Originadores!H$3)</f>
        <v>0</v>
      </c>
    </row>
    <row r="25" spans="3:13">
      <c r="C25" s="24">
        <f t="shared" si="0"/>
        <v>22</v>
      </c>
      <c r="D25" t="s">
        <v>662</v>
      </c>
      <c r="E25" t="s">
        <v>1193</v>
      </c>
      <c r="F25" s="24">
        <f>COUNTIFS(Pipe!$H:$H,Originadores!$D25,Pipe!$G:$G,Originadores!F$3)</f>
        <v>1</v>
      </c>
      <c r="G25" s="24">
        <f>COUNTIFS(Pipe!$H:$H,Originadores!$D25,Pipe!$G:$G,Originadores!G$3)</f>
        <v>0</v>
      </c>
      <c r="H25" s="24">
        <f>COUNTIFS(Pipe!$H:$H,Originadores!$D25,Pipe!$G:$G,Originadores!H$3)</f>
        <v>0</v>
      </c>
    </row>
    <row r="26" spans="3:13">
      <c r="C26" s="24">
        <f t="shared" si="0"/>
        <v>23</v>
      </c>
      <c r="D26" t="s">
        <v>1372</v>
      </c>
      <c r="E26" t="s">
        <v>1193</v>
      </c>
      <c r="F26" s="24">
        <f>COUNTIFS(Pipe!$H:$H,Originadores!$D26,Pipe!$G:$G,Originadores!F$3)</f>
        <v>0</v>
      </c>
      <c r="G26" s="24">
        <f>COUNTIFS(Pipe!$H:$H,Originadores!$D26,Pipe!$G:$G,Originadores!G$3)</f>
        <v>1</v>
      </c>
      <c r="H26" s="24">
        <f>COUNTIFS(Pipe!$H:$H,Originadores!$D26,Pipe!$G:$G,Originadores!H$3)</f>
        <v>0</v>
      </c>
    </row>
    <row r="27" spans="3:13">
      <c r="C27" s="24">
        <f t="shared" si="0"/>
        <v>24</v>
      </c>
      <c r="D27" t="s">
        <v>2893</v>
      </c>
      <c r="E27" t="s">
        <v>1193</v>
      </c>
      <c r="F27" s="24"/>
      <c r="G27" s="24"/>
      <c r="H27" s="24"/>
    </row>
    <row r="28" spans="3:13">
      <c r="C28" s="24">
        <f t="shared" si="0"/>
        <v>25</v>
      </c>
      <c r="D28" t="s">
        <v>2608</v>
      </c>
      <c r="E28" t="s">
        <v>802</v>
      </c>
      <c r="F28" s="24">
        <f>COUNTIFS(Pipe!$H:$H,Originadores!$D28,Pipe!$G:$G,Originadores!F$3)</f>
        <v>0</v>
      </c>
      <c r="G28" s="24">
        <f>COUNTIFS(Pipe!$H:$H,Originadores!$D28,Pipe!$G:$G,Originadores!G$3)</f>
        <v>1</v>
      </c>
      <c r="H28" s="24">
        <f>COUNTIFS(Pipe!$H:$H,Originadores!$D28,Pipe!$G:$G,Originadores!H$3)</f>
        <v>0</v>
      </c>
    </row>
    <row r="29" spans="3:13">
      <c r="C29" s="24">
        <f t="shared" si="0"/>
        <v>26</v>
      </c>
      <c r="D29" t="s">
        <v>766</v>
      </c>
      <c r="E29" t="s">
        <v>872</v>
      </c>
      <c r="F29" s="24">
        <f>COUNTIFS(Pipe!$H:$H,Originadores!$D29,Pipe!$G:$G,Originadores!F$3)</f>
        <v>1</v>
      </c>
      <c r="G29" s="24">
        <f>COUNTIFS(Pipe!$H:$H,Originadores!$D29,Pipe!$G:$G,Originadores!G$3)</f>
        <v>0</v>
      </c>
      <c r="H29" s="24">
        <f>COUNTIFS(Pipe!$H:$H,Originadores!$D29,Pipe!$G:$G,Originadores!H$3)</f>
        <v>0</v>
      </c>
    </row>
    <row r="30" spans="3:13">
      <c r="C30" s="24">
        <f t="shared" si="0"/>
        <v>27</v>
      </c>
      <c r="D30" t="s">
        <v>2688</v>
      </c>
      <c r="E30" t="s">
        <v>1193</v>
      </c>
      <c r="F30" s="24">
        <f>COUNTIFS(Pipe!$H:$H,Originadores!$D30,Pipe!$G:$G,Originadores!F$3)</f>
        <v>0</v>
      </c>
      <c r="G30" s="24">
        <f>COUNTIFS(Pipe!$H:$H,Originadores!$D30,Pipe!$G:$G,Originadores!G$3)</f>
        <v>0</v>
      </c>
      <c r="H30" s="24">
        <f>COUNTIFS(Pipe!$H:$H,Originadores!$D30,Pipe!$G:$G,Originadores!H$3)</f>
        <v>1</v>
      </c>
    </row>
    <row r="31" spans="3:13">
      <c r="C31" s="24">
        <f t="shared" si="0"/>
        <v>28</v>
      </c>
      <c r="D31" t="s">
        <v>2643</v>
      </c>
      <c r="E31" t="s">
        <v>226</v>
      </c>
      <c r="F31" s="24">
        <f>COUNTIFS(Pipe!$H:$H,Originadores!$D31,Pipe!$G:$G,Originadores!F$3)</f>
        <v>0</v>
      </c>
      <c r="G31" s="24">
        <f>COUNTIFS(Pipe!$H:$H,Originadores!$D31,Pipe!$G:$G,Originadores!G$3)</f>
        <v>0</v>
      </c>
      <c r="H31" s="24">
        <f>COUNTIFS(Pipe!$H:$H,Originadores!$D31,Pipe!$G:$G,Originadores!H$3)</f>
        <v>3</v>
      </c>
    </row>
    <row r="32" spans="3:13">
      <c r="C32" s="24">
        <f t="shared" si="0"/>
        <v>29</v>
      </c>
      <c r="D32" t="s">
        <v>573</v>
      </c>
      <c r="E32" t="s">
        <v>872</v>
      </c>
      <c r="F32" s="24">
        <f>COUNTIFS(Pipe!$H:$H,Originadores!$D32,Pipe!$G:$G,Originadores!F$3)</f>
        <v>1</v>
      </c>
      <c r="G32" s="24">
        <f>COUNTIFS(Pipe!$H:$H,Originadores!$D32,Pipe!$G:$G,Originadores!G$3)</f>
        <v>0</v>
      </c>
      <c r="H32" s="24">
        <f>COUNTIFS(Pipe!$H:$H,Originadores!$D32,Pipe!$G:$G,Originadores!H$3)</f>
        <v>0</v>
      </c>
      <c r="M32" s="181"/>
    </row>
    <row r="33" spans="3:13">
      <c r="C33" s="24">
        <f t="shared" si="0"/>
        <v>30</v>
      </c>
      <c r="D33" t="s">
        <v>3087</v>
      </c>
      <c r="E33" t="s">
        <v>226</v>
      </c>
      <c r="F33" s="24">
        <f>COUNTIFS(Pipe!$H:$H,Originadores!$D33,Pipe!$G:$G,Originadores!F$3)</f>
        <v>0</v>
      </c>
      <c r="G33" s="24">
        <f>COUNTIFS(Pipe!$H:$H,Originadores!$D33,Pipe!$G:$G,Originadores!G$3)</f>
        <v>0</v>
      </c>
      <c r="H33" s="24">
        <f>COUNTIFS(Pipe!$H:$H,Originadores!$D33,Pipe!$G:$G,Originadores!H$3)</f>
        <v>1</v>
      </c>
      <c r="M33" s="181"/>
    </row>
    <row r="34" spans="3:13">
      <c r="C34" s="24">
        <f t="shared" si="0"/>
        <v>31</v>
      </c>
      <c r="D34" t="s">
        <v>3189</v>
      </c>
      <c r="E34" t="s">
        <v>226</v>
      </c>
      <c r="F34" s="24">
        <f>COUNTIFS(Pipe!$H:$H,Originadores!$D34,Pipe!$G:$G,Originadores!F$3)</f>
        <v>0</v>
      </c>
      <c r="G34" s="24">
        <f>COUNTIFS(Pipe!$H:$H,Originadores!$D34,Pipe!$G:$G,Originadores!G$3)</f>
        <v>0</v>
      </c>
      <c r="H34" s="24">
        <f>COUNTIFS(Pipe!$H:$H,Originadores!$D34,Pipe!$G:$G,Originadores!H$3)</f>
        <v>2</v>
      </c>
      <c r="M34" s="181"/>
    </row>
    <row r="35" spans="3:13">
      <c r="C35" s="24">
        <f t="shared" si="0"/>
        <v>32</v>
      </c>
      <c r="D35" t="s">
        <v>1515</v>
      </c>
      <c r="E35" t="s">
        <v>226</v>
      </c>
      <c r="F35" s="24">
        <f>COUNTIFS(Pipe!$H:$H,Originadores!$D35,Pipe!$G:$G,Originadores!F$3)</f>
        <v>0</v>
      </c>
      <c r="G35" s="24">
        <f>COUNTIFS(Pipe!$H:$H,Originadores!$D35,Pipe!$G:$G,Originadores!G$3)</f>
        <v>2</v>
      </c>
      <c r="H35" s="24">
        <f>COUNTIFS(Pipe!$H:$H,Originadores!$D35,Pipe!$G:$G,Originadores!H$3)</f>
        <v>0</v>
      </c>
      <c r="M35" s="181"/>
    </row>
    <row r="36" spans="3:13">
      <c r="C36" s="24">
        <f t="shared" si="0"/>
        <v>33</v>
      </c>
      <c r="D36" t="s">
        <v>284</v>
      </c>
      <c r="E36" t="s">
        <v>872</v>
      </c>
      <c r="F36" s="24">
        <f>COUNTIFS(Pipe!$H:$H,Originadores!$D36,Pipe!$G:$G,Originadores!F$3)</f>
        <v>1</v>
      </c>
      <c r="G36" s="24">
        <f>COUNTIFS(Pipe!$H:$H,Originadores!$D36,Pipe!$G:$G,Originadores!G$3)</f>
        <v>0</v>
      </c>
      <c r="H36" s="24">
        <f>COUNTIFS(Pipe!$H:$H,Originadores!$D36,Pipe!$G:$G,Originadores!H$3)</f>
        <v>0</v>
      </c>
    </row>
    <row r="37" spans="3:13">
      <c r="C37" s="24">
        <f t="shared" si="0"/>
        <v>34</v>
      </c>
      <c r="D37" t="s">
        <v>2510</v>
      </c>
      <c r="E37" t="s">
        <v>2510</v>
      </c>
      <c r="F37" s="24">
        <f>COUNTIFS(Pipe!$H:$H,Originadores!$D37,Pipe!$G:$G,Originadores!F$3)</f>
        <v>0</v>
      </c>
      <c r="G37" s="24">
        <f>COUNTIFS(Pipe!$H:$H,Originadores!$D37,Pipe!$G:$G,Originadores!G$3)</f>
        <v>1</v>
      </c>
      <c r="H37" s="24">
        <f>COUNTIFS(Pipe!$H:$H,Originadores!$D37,Pipe!$G:$G,Originadores!H$3)</f>
        <v>1</v>
      </c>
      <c r="M37" s="213"/>
    </row>
    <row r="38" spans="3:13">
      <c r="C38" s="24">
        <f t="shared" si="0"/>
        <v>35</v>
      </c>
      <c r="D38" t="s">
        <v>1391</v>
      </c>
      <c r="E38" t="s">
        <v>130</v>
      </c>
      <c r="F38" s="24">
        <f>COUNTIFS(Pipe!$H:$H,Originadores!$D38,Pipe!$G:$G,Originadores!F$3)</f>
        <v>0</v>
      </c>
      <c r="G38" s="24">
        <f>COUNTIFS(Pipe!$H:$H,Originadores!$D38,Pipe!$G:$G,Originadores!G$3)</f>
        <v>1</v>
      </c>
      <c r="H38" s="24">
        <f>COUNTIFS(Pipe!$H:$H,Originadores!$D38,Pipe!$G:$G,Originadores!H$3)</f>
        <v>0</v>
      </c>
      <c r="M38" s="213"/>
    </row>
    <row r="39" spans="3:13">
      <c r="C39" s="24">
        <f t="shared" si="0"/>
        <v>36</v>
      </c>
      <c r="D39" t="s">
        <v>367</v>
      </c>
      <c r="E39" t="s">
        <v>226</v>
      </c>
      <c r="F39" s="24">
        <f>COUNTIFS(Pipe!$H:$H,Originadores!$D39,Pipe!$G:$G,Originadores!F$3)</f>
        <v>4</v>
      </c>
      <c r="G39" s="24">
        <f>COUNTIFS(Pipe!$H:$H,Originadores!$D39,Pipe!$G:$G,Originadores!G$3)</f>
        <v>0</v>
      </c>
      <c r="H39" s="24">
        <f>COUNTIFS(Pipe!$H:$H,Originadores!$D39,Pipe!$G:$G,Originadores!H$3)</f>
        <v>0</v>
      </c>
      <c r="M39" s="213"/>
    </row>
    <row r="40" spans="3:13">
      <c r="C40" s="24">
        <f t="shared" si="0"/>
        <v>37</v>
      </c>
      <c r="D40" t="s">
        <v>2864</v>
      </c>
      <c r="E40" t="s">
        <v>1261</v>
      </c>
      <c r="F40" s="24">
        <f>COUNTIFS(Pipe!$H:$H,Originadores!$D40,Pipe!$G:$G,Originadores!F$3)</f>
        <v>0</v>
      </c>
      <c r="G40" s="24">
        <f>COUNTIFS(Pipe!$H:$H,Originadores!$D40,Pipe!$G:$G,Originadores!G$3)</f>
        <v>0</v>
      </c>
      <c r="H40" s="24">
        <f>COUNTIFS(Pipe!$H:$H,Originadores!$D40,Pipe!$G:$G,Originadores!H$3)</f>
        <v>0</v>
      </c>
      <c r="M40" s="213"/>
    </row>
    <row r="41" spans="3:13">
      <c r="C41" s="24">
        <f t="shared" si="0"/>
        <v>38</v>
      </c>
      <c r="D41" t="s">
        <v>2948</v>
      </c>
      <c r="E41" t="s">
        <v>1193</v>
      </c>
      <c r="F41" s="24"/>
      <c r="G41" s="24"/>
      <c r="H41" s="24"/>
      <c r="M41" s="213"/>
    </row>
    <row r="42" spans="3:13">
      <c r="C42" s="24">
        <f t="shared" si="0"/>
        <v>39</v>
      </c>
      <c r="D42" t="s">
        <v>772</v>
      </c>
      <c r="E42" t="s">
        <v>1261</v>
      </c>
      <c r="F42" s="24">
        <f>COUNTIFS(Pipe!$H:$H,Originadores!$D42,Pipe!$G:$G,Originadores!F$3)</f>
        <v>1</v>
      </c>
      <c r="G42" s="24">
        <f>COUNTIFS(Pipe!$H:$H,Originadores!$D42,Pipe!$G:$G,Originadores!G$3)</f>
        <v>0</v>
      </c>
      <c r="H42" s="24">
        <f>COUNTIFS(Pipe!$H:$H,Originadores!$D42,Pipe!$G:$G,Originadores!H$3)</f>
        <v>0</v>
      </c>
      <c r="M42" s="213"/>
    </row>
    <row r="43" spans="3:13">
      <c r="C43" s="24">
        <f t="shared" si="0"/>
        <v>40</v>
      </c>
      <c r="D43" t="s">
        <v>743</v>
      </c>
      <c r="E43" t="s">
        <v>802</v>
      </c>
      <c r="F43" s="24">
        <f>COUNTIFS(Pipe!$H:$H,Originadores!$D43,Pipe!$G:$G,Originadores!F$3)</f>
        <v>1</v>
      </c>
      <c r="G43" s="24">
        <f>COUNTIFS(Pipe!$H:$H,Originadores!$D43,Pipe!$G:$G,Originadores!G$3)</f>
        <v>0</v>
      </c>
      <c r="H43" s="24">
        <f>COUNTIFS(Pipe!$H:$H,Originadores!$D43,Pipe!$G:$G,Originadores!H$3)</f>
        <v>0</v>
      </c>
      <c r="M43" s="213"/>
    </row>
    <row r="44" spans="3:13">
      <c r="C44" s="24">
        <f t="shared" si="0"/>
        <v>41</v>
      </c>
      <c r="D44" t="s">
        <v>1504</v>
      </c>
      <c r="E44" t="s">
        <v>226</v>
      </c>
      <c r="F44" s="24">
        <f>COUNTIFS(Pipe!$H:$H,Originadores!$D44,Pipe!$G:$G,Originadores!F$3)</f>
        <v>0</v>
      </c>
      <c r="G44" s="24">
        <f>COUNTIFS(Pipe!$H:$H,Originadores!$D44,Pipe!$G:$G,Originadores!G$3)</f>
        <v>1</v>
      </c>
      <c r="H44" s="24">
        <f>COUNTIFS(Pipe!$H:$H,Originadores!$D44,Pipe!$G:$G,Originadores!H$3)</f>
        <v>0</v>
      </c>
      <c r="M44" s="213"/>
    </row>
    <row r="45" spans="3:13">
      <c r="C45" s="24">
        <f t="shared" si="0"/>
        <v>42</v>
      </c>
      <c r="D45" t="s">
        <v>2824</v>
      </c>
      <c r="E45" t="s">
        <v>226</v>
      </c>
      <c r="F45" s="24">
        <f>COUNTIFS(Pipe!$H:$H,Originadores!$D45,Pipe!$G:$G,Originadores!F$3)</f>
        <v>0</v>
      </c>
      <c r="G45" s="24">
        <f>COUNTIFS(Pipe!$H:$H,Originadores!$D45,Pipe!$G:$G,Originadores!G$3)</f>
        <v>0</v>
      </c>
      <c r="H45" s="24">
        <f>COUNTIFS(Pipe!$H:$H,Originadores!$D45,Pipe!$G:$G,Originadores!H$3)</f>
        <v>2</v>
      </c>
      <c r="M45" s="213"/>
    </row>
    <row r="46" spans="3:13">
      <c r="C46" s="24">
        <f t="shared" si="0"/>
        <v>43</v>
      </c>
      <c r="D46" t="s">
        <v>469</v>
      </c>
      <c r="E46" t="s">
        <v>802</v>
      </c>
      <c r="F46" s="24">
        <f>COUNTIFS(Pipe!$H:$H,Originadores!$D46,Pipe!$G:$G,Originadores!F$3)</f>
        <v>1</v>
      </c>
      <c r="G46" s="24">
        <f>COUNTIFS(Pipe!$H:$H,Originadores!$D46,Pipe!$G:$G,Originadores!G$3)</f>
        <v>0</v>
      </c>
      <c r="H46" s="24">
        <f>COUNTIFS(Pipe!$H:$H,Originadores!$D46,Pipe!$G:$G,Originadores!H$3)</f>
        <v>0</v>
      </c>
    </row>
    <row r="47" spans="3:13" s="25" customFormat="1">
      <c r="C47" s="24">
        <f t="shared" si="0"/>
        <v>44</v>
      </c>
      <c r="D47" t="s">
        <v>2607</v>
      </c>
      <c r="E47" t="s">
        <v>802</v>
      </c>
      <c r="F47" s="24">
        <f>COUNTIFS(Pipe!$H:$H,Originadores!$D47,Pipe!$G:$G,Originadores!F$3)</f>
        <v>0</v>
      </c>
      <c r="G47" s="24">
        <f>COUNTIFS(Pipe!$H:$H,Originadores!$D47,Pipe!$G:$G,Originadores!G$3)</f>
        <v>1</v>
      </c>
      <c r="H47" s="24">
        <f>COUNTIFS(Pipe!$H:$H,Originadores!$D47,Pipe!$G:$G,Originadores!H$3)</f>
        <v>0</v>
      </c>
    </row>
    <row r="48" spans="3:13">
      <c r="C48" s="24">
        <f t="shared" si="0"/>
        <v>45</v>
      </c>
      <c r="D48" t="s">
        <v>1237</v>
      </c>
      <c r="E48" t="s">
        <v>130</v>
      </c>
      <c r="F48" s="24">
        <f>COUNTIFS(Pipe!$H:$H,Originadores!$D48,Pipe!$G:$G,Originadores!F$3)</f>
        <v>0</v>
      </c>
      <c r="G48" s="24">
        <f>COUNTIFS(Pipe!$H:$H,Originadores!$D48,Pipe!$G:$G,Originadores!G$3)</f>
        <v>4</v>
      </c>
      <c r="H48" s="24">
        <f>COUNTIFS(Pipe!$H:$H,Originadores!$D48,Pipe!$G:$G,Originadores!H$3)</f>
        <v>0</v>
      </c>
    </row>
    <row r="49" spans="3:8">
      <c r="C49" s="24">
        <f t="shared" si="0"/>
        <v>46</v>
      </c>
      <c r="D49" t="s">
        <v>2175</v>
      </c>
      <c r="E49" t="s">
        <v>130</v>
      </c>
      <c r="F49" s="24">
        <f>COUNTIFS(Pipe!$H:$H,Originadores!$D49,Pipe!$G:$G,Originadores!F$3)</f>
        <v>0</v>
      </c>
      <c r="G49" s="24">
        <f>COUNTIFS(Pipe!$H:$H,Originadores!$D49,Pipe!$G:$G,Originadores!G$3)</f>
        <v>1</v>
      </c>
      <c r="H49" s="24">
        <f>COUNTIFS(Pipe!$H:$H,Originadores!$D49,Pipe!$G:$G,Originadores!H$3)</f>
        <v>0</v>
      </c>
    </row>
    <row r="50" spans="3:8">
      <c r="C50" s="24">
        <f t="shared" si="0"/>
        <v>47</v>
      </c>
      <c r="D50" t="s">
        <v>2767</v>
      </c>
      <c r="E50" t="s">
        <v>872</v>
      </c>
      <c r="F50" s="24">
        <f>COUNTIFS(Pipe!$H:$H,Originadores!$D50,Pipe!$G:$G,Originadores!F$3)</f>
        <v>0</v>
      </c>
      <c r="G50" s="24">
        <f>COUNTIFS(Pipe!$H:$H,Originadores!$D50,Pipe!$G:$G,Originadores!G$3)</f>
        <v>0</v>
      </c>
      <c r="H50" s="24">
        <f>COUNTIFS(Pipe!$H:$H,Originadores!$D50,Pipe!$G:$G,Originadores!H$3)</f>
        <v>1</v>
      </c>
    </row>
    <row r="51" spans="3:8">
      <c r="C51" s="24">
        <f t="shared" si="0"/>
        <v>48</v>
      </c>
      <c r="D51" t="s">
        <v>1579</v>
      </c>
      <c r="E51" t="s">
        <v>226</v>
      </c>
      <c r="F51" s="24">
        <f>COUNTIFS(Pipe!$H:$H,Originadores!$D51,Pipe!$G:$G,Originadores!F$3)</f>
        <v>0</v>
      </c>
      <c r="G51" s="24">
        <f>COUNTIFS(Pipe!$H:$H,Originadores!$D51,Pipe!$G:$G,Originadores!G$3)</f>
        <v>3</v>
      </c>
      <c r="H51" s="24">
        <f>COUNTIFS(Pipe!$H:$H,Originadores!$D51,Pipe!$G:$G,Originadores!H$3)</f>
        <v>0</v>
      </c>
    </row>
    <row r="52" spans="3:8">
      <c r="C52" s="24">
        <f t="shared" si="0"/>
        <v>49</v>
      </c>
      <c r="D52" t="s">
        <v>994</v>
      </c>
      <c r="E52" t="s">
        <v>226</v>
      </c>
      <c r="F52" s="24">
        <f>COUNTIFS(Pipe!$H:$H,Originadores!$D52,Pipe!$G:$G,Originadores!F$3)</f>
        <v>1</v>
      </c>
      <c r="G52" s="24">
        <f>COUNTIFS(Pipe!$H:$H,Originadores!$D52,Pipe!$G:$G,Originadores!G$3)</f>
        <v>20</v>
      </c>
      <c r="H52" s="24">
        <f>COUNTIFS(Pipe!$H:$H,Originadores!$D52,Pipe!$G:$G,Originadores!H$3)</f>
        <v>6</v>
      </c>
    </row>
    <row r="53" spans="3:8">
      <c r="C53" s="24">
        <f t="shared" si="0"/>
        <v>50</v>
      </c>
      <c r="D53" t="s">
        <v>1937</v>
      </c>
      <c r="E53" t="s">
        <v>226</v>
      </c>
      <c r="F53" s="24">
        <f>COUNTIFS(Pipe!$H:$H,Originadores!$D53,Pipe!$G:$G,Originadores!F$3)</f>
        <v>0</v>
      </c>
      <c r="G53" s="24">
        <f>COUNTIFS(Pipe!$H:$H,Originadores!$D53,Pipe!$G:$G,Originadores!G$3)</f>
        <v>1</v>
      </c>
      <c r="H53" s="24">
        <f>COUNTIFS(Pipe!$H:$H,Originadores!$D53,Pipe!$G:$G,Originadores!H$3)</f>
        <v>0</v>
      </c>
    </row>
    <row r="54" spans="3:8">
      <c r="C54" s="24">
        <f t="shared" si="0"/>
        <v>51</v>
      </c>
      <c r="D54" t="s">
        <v>397</v>
      </c>
      <c r="E54" t="s">
        <v>1193</v>
      </c>
      <c r="F54" s="24">
        <f>COUNTIFS(Pipe!$H:$H,Originadores!$D54,Pipe!$G:$G,Originadores!F$3)</f>
        <v>1</v>
      </c>
      <c r="G54" s="24">
        <f>COUNTIFS(Pipe!$H:$H,Originadores!$D54,Pipe!$G:$G,Originadores!G$3)</f>
        <v>0</v>
      </c>
      <c r="H54" s="24">
        <f>COUNTIFS(Pipe!$H:$H,Originadores!$D54,Pipe!$G:$G,Originadores!H$3)</f>
        <v>0</v>
      </c>
    </row>
    <row r="55" spans="3:8">
      <c r="C55" s="24">
        <f t="shared" si="0"/>
        <v>52</v>
      </c>
      <c r="D55" t="s">
        <v>3071</v>
      </c>
      <c r="F55" s="24">
        <f>COUNTIFS(Pipe!$H:$H,Originadores!$D55,Pipe!$G:$G,Originadores!F$3)</f>
        <v>0</v>
      </c>
      <c r="G55" s="24">
        <f>COUNTIFS(Pipe!$H:$H,Originadores!$D55,Pipe!$G:$G,Originadores!G$3)</f>
        <v>0</v>
      </c>
      <c r="H55" s="24">
        <f>COUNTIFS(Pipe!$H:$H,Originadores!$D55,Pipe!$G:$G,Originadores!H$3)</f>
        <v>2</v>
      </c>
    </row>
    <row r="56" spans="3:8">
      <c r="C56" s="24">
        <f t="shared" si="0"/>
        <v>53</v>
      </c>
      <c r="D56" t="s">
        <v>1319</v>
      </c>
      <c r="E56" t="s">
        <v>1252</v>
      </c>
      <c r="F56" s="24">
        <f>COUNTIFS(Pipe!$H:$H,Originadores!$D56,Pipe!$G:$G,Originadores!F$3)</f>
        <v>0</v>
      </c>
      <c r="G56" s="24">
        <f>COUNTIFS(Pipe!$H:$H,Originadores!$D56,Pipe!$G:$G,Originadores!G$3)</f>
        <v>1</v>
      </c>
      <c r="H56" s="24">
        <f>COUNTIFS(Pipe!$H:$H,Originadores!$D56,Pipe!$G:$G,Originadores!H$3)</f>
        <v>1</v>
      </c>
    </row>
    <row r="57" spans="3:8">
      <c r="C57" s="24">
        <f t="shared" si="0"/>
        <v>54</v>
      </c>
      <c r="D57" t="s">
        <v>2579</v>
      </c>
      <c r="E57" t="s">
        <v>226</v>
      </c>
      <c r="F57" s="24">
        <f>COUNTIFS(Pipe!$H:$H,Originadores!$D57,Pipe!$G:$G,Originadores!F$3)</f>
        <v>0</v>
      </c>
      <c r="G57" s="24">
        <f>COUNTIFS(Pipe!$H:$H,Originadores!$D57,Pipe!$G:$G,Originadores!G$3)</f>
        <v>2</v>
      </c>
      <c r="H57" s="24">
        <f>COUNTIFS(Pipe!$H:$H,Originadores!$D57,Pipe!$G:$G,Originadores!H$3)</f>
        <v>3</v>
      </c>
    </row>
    <row r="58" spans="3:8">
      <c r="C58" s="24">
        <f t="shared" si="0"/>
        <v>55</v>
      </c>
      <c r="D58" t="s">
        <v>2968</v>
      </c>
      <c r="E58" t="s">
        <v>226</v>
      </c>
      <c r="F58" s="24">
        <f>COUNTIFS(Pipe!$H:$H,Originadores!$D58,Pipe!$G:$G,Originadores!F$3)</f>
        <v>0</v>
      </c>
      <c r="G58" s="24">
        <f>COUNTIFS(Pipe!$H:$H,Originadores!$D58,Pipe!$G:$G,Originadores!G$3)</f>
        <v>0</v>
      </c>
      <c r="H58" s="24">
        <f>COUNTIFS(Pipe!$H:$H,Originadores!$D58,Pipe!$G:$G,Originadores!H$3)</f>
        <v>1</v>
      </c>
    </row>
    <row r="59" spans="3:8">
      <c r="C59" s="24">
        <f t="shared" si="0"/>
        <v>56</v>
      </c>
      <c r="D59" t="s">
        <v>2684</v>
      </c>
      <c r="E59" t="s">
        <v>802</v>
      </c>
      <c r="F59" s="24">
        <f>COUNTIFS(Pipe!$H:$H,Originadores!$D59,Pipe!$G:$G,Originadores!F$3)</f>
        <v>0</v>
      </c>
      <c r="G59" s="24">
        <f>COUNTIFS(Pipe!$H:$H,Originadores!$D59,Pipe!$G:$G,Originadores!G$3)</f>
        <v>0</v>
      </c>
      <c r="H59" s="24">
        <f>COUNTIFS(Pipe!$H:$H,Originadores!$D59,Pipe!$G:$G,Originadores!H$3)</f>
        <v>1</v>
      </c>
    </row>
    <row r="60" spans="3:8">
      <c r="C60" s="24">
        <f t="shared" si="0"/>
        <v>57</v>
      </c>
      <c r="D60" s="53" t="s">
        <v>2612</v>
      </c>
      <c r="E60" t="s">
        <v>802</v>
      </c>
      <c r="F60" s="24">
        <f>COUNTIFS(Pipe!$H:$H,Originadores!$D60,Pipe!$G:$G,Originadores!F$3)</f>
        <v>0</v>
      </c>
      <c r="G60" s="24">
        <f>COUNTIFS(Pipe!$H:$H,Originadores!$D60,Pipe!$G:$G,Originadores!G$3)</f>
        <v>1</v>
      </c>
      <c r="H60" s="24">
        <f>COUNTIFS(Pipe!$H:$H,Originadores!$D60,Pipe!$G:$G,Originadores!H$3)</f>
        <v>0</v>
      </c>
    </row>
    <row r="61" spans="3:8">
      <c r="C61" s="24">
        <f t="shared" si="0"/>
        <v>58</v>
      </c>
      <c r="D61" t="s">
        <v>820</v>
      </c>
      <c r="E61" t="s">
        <v>802</v>
      </c>
      <c r="F61" s="24">
        <f>COUNTIFS(Pipe!$H:$H,Originadores!$D61,Pipe!$G:$G,Originadores!F$3)</f>
        <v>2</v>
      </c>
      <c r="G61" s="24">
        <f>COUNTIFS(Pipe!$H:$H,Originadores!$D61,Pipe!$G:$G,Originadores!G$3)</f>
        <v>0</v>
      </c>
      <c r="H61" s="24">
        <f>COUNTIFS(Pipe!$H:$H,Originadores!$D61,Pipe!$G:$G,Originadores!H$3)</f>
        <v>0</v>
      </c>
    </row>
    <row r="62" spans="3:8">
      <c r="C62" s="24">
        <f t="shared" si="0"/>
        <v>59</v>
      </c>
      <c r="D62" t="s">
        <v>331</v>
      </c>
      <c r="E62" t="s">
        <v>130</v>
      </c>
      <c r="F62" s="24">
        <f>COUNTIFS(Pipe!$H:$H,Originadores!$D62,Pipe!$G:$G,Originadores!F$3)</f>
        <v>1</v>
      </c>
      <c r="G62" s="24">
        <f>COUNTIFS(Pipe!$H:$H,Originadores!$D62,Pipe!$G:$G,Originadores!G$3)</f>
        <v>0</v>
      </c>
      <c r="H62" s="24">
        <f>COUNTIFS(Pipe!$H:$H,Originadores!$D62,Pipe!$G:$G,Originadores!H$3)</f>
        <v>0</v>
      </c>
    </row>
    <row r="63" spans="3:8">
      <c r="C63" s="24">
        <f t="shared" si="0"/>
        <v>60</v>
      </c>
      <c r="D63" t="s">
        <v>3184</v>
      </c>
      <c r="E63" t="s">
        <v>872</v>
      </c>
      <c r="F63" s="24">
        <f>COUNTIFS(Pipe!$H:$H,Originadores!$D63,Pipe!$G:$G,Originadores!F$3)</f>
        <v>0</v>
      </c>
      <c r="G63" s="24">
        <f>COUNTIFS(Pipe!$H:$H,Originadores!$D63,Pipe!$G:$G,Originadores!G$3)</f>
        <v>0</v>
      </c>
      <c r="H63" s="24">
        <f>COUNTIFS(Pipe!$H:$H,Originadores!$D63,Pipe!$G:$G,Originadores!H$3)</f>
        <v>2</v>
      </c>
    </row>
    <row r="64" spans="3:8">
      <c r="C64" s="24">
        <f t="shared" si="0"/>
        <v>61</v>
      </c>
      <c r="D64" t="s">
        <v>2413</v>
      </c>
      <c r="E64" t="s">
        <v>130</v>
      </c>
      <c r="F64" s="24">
        <f>COUNTIFS(Pipe!$H:$H,Originadores!$D64,Pipe!$G:$G,Originadores!F$3)</f>
        <v>0</v>
      </c>
      <c r="G64" s="24">
        <f>COUNTIFS(Pipe!$H:$H,Originadores!$D64,Pipe!$G:$G,Originadores!G$3)</f>
        <v>1</v>
      </c>
      <c r="H64" s="24">
        <f>COUNTIFS(Pipe!$H:$H,Originadores!$D64,Pipe!$G:$G,Originadores!H$3)</f>
        <v>0</v>
      </c>
    </row>
    <row r="65" spans="3:8">
      <c r="C65" s="24">
        <f t="shared" si="0"/>
        <v>62</v>
      </c>
      <c r="D65" t="s">
        <v>2067</v>
      </c>
      <c r="E65" t="s">
        <v>1252</v>
      </c>
      <c r="F65" s="24">
        <f>COUNTIFS(Pipe!$H:$H,Originadores!$D65,Pipe!$G:$G,Originadores!F$3)</f>
        <v>0</v>
      </c>
      <c r="G65" s="24">
        <f>COUNTIFS(Pipe!$H:$H,Originadores!$D65,Pipe!$G:$G,Originadores!G$3)</f>
        <v>1</v>
      </c>
      <c r="H65" s="24">
        <f>COUNTIFS(Pipe!$H:$H,Originadores!$D65,Pipe!$G:$G,Originadores!H$3)</f>
        <v>0</v>
      </c>
    </row>
    <row r="66" spans="3:8">
      <c r="C66" s="24">
        <f t="shared" si="0"/>
        <v>63</v>
      </c>
      <c r="D66" t="s">
        <v>929</v>
      </c>
      <c r="E66" t="s">
        <v>403</v>
      </c>
      <c r="F66" s="24">
        <f>COUNTIFS(Pipe!$H:$H,Originadores!$D66,Pipe!$G:$G,Originadores!F$3)</f>
        <v>1</v>
      </c>
      <c r="G66" s="24">
        <f>COUNTIFS(Pipe!$H:$H,Originadores!$D66,Pipe!$G:$G,Originadores!G$3)</f>
        <v>1</v>
      </c>
      <c r="H66" s="24">
        <f>COUNTIFS(Pipe!$H:$H,Originadores!$D66,Pipe!$G:$G,Originadores!H$3)</f>
        <v>0</v>
      </c>
    </row>
    <row r="67" spans="3:8">
      <c r="C67" s="24">
        <f t="shared" si="0"/>
        <v>64</v>
      </c>
      <c r="D67" t="s">
        <v>432</v>
      </c>
      <c r="E67" t="s">
        <v>802</v>
      </c>
      <c r="F67" s="24">
        <f>COUNTIFS(Pipe!$H:$H,Originadores!$D67,Pipe!$G:$G,Originadores!F$3)</f>
        <v>1</v>
      </c>
      <c r="G67" s="24">
        <f>COUNTIFS(Pipe!$H:$H,Originadores!$D67,Pipe!$G:$G,Originadores!G$3)</f>
        <v>0</v>
      </c>
      <c r="H67" s="24">
        <f>COUNTIFS(Pipe!$H:$H,Originadores!$D67,Pipe!$G:$G,Originadores!H$3)</f>
        <v>0</v>
      </c>
    </row>
    <row r="68" spans="3:8">
      <c r="C68" s="24">
        <f t="shared" si="0"/>
        <v>65</v>
      </c>
      <c r="D68" t="s">
        <v>211</v>
      </c>
      <c r="E68" t="s">
        <v>1261</v>
      </c>
      <c r="F68" s="24">
        <f>COUNTIFS(Pipe!$H:$H,Originadores!$D68,Pipe!$G:$G,Originadores!F$3)</f>
        <v>1</v>
      </c>
      <c r="G68" s="24">
        <f>COUNTIFS(Pipe!$H:$H,Originadores!$D68,Pipe!$G:$G,Originadores!G$3)</f>
        <v>0</v>
      </c>
      <c r="H68" s="24">
        <f>COUNTIFS(Pipe!$H:$H,Originadores!$D68,Pipe!$G:$G,Originadores!H$3)</f>
        <v>0</v>
      </c>
    </row>
    <row r="69" spans="3:8">
      <c r="C69" s="24">
        <f t="shared" si="0"/>
        <v>66</v>
      </c>
      <c r="D69" t="s">
        <v>3114</v>
      </c>
      <c r="E69" t="s">
        <v>130</v>
      </c>
      <c r="F69" s="24">
        <f>COUNTIFS(Pipe!$H:$H,Originadores!$D69,Pipe!$G:$G,Originadores!F$3)</f>
        <v>0</v>
      </c>
      <c r="G69" s="24">
        <f>COUNTIFS(Pipe!$H:$H,Originadores!$D69,Pipe!$G:$G,Originadores!G$3)</f>
        <v>0</v>
      </c>
      <c r="H69" s="24">
        <f>COUNTIFS(Pipe!$H:$H,Originadores!$D69,Pipe!$G:$G,Originadores!H$3)</f>
        <v>1</v>
      </c>
    </row>
    <row r="70" spans="3:8">
      <c r="C70" s="24">
        <f t="shared" si="0"/>
        <v>67</v>
      </c>
      <c r="D70" t="s">
        <v>1042</v>
      </c>
      <c r="E70" t="s">
        <v>403</v>
      </c>
      <c r="F70" s="24">
        <f>COUNTIFS(Pipe!$H:$H,Originadores!$D70,Pipe!$G:$G,Originadores!F$3)</f>
        <v>0</v>
      </c>
      <c r="G70" s="24">
        <f>COUNTIFS(Pipe!$H:$H,Originadores!$D70,Pipe!$G:$G,Originadores!G$3)</f>
        <v>1</v>
      </c>
      <c r="H70" s="24">
        <f>COUNTIFS(Pipe!$H:$H,Originadores!$D70,Pipe!$G:$G,Originadores!H$3)</f>
        <v>0</v>
      </c>
    </row>
    <row r="71" spans="3:8">
      <c r="C71" s="24">
        <f t="shared" si="0"/>
        <v>68</v>
      </c>
      <c r="D71" t="s">
        <v>2078</v>
      </c>
      <c r="E71" t="s">
        <v>1767</v>
      </c>
      <c r="F71" s="24">
        <f>COUNTIFS(Pipe!$H:$H,Originadores!$D71,Pipe!$G:$G,Originadores!F$3)</f>
        <v>0</v>
      </c>
      <c r="G71" s="24">
        <f>COUNTIFS(Pipe!$H:$H,Originadores!$D71,Pipe!$G:$G,Originadores!G$3)</f>
        <v>1</v>
      </c>
      <c r="H71" s="24">
        <f>COUNTIFS(Pipe!$H:$H,Originadores!$D71,Pipe!$G:$G,Originadores!H$3)</f>
        <v>0</v>
      </c>
    </row>
    <row r="72" spans="3:8">
      <c r="C72" s="24">
        <f t="shared" si="0"/>
        <v>69</v>
      </c>
      <c r="D72" t="s">
        <v>2057</v>
      </c>
      <c r="E72" t="s">
        <v>1261</v>
      </c>
      <c r="F72" s="24">
        <f>COUNTIFS(Pipe!$H:$H,Originadores!$D72,Pipe!$G:$G,Originadores!F$3)</f>
        <v>0</v>
      </c>
      <c r="G72" s="24">
        <f>COUNTIFS(Pipe!$H:$H,Originadores!$D72,Pipe!$G:$G,Originadores!G$3)</f>
        <v>1</v>
      </c>
      <c r="H72" s="24">
        <f>COUNTIFS(Pipe!$H:$H,Originadores!$D72,Pipe!$G:$G,Originadores!H$3)</f>
        <v>0</v>
      </c>
    </row>
    <row r="73" spans="3:8">
      <c r="C73" s="24">
        <f t="shared" si="0"/>
        <v>70</v>
      </c>
      <c r="D73" t="s">
        <v>2106</v>
      </c>
      <c r="E73" t="s">
        <v>130</v>
      </c>
      <c r="F73" s="24">
        <f>COUNTIFS(Pipe!$H:$H,Originadores!$D73,Pipe!$G:$G,Originadores!F$3)</f>
        <v>0</v>
      </c>
      <c r="G73" s="24">
        <f>COUNTIFS(Pipe!$H:$H,Originadores!$D73,Pipe!$G:$G,Originadores!G$3)</f>
        <v>1</v>
      </c>
      <c r="H73" s="24">
        <f>COUNTIFS(Pipe!$H:$H,Originadores!$D73,Pipe!$G:$G,Originadores!H$3)</f>
        <v>0</v>
      </c>
    </row>
    <row r="74" spans="3:8">
      <c r="C74" s="24">
        <f t="shared" si="0"/>
        <v>71</v>
      </c>
      <c r="D74" t="s">
        <v>2738</v>
      </c>
      <c r="E74" t="s">
        <v>226</v>
      </c>
      <c r="F74" s="24">
        <f>COUNTIFS(Pipe!$H:$H,Originadores!$D74,Pipe!$G:$G,Originadores!F$3)</f>
        <v>0</v>
      </c>
      <c r="G74" s="24">
        <f>COUNTIFS(Pipe!$H:$H,Originadores!$D74,Pipe!$G:$G,Originadores!G$3)</f>
        <v>0</v>
      </c>
      <c r="H74" s="24">
        <f>COUNTIFS(Pipe!$H:$H,Originadores!$D74,Pipe!$G:$G,Originadores!H$3)</f>
        <v>1</v>
      </c>
    </row>
    <row r="75" spans="3:8">
      <c r="C75" s="24">
        <f t="shared" si="0"/>
        <v>72</v>
      </c>
      <c r="D75" t="s">
        <v>30</v>
      </c>
      <c r="E75" t="s">
        <v>226</v>
      </c>
      <c r="F75" s="24">
        <f>COUNTIFS(Pipe!$H:$H,Originadores!$D75,Pipe!$G:$G,Originadores!F$3)</f>
        <v>1</v>
      </c>
      <c r="G75" s="24">
        <f>COUNTIFS(Pipe!$H:$H,Originadores!$D75,Pipe!$G:$G,Originadores!G$3)</f>
        <v>0</v>
      </c>
      <c r="H75" s="24">
        <f>COUNTIFS(Pipe!$H:$H,Originadores!$D75,Pipe!$G:$G,Originadores!H$3)</f>
        <v>0</v>
      </c>
    </row>
    <row r="76" spans="3:8">
      <c r="C76" s="24">
        <f t="shared" si="0"/>
        <v>73</v>
      </c>
      <c r="D76" t="s">
        <v>2650</v>
      </c>
      <c r="E76" t="s">
        <v>226</v>
      </c>
      <c r="F76" s="24">
        <f>COUNTIFS(Pipe!$H:$H,Originadores!$D76,Pipe!$G:$G,Originadores!F$3)</f>
        <v>0</v>
      </c>
      <c r="G76" s="24">
        <f>COUNTIFS(Pipe!$H:$H,Originadores!$D76,Pipe!$G:$G,Originadores!G$3)</f>
        <v>0</v>
      </c>
      <c r="H76" s="24">
        <f>COUNTIFS(Pipe!$H:$H,Originadores!$D76,Pipe!$G:$G,Originadores!H$3)</f>
        <v>1</v>
      </c>
    </row>
    <row r="77" spans="3:8">
      <c r="C77" s="24">
        <f t="shared" si="0"/>
        <v>74</v>
      </c>
      <c r="D77" t="s">
        <v>1050</v>
      </c>
      <c r="E77" t="s">
        <v>226</v>
      </c>
      <c r="F77" s="24">
        <f>COUNTIFS(Pipe!$H:$H,Originadores!$D77,Pipe!$G:$G,Originadores!F$3)</f>
        <v>1</v>
      </c>
      <c r="G77" s="24">
        <f>COUNTIFS(Pipe!$H:$H,Originadores!$D77,Pipe!$G:$G,Originadores!G$3)</f>
        <v>9</v>
      </c>
      <c r="H77" s="24">
        <f>COUNTIFS(Pipe!$H:$H,Originadores!$D77,Pipe!$G:$G,Originadores!H$3)</f>
        <v>3</v>
      </c>
    </row>
    <row r="78" spans="3:8">
      <c r="C78" s="24">
        <f t="shared" si="0"/>
        <v>75</v>
      </c>
      <c r="D78" t="s">
        <v>480</v>
      </c>
      <c r="E78" t="s">
        <v>802</v>
      </c>
      <c r="F78" s="24">
        <f>COUNTIFS(Pipe!$H:$H,Originadores!$D78,Pipe!$G:$G,Originadores!F$3)</f>
        <v>1</v>
      </c>
      <c r="G78" s="24">
        <f>COUNTIFS(Pipe!$H:$H,Originadores!$D78,Pipe!$G:$G,Originadores!G$3)</f>
        <v>0</v>
      </c>
      <c r="H78" s="24">
        <f>COUNTIFS(Pipe!$H:$H,Originadores!$D78,Pipe!$G:$G,Originadores!H$3)</f>
        <v>0</v>
      </c>
    </row>
    <row r="79" spans="3:8">
      <c r="C79" s="24">
        <f t="shared" si="0"/>
        <v>76</v>
      </c>
      <c r="D79" t="s">
        <v>1273</v>
      </c>
      <c r="E79" t="s">
        <v>802</v>
      </c>
      <c r="F79" s="24">
        <f>COUNTIFS(Pipe!$H:$H,Originadores!$D79,Pipe!$G:$G,Originadores!F$3)</f>
        <v>0</v>
      </c>
      <c r="G79" s="24">
        <f>COUNTIFS(Pipe!$H:$H,Originadores!$D79,Pipe!$G:$G,Originadores!G$3)</f>
        <v>1</v>
      </c>
      <c r="H79" s="24">
        <f>COUNTIFS(Pipe!$H:$H,Originadores!$D79,Pipe!$G:$G,Originadores!H$3)</f>
        <v>0</v>
      </c>
    </row>
    <row r="80" spans="3:8">
      <c r="C80" s="24">
        <f t="shared" si="0"/>
        <v>77</v>
      </c>
      <c r="D80" t="s">
        <v>163</v>
      </c>
      <c r="E80" t="s">
        <v>226</v>
      </c>
      <c r="F80" s="24">
        <f>COUNTIFS(Pipe!$H:$H,Originadores!$D80,Pipe!$G:$G,Originadores!F$3)</f>
        <v>1</v>
      </c>
      <c r="G80" s="24">
        <f>COUNTIFS(Pipe!$H:$H,Originadores!$D80,Pipe!$G:$G,Originadores!G$3)</f>
        <v>0</v>
      </c>
      <c r="H80" s="24">
        <f>COUNTIFS(Pipe!$H:$H,Originadores!$D80,Pipe!$G:$G,Originadores!H$3)</f>
        <v>0</v>
      </c>
    </row>
    <row r="81" spans="3:8">
      <c r="C81" s="24">
        <f t="shared" si="0"/>
        <v>78</v>
      </c>
      <c r="D81" t="s">
        <v>2639</v>
      </c>
      <c r="E81" t="s">
        <v>1261</v>
      </c>
      <c r="F81" s="24">
        <f>COUNTIFS(Pipe!$H:$H,Originadores!$D81,Pipe!$G:$G,Originadores!F$3)</f>
        <v>0</v>
      </c>
      <c r="G81" s="24">
        <f>COUNTIFS(Pipe!$H:$H,Originadores!$D81,Pipe!$G:$G,Originadores!G$3)</f>
        <v>0</v>
      </c>
      <c r="H81" s="24">
        <f>COUNTIFS(Pipe!$H:$H,Originadores!$D81,Pipe!$G:$G,Originadores!H$3)</f>
        <v>1</v>
      </c>
    </row>
    <row r="82" spans="3:8">
      <c r="C82" s="24">
        <f t="shared" si="0"/>
        <v>79</v>
      </c>
      <c r="D82" t="s">
        <v>3192</v>
      </c>
      <c r="E82" t="s">
        <v>226</v>
      </c>
      <c r="F82" s="24">
        <f>COUNTIFS(Pipe!$H:$H,Originadores!$D82,Pipe!$G:$G,Originadores!F$3)</f>
        <v>0</v>
      </c>
      <c r="G82" s="24">
        <f>COUNTIFS(Pipe!$H:$H,Originadores!$D82,Pipe!$G:$G,Originadores!G$3)</f>
        <v>0</v>
      </c>
      <c r="H82" s="24">
        <f>COUNTIFS(Pipe!$H:$H,Originadores!$D82,Pipe!$G:$G,Originadores!H$3)</f>
        <v>1</v>
      </c>
    </row>
    <row r="83" spans="3:8">
      <c r="C83" s="24">
        <f t="shared" si="0"/>
        <v>80</v>
      </c>
      <c r="D83" t="s">
        <v>2507</v>
      </c>
      <c r="E83" t="s">
        <v>1261</v>
      </c>
      <c r="F83" s="24">
        <f>COUNTIFS(Pipe!$H:$H,Originadores!$D83,Pipe!$G:$G,Originadores!F$3)</f>
        <v>0</v>
      </c>
      <c r="G83" s="24">
        <f>COUNTIFS(Pipe!$H:$H,Originadores!$D83,Pipe!$G:$G,Originadores!G$3)</f>
        <v>1</v>
      </c>
      <c r="H83" s="24">
        <f>COUNTIFS(Pipe!$H:$H,Originadores!$D83,Pipe!$G:$G,Originadores!H$3)</f>
        <v>0</v>
      </c>
    </row>
    <row r="84" spans="3:8">
      <c r="C84" s="24">
        <f t="shared" si="0"/>
        <v>81</v>
      </c>
      <c r="D84" t="s">
        <v>2197</v>
      </c>
      <c r="E84" t="s">
        <v>130</v>
      </c>
      <c r="F84" s="24">
        <f>COUNTIFS(Pipe!$H:$H,Originadores!$D84,Pipe!$G:$G,Originadores!F$3)</f>
        <v>0</v>
      </c>
      <c r="G84" s="24">
        <f>COUNTIFS(Pipe!$H:$H,Originadores!$D84,Pipe!$G:$G,Originadores!G$3)</f>
        <v>1</v>
      </c>
      <c r="H84" s="24">
        <f>COUNTIFS(Pipe!$H:$H,Originadores!$D84,Pipe!$G:$G,Originadores!H$3)</f>
        <v>1</v>
      </c>
    </row>
    <row r="85" spans="3:8">
      <c r="C85" s="24">
        <f t="shared" si="0"/>
        <v>82</v>
      </c>
      <c r="D85" t="s">
        <v>2049</v>
      </c>
      <c r="E85" t="s">
        <v>130</v>
      </c>
      <c r="F85" s="24">
        <f>COUNTIFS(Pipe!$H:$H,Originadores!$D85,Pipe!$G:$G,Originadores!F$3)</f>
        <v>0</v>
      </c>
      <c r="G85" s="24">
        <f>COUNTIFS(Pipe!$H:$H,Originadores!$D85,Pipe!$G:$G,Originadores!G$3)</f>
        <v>2</v>
      </c>
      <c r="H85" s="24">
        <f>COUNTIFS(Pipe!$H:$H,Originadores!$D85,Pipe!$G:$G,Originadores!H$3)</f>
        <v>0</v>
      </c>
    </row>
    <row r="86" spans="3:8">
      <c r="C86" s="24">
        <f t="shared" si="0"/>
        <v>83</v>
      </c>
      <c r="D86" t="s">
        <v>1401</v>
      </c>
      <c r="E86" t="s">
        <v>189</v>
      </c>
      <c r="F86" s="24">
        <f>COUNTIFS(Pipe!$H:$H,Originadores!$D86,Pipe!$G:$G,Originadores!F$3)</f>
        <v>0</v>
      </c>
      <c r="G86" s="24">
        <f>COUNTIFS(Pipe!$H:$H,Originadores!$D86,Pipe!$G:$G,Originadores!G$3)</f>
        <v>1</v>
      </c>
      <c r="H86" s="24">
        <f>COUNTIFS(Pipe!$H:$H,Originadores!$D86,Pipe!$G:$G,Originadores!H$3)</f>
        <v>0</v>
      </c>
    </row>
    <row r="87" spans="3:8">
      <c r="C87" s="24">
        <f t="shared" si="0"/>
        <v>84</v>
      </c>
      <c r="D87" t="s">
        <v>2187</v>
      </c>
      <c r="E87" t="s">
        <v>130</v>
      </c>
      <c r="F87" s="24">
        <f>COUNTIFS(Pipe!$H:$H,Originadores!$D87,Pipe!$G:$G,Originadores!F$3)</f>
        <v>0</v>
      </c>
      <c r="G87" s="24">
        <f>COUNTIFS(Pipe!$H:$H,Originadores!$D87,Pipe!$G:$G,Originadores!G$3)</f>
        <v>1</v>
      </c>
      <c r="H87" s="24">
        <f>COUNTIFS(Pipe!$H:$H,Originadores!$D87,Pipe!$G:$G,Originadores!H$3)</f>
        <v>0</v>
      </c>
    </row>
    <row r="88" spans="3:8">
      <c r="C88" s="24">
        <f t="shared" si="0"/>
        <v>85</v>
      </c>
      <c r="D88" t="s">
        <v>2468</v>
      </c>
      <c r="E88" t="s">
        <v>1261</v>
      </c>
      <c r="F88" s="24">
        <f>COUNTIFS(Pipe!$H:$H,Originadores!$D88,Pipe!$G:$G,Originadores!F$3)</f>
        <v>0</v>
      </c>
      <c r="G88" s="24">
        <f>COUNTIFS(Pipe!$H:$H,Originadores!$D88,Pipe!$G:$G,Originadores!G$3)</f>
        <v>1</v>
      </c>
      <c r="H88" s="24">
        <f>COUNTIFS(Pipe!$H:$H,Originadores!$D88,Pipe!$G:$G,Originadores!H$3)</f>
        <v>1</v>
      </c>
    </row>
    <row r="89" spans="3:8">
      <c r="C89" s="24">
        <f t="shared" si="0"/>
        <v>86</v>
      </c>
      <c r="D89" t="s">
        <v>2596</v>
      </c>
      <c r="E89" t="s">
        <v>802</v>
      </c>
      <c r="F89" s="24">
        <f>COUNTIFS(Pipe!$H:$H,Originadores!$D89,Pipe!$G:$G,Originadores!F$3)</f>
        <v>1</v>
      </c>
      <c r="G89" s="24">
        <f>COUNTIFS(Pipe!$H:$H,Originadores!$D89,Pipe!$G:$G,Originadores!G$3)</f>
        <v>1</v>
      </c>
      <c r="H89" s="24">
        <f>COUNTIFS(Pipe!$H:$H,Originadores!$D89,Pipe!$G:$G,Originadores!H$3)</f>
        <v>0</v>
      </c>
    </row>
    <row r="90" spans="3:8">
      <c r="C90" s="24">
        <f t="shared" si="0"/>
        <v>87</v>
      </c>
      <c r="D90" t="s">
        <v>2613</v>
      </c>
      <c r="E90" t="s">
        <v>130</v>
      </c>
      <c r="F90" s="24">
        <f>COUNTIFS(Pipe!$H:$H,Originadores!$D90,Pipe!$G:$G,Originadores!F$3)</f>
        <v>1</v>
      </c>
      <c r="G90" s="24">
        <f>COUNTIFS(Pipe!$H:$H,Originadores!$D90,Pipe!$G:$G,Originadores!G$3)</f>
        <v>0</v>
      </c>
      <c r="H90" s="24">
        <f>COUNTIFS(Pipe!$H:$H,Originadores!$D90,Pipe!$G:$G,Originadores!H$3)</f>
        <v>0</v>
      </c>
    </row>
    <row r="91" spans="3:8">
      <c r="C91" s="24">
        <f t="shared" si="0"/>
        <v>88</v>
      </c>
      <c r="D91" t="s">
        <v>1157</v>
      </c>
      <c r="E91" t="s">
        <v>130</v>
      </c>
      <c r="F91" s="24">
        <f>COUNTIFS(Pipe!$H:$H,Originadores!$D91,Pipe!$G:$G,Originadores!F$3)</f>
        <v>0</v>
      </c>
      <c r="G91" s="24">
        <f>COUNTIFS(Pipe!$H:$H,Originadores!$D91,Pipe!$G:$G,Originadores!G$3)</f>
        <v>1</v>
      </c>
      <c r="H91" s="24">
        <f>COUNTIFS(Pipe!$H:$H,Originadores!$D91,Pipe!$G:$G,Originadores!H$3)</f>
        <v>0</v>
      </c>
    </row>
    <row r="92" spans="3:8">
      <c r="C92" s="24">
        <f t="shared" si="0"/>
        <v>89</v>
      </c>
      <c r="D92" t="s">
        <v>1948</v>
      </c>
      <c r="E92" t="s">
        <v>130</v>
      </c>
      <c r="F92" s="24">
        <f>COUNTIFS(Pipe!$H:$H,Originadores!$D92,Pipe!$G:$G,Originadores!F$3)</f>
        <v>0</v>
      </c>
      <c r="G92" s="24">
        <f>COUNTIFS(Pipe!$H:$H,Originadores!$D92,Pipe!$G:$G,Originadores!G$3)</f>
        <v>1</v>
      </c>
      <c r="H92" s="24">
        <f>COUNTIFS(Pipe!$H:$H,Originadores!$D92,Pipe!$G:$G,Originadores!H$3)</f>
        <v>2</v>
      </c>
    </row>
    <row r="93" spans="3:8">
      <c r="C93" s="24">
        <f t="shared" si="0"/>
        <v>90</v>
      </c>
      <c r="D93" t="s">
        <v>2183</v>
      </c>
      <c r="E93" t="s">
        <v>1261</v>
      </c>
      <c r="F93" s="24">
        <f>COUNTIFS(Pipe!$H:$H,Originadores!$D93,Pipe!$G:$G,Originadores!F$3)</f>
        <v>0</v>
      </c>
      <c r="G93" s="24">
        <f>COUNTIFS(Pipe!$H:$H,Originadores!$D93,Pipe!$G:$G,Originadores!G$3)</f>
        <v>1</v>
      </c>
      <c r="H93" s="24">
        <f>COUNTIFS(Pipe!$H:$H,Originadores!$D93,Pipe!$G:$G,Originadores!H$3)</f>
        <v>0</v>
      </c>
    </row>
    <row r="94" spans="3:8">
      <c r="C94" s="24">
        <f t="shared" si="0"/>
        <v>91</v>
      </c>
      <c r="D94" t="s">
        <v>2196</v>
      </c>
      <c r="E94" t="s">
        <v>226</v>
      </c>
      <c r="F94" s="24">
        <f>COUNTIFS(Pipe!$H:$H,Originadores!$D94,Pipe!$G:$G,Originadores!F$3)</f>
        <v>0</v>
      </c>
      <c r="G94" s="24">
        <f>COUNTIFS(Pipe!$H:$H,Originadores!$D94,Pipe!$G:$G,Originadores!G$3)</f>
        <v>1</v>
      </c>
      <c r="H94" s="24">
        <f>COUNTIFS(Pipe!$H:$H,Originadores!$D94,Pipe!$G:$G,Originadores!H$3)</f>
        <v>0</v>
      </c>
    </row>
    <row r="95" spans="3:8">
      <c r="C95" s="24">
        <f t="shared" si="0"/>
        <v>92</v>
      </c>
      <c r="D95" t="s">
        <v>3139</v>
      </c>
      <c r="E95" t="s">
        <v>1261</v>
      </c>
      <c r="F95" s="24">
        <f>COUNTIFS(Pipe!$H:$H,Originadores!$D95,Pipe!$G:$G,Originadores!F$3)</f>
        <v>0</v>
      </c>
      <c r="G95" s="24">
        <f>COUNTIFS(Pipe!$H:$H,Originadores!$D95,Pipe!$G:$G,Originadores!G$3)</f>
        <v>0</v>
      </c>
      <c r="H95" s="24">
        <f>COUNTIFS(Pipe!$H:$H,Originadores!$D95,Pipe!$G:$G,Originadores!H$3)</f>
        <v>0</v>
      </c>
    </row>
    <row r="96" spans="3:8">
      <c r="C96" s="24">
        <f t="shared" si="0"/>
        <v>93</v>
      </c>
      <c r="D96" t="s">
        <v>2434</v>
      </c>
      <c r="E96" t="s">
        <v>1261</v>
      </c>
      <c r="F96" s="24">
        <f>COUNTIFS(Pipe!$H:$H,Originadores!$D96,Pipe!$G:$G,Originadores!F$3)</f>
        <v>0</v>
      </c>
      <c r="G96" s="24">
        <f>COUNTIFS(Pipe!$H:$H,Originadores!$D96,Pipe!$G:$G,Originadores!G$3)</f>
        <v>4</v>
      </c>
      <c r="H96" s="24">
        <f>COUNTIFS(Pipe!$H:$H,Originadores!$D96,Pipe!$G:$G,Originadores!H$3)</f>
        <v>0</v>
      </c>
    </row>
    <row r="97" spans="3:8">
      <c r="C97" s="24">
        <f t="shared" ref="C97:C160" si="1">+C96+1</f>
        <v>94</v>
      </c>
      <c r="D97" t="s">
        <v>306</v>
      </c>
      <c r="E97" t="s">
        <v>226</v>
      </c>
      <c r="F97" s="24">
        <f>COUNTIFS(Pipe!$H:$H,Originadores!$D97,Pipe!$G:$G,Originadores!F$3)</f>
        <v>5</v>
      </c>
      <c r="G97" s="24">
        <f>COUNTIFS(Pipe!$H:$H,Originadores!$D97,Pipe!$G:$G,Originadores!G$3)</f>
        <v>2</v>
      </c>
      <c r="H97" s="24">
        <f>COUNTIFS(Pipe!$H:$H,Originadores!$D97,Pipe!$G:$G,Originadores!H$3)</f>
        <v>0</v>
      </c>
    </row>
    <row r="98" spans="3:8">
      <c r="C98" s="24">
        <f t="shared" si="1"/>
        <v>95</v>
      </c>
      <c r="D98" t="s">
        <v>1164</v>
      </c>
      <c r="E98" t="s">
        <v>403</v>
      </c>
      <c r="F98" s="24">
        <f>COUNTIFS(Pipe!$H:$H,Originadores!$D98,Pipe!$G:$G,Originadores!F$3)</f>
        <v>0</v>
      </c>
      <c r="G98" s="24">
        <f>COUNTIFS(Pipe!$H:$H,Originadores!$D98,Pipe!$G:$G,Originadores!G$3)</f>
        <v>1</v>
      </c>
      <c r="H98" s="24">
        <f>COUNTIFS(Pipe!$H:$H,Originadores!$D98,Pipe!$G:$G,Originadores!H$3)</f>
        <v>0</v>
      </c>
    </row>
    <row r="99" spans="3:8">
      <c r="C99" s="24">
        <f t="shared" si="1"/>
        <v>96</v>
      </c>
      <c r="D99" t="s">
        <v>2037</v>
      </c>
      <c r="E99" t="s">
        <v>130</v>
      </c>
      <c r="F99" s="24">
        <f>COUNTIFS(Pipe!$H:$H,Originadores!$D99,Pipe!$G:$G,Originadores!F$3)</f>
        <v>0</v>
      </c>
      <c r="G99" s="24">
        <f>COUNTIFS(Pipe!$H:$H,Originadores!$D99,Pipe!$G:$G,Originadores!G$3)</f>
        <v>1</v>
      </c>
      <c r="H99" s="24">
        <f>COUNTIFS(Pipe!$H:$H,Originadores!$D99,Pipe!$G:$G,Originadores!H$3)</f>
        <v>0</v>
      </c>
    </row>
    <row r="100" spans="3:8">
      <c r="C100" s="24">
        <f t="shared" si="1"/>
        <v>97</v>
      </c>
      <c r="D100" t="s">
        <v>646</v>
      </c>
      <c r="E100" t="s">
        <v>1261</v>
      </c>
      <c r="F100" s="24">
        <f>COUNTIFS(Pipe!$H:$H,Originadores!$D100,Pipe!$G:$G,Originadores!F$3)</f>
        <v>2</v>
      </c>
      <c r="G100" s="24">
        <f>COUNTIFS(Pipe!$H:$H,Originadores!$D100,Pipe!$G:$G,Originadores!G$3)</f>
        <v>1</v>
      </c>
      <c r="H100" s="24">
        <f>COUNTIFS(Pipe!$H:$H,Originadores!$D100,Pipe!$G:$G,Originadores!H$3)</f>
        <v>0</v>
      </c>
    </row>
    <row r="101" spans="3:8">
      <c r="C101" s="24">
        <f t="shared" si="1"/>
        <v>98</v>
      </c>
      <c r="D101" t="s">
        <v>3083</v>
      </c>
      <c r="E101" t="s">
        <v>403</v>
      </c>
      <c r="F101" s="24">
        <f>COUNTIFS(Pipe!$H:$H,Originadores!$D101,Pipe!$G:$G,Originadores!F$3)</f>
        <v>0</v>
      </c>
      <c r="G101" s="24">
        <f>COUNTIFS(Pipe!$H:$H,Originadores!$D101,Pipe!$G:$G,Originadores!G$3)</f>
        <v>0</v>
      </c>
      <c r="H101" s="24">
        <f>COUNTIFS(Pipe!$H:$H,Originadores!$D101,Pipe!$G:$G,Originadores!H$3)</f>
        <v>1</v>
      </c>
    </row>
    <row r="102" spans="3:8">
      <c r="C102" s="24">
        <f t="shared" si="1"/>
        <v>99</v>
      </c>
      <c r="D102" t="s">
        <v>1213</v>
      </c>
      <c r="E102" t="s">
        <v>130</v>
      </c>
      <c r="F102" s="24">
        <f>COUNTIFS(Pipe!$H:$H,Originadores!$D102,Pipe!$G:$G,Originadores!F$3)</f>
        <v>0</v>
      </c>
      <c r="G102" s="24">
        <f>COUNTIFS(Pipe!$H:$H,Originadores!$D102,Pipe!$G:$G,Originadores!G$3)</f>
        <v>2</v>
      </c>
      <c r="H102" s="24">
        <f>COUNTIFS(Pipe!$H:$H,Originadores!$D102,Pipe!$G:$G,Originadores!H$3)</f>
        <v>0</v>
      </c>
    </row>
    <row r="103" spans="3:8">
      <c r="C103" s="24">
        <f t="shared" si="1"/>
        <v>100</v>
      </c>
      <c r="D103" t="s">
        <v>3180</v>
      </c>
      <c r="E103" t="s">
        <v>130</v>
      </c>
      <c r="F103" s="24">
        <f>COUNTIFS(Pipe!$H:$H,Originadores!$D103,Pipe!$G:$G,Originadores!F$3)</f>
        <v>0</v>
      </c>
      <c r="G103" s="24">
        <f>COUNTIFS(Pipe!$H:$H,Originadores!$D103,Pipe!$G:$G,Originadores!G$3)</f>
        <v>0</v>
      </c>
      <c r="H103" s="24">
        <f>COUNTIFS(Pipe!$H:$H,Originadores!$D103,Pipe!$G:$G,Originadores!H$3)</f>
        <v>3</v>
      </c>
    </row>
    <row r="104" spans="3:8">
      <c r="C104" s="24">
        <f t="shared" si="1"/>
        <v>101</v>
      </c>
      <c r="D104" t="s">
        <v>2605</v>
      </c>
      <c r="E104" t="s">
        <v>130</v>
      </c>
      <c r="F104" s="24">
        <f>COUNTIFS(Pipe!$H:$H,Originadores!$D104,Pipe!$G:$G,Originadores!F$3)</f>
        <v>2</v>
      </c>
      <c r="G104" s="24">
        <f>COUNTIFS(Pipe!$H:$H,Originadores!$D104,Pipe!$G:$G,Originadores!G$3)</f>
        <v>2</v>
      </c>
      <c r="H104" s="24">
        <f>COUNTIFS(Pipe!$H:$H,Originadores!$D104,Pipe!$G:$G,Originadores!H$3)</f>
        <v>1</v>
      </c>
    </row>
    <row r="105" spans="3:8">
      <c r="C105" s="24">
        <f t="shared" si="1"/>
        <v>102</v>
      </c>
      <c r="D105" t="s">
        <v>1553</v>
      </c>
      <c r="E105" t="s">
        <v>130</v>
      </c>
      <c r="F105" s="24">
        <f>COUNTIFS(Pipe!$H:$H,Originadores!$D105,Pipe!$G:$G,Originadores!F$3)</f>
        <v>0</v>
      </c>
      <c r="G105" s="24">
        <f>COUNTIFS(Pipe!$H:$H,Originadores!$D105,Pipe!$G:$G,Originadores!G$3)</f>
        <v>2</v>
      </c>
      <c r="H105" s="24">
        <f>COUNTIFS(Pipe!$H:$H,Originadores!$D105,Pipe!$G:$G,Originadores!H$3)</f>
        <v>0</v>
      </c>
    </row>
    <row r="106" spans="3:8">
      <c r="C106" s="24">
        <f t="shared" si="1"/>
        <v>103</v>
      </c>
      <c r="D106" t="s">
        <v>2604</v>
      </c>
      <c r="E106" t="s">
        <v>872</v>
      </c>
      <c r="F106" s="24">
        <f>COUNTIFS(Pipe!$H:$H,Originadores!$D106,Pipe!$G:$G,Originadores!F$3)</f>
        <v>1</v>
      </c>
      <c r="G106" s="24">
        <f>COUNTIFS(Pipe!$H:$H,Originadores!$D106,Pipe!$G:$G,Originadores!G$3)</f>
        <v>0</v>
      </c>
      <c r="H106" s="24">
        <f>COUNTIFS(Pipe!$H:$H,Originadores!$D106,Pipe!$G:$G,Originadores!H$3)</f>
        <v>0</v>
      </c>
    </row>
    <row r="107" spans="3:8">
      <c r="C107" s="24">
        <f t="shared" si="1"/>
        <v>104</v>
      </c>
      <c r="D107" t="s">
        <v>1348</v>
      </c>
      <c r="E107" t="s">
        <v>226</v>
      </c>
      <c r="F107" s="24">
        <f>COUNTIFS(Pipe!$H:$H,Originadores!$D107,Pipe!$G:$G,Originadores!F$3)</f>
        <v>0</v>
      </c>
      <c r="G107" s="24">
        <f>COUNTIFS(Pipe!$H:$H,Originadores!$D107,Pipe!$G:$G,Originadores!G$3)</f>
        <v>1</v>
      </c>
      <c r="H107" s="24">
        <f>COUNTIFS(Pipe!$H:$H,Originadores!$D107,Pipe!$G:$G,Originadores!H$3)</f>
        <v>0</v>
      </c>
    </row>
    <row r="108" spans="3:8">
      <c r="C108" s="24">
        <f t="shared" si="1"/>
        <v>105</v>
      </c>
      <c r="D108" t="s">
        <v>88</v>
      </c>
      <c r="E108" t="s">
        <v>226</v>
      </c>
      <c r="F108" s="24">
        <f>COUNTIFS(Pipe!$H:$H,Originadores!$D108,Pipe!$G:$G,Originadores!F$3)</f>
        <v>4</v>
      </c>
      <c r="G108" s="24">
        <f>COUNTIFS(Pipe!$H:$H,Originadores!$D108,Pipe!$G:$G,Originadores!G$3)</f>
        <v>0</v>
      </c>
      <c r="H108" s="24">
        <f>COUNTIFS(Pipe!$H:$H,Originadores!$D108,Pipe!$G:$G,Originadores!H$3)</f>
        <v>0</v>
      </c>
    </row>
    <row r="109" spans="3:8">
      <c r="C109" s="24">
        <f t="shared" si="1"/>
        <v>106</v>
      </c>
      <c r="D109" t="s">
        <v>185</v>
      </c>
      <c r="E109" t="s">
        <v>226</v>
      </c>
      <c r="F109" s="24">
        <f>COUNTIFS(Pipe!$H:$H,Originadores!$D109,Pipe!$G:$G,Originadores!F$3)</f>
        <v>1</v>
      </c>
      <c r="G109" s="24">
        <f>COUNTIFS(Pipe!$H:$H,Originadores!$D109,Pipe!$G:$G,Originadores!G$3)</f>
        <v>0</v>
      </c>
      <c r="H109" s="24">
        <f>COUNTIFS(Pipe!$H:$H,Originadores!$D109,Pipe!$G:$G,Originadores!H$3)</f>
        <v>0</v>
      </c>
    </row>
    <row r="110" spans="3:8">
      <c r="C110" s="24">
        <f t="shared" si="1"/>
        <v>107</v>
      </c>
      <c r="D110" t="s">
        <v>3064</v>
      </c>
      <c r="E110" t="s">
        <v>226</v>
      </c>
      <c r="F110" s="24">
        <f>COUNTIFS(Pipe!$H:$H,Originadores!$D110,Pipe!$G:$G,Originadores!F$3)</f>
        <v>0</v>
      </c>
      <c r="G110" s="24">
        <f>COUNTIFS(Pipe!$H:$H,Originadores!$D110,Pipe!$G:$G,Originadores!G$3)</f>
        <v>0</v>
      </c>
      <c r="H110" s="24">
        <f>COUNTIFS(Pipe!$H:$H,Originadores!$D110,Pipe!$G:$G,Originadores!H$3)</f>
        <v>1</v>
      </c>
    </row>
    <row r="111" spans="3:8">
      <c r="C111" s="24">
        <f t="shared" si="1"/>
        <v>108</v>
      </c>
      <c r="D111" t="s">
        <v>2609</v>
      </c>
      <c r="E111" t="s">
        <v>802</v>
      </c>
      <c r="F111" s="24">
        <f>COUNTIFS(Pipe!$H:$H,Originadores!$D111,Pipe!$G:$G,Originadores!F$3)</f>
        <v>0</v>
      </c>
      <c r="G111" s="24">
        <f>COUNTIFS(Pipe!$H:$H,Originadores!$D111,Pipe!$G:$G,Originadores!G$3)</f>
        <v>1</v>
      </c>
      <c r="H111" s="24">
        <f>COUNTIFS(Pipe!$H:$H,Originadores!$D111,Pipe!$G:$G,Originadores!H$3)</f>
        <v>0</v>
      </c>
    </row>
    <row r="112" spans="3:8">
      <c r="C112" s="24">
        <f t="shared" si="1"/>
        <v>109</v>
      </c>
      <c r="D112" t="s">
        <v>2677</v>
      </c>
      <c r="E112" t="s">
        <v>1206</v>
      </c>
      <c r="F112" s="24">
        <f>COUNTIFS(Pipe!$H:$H,Originadores!$D112,Pipe!$G:$G,Originadores!F$3)</f>
        <v>0</v>
      </c>
      <c r="G112" s="24">
        <f>COUNTIFS(Pipe!$H:$H,Originadores!$D112,Pipe!$G:$G,Originadores!G$3)</f>
        <v>0</v>
      </c>
      <c r="H112" s="24">
        <f>COUNTIFS(Pipe!$H:$H,Originadores!$D112,Pipe!$G:$G,Originadores!H$3)</f>
        <v>2</v>
      </c>
    </row>
    <row r="113" spans="3:8">
      <c r="C113" s="24">
        <f t="shared" si="1"/>
        <v>110</v>
      </c>
      <c r="D113" t="s">
        <v>1432</v>
      </c>
      <c r="E113" t="s">
        <v>130</v>
      </c>
      <c r="F113" s="24">
        <f>COUNTIFS(Pipe!$H:$H,Originadores!$D113,Pipe!$G:$G,Originadores!F$3)</f>
        <v>0</v>
      </c>
      <c r="G113" s="24">
        <f>COUNTIFS(Pipe!$H:$H,Originadores!$D113,Pipe!$G:$G,Originadores!G$3)</f>
        <v>1</v>
      </c>
      <c r="H113" s="24">
        <f>COUNTIFS(Pipe!$H:$H,Originadores!$D113,Pipe!$G:$G,Originadores!H$3)</f>
        <v>0</v>
      </c>
    </row>
    <row r="114" spans="3:8">
      <c r="C114" s="24">
        <f t="shared" si="1"/>
        <v>111</v>
      </c>
      <c r="D114" t="s">
        <v>1602</v>
      </c>
      <c r="E114" t="s">
        <v>226</v>
      </c>
      <c r="F114" s="24">
        <f>COUNTIFS(Pipe!$H:$H,Originadores!$D114,Pipe!$G:$G,Originadores!F$3)</f>
        <v>0</v>
      </c>
      <c r="G114" s="24">
        <f>COUNTIFS(Pipe!$H:$H,Originadores!$D114,Pipe!$G:$G,Originadores!G$3)</f>
        <v>1</v>
      </c>
      <c r="H114" s="24">
        <f>COUNTIFS(Pipe!$H:$H,Originadores!$D114,Pipe!$G:$G,Originadores!H$3)</f>
        <v>0</v>
      </c>
    </row>
    <row r="115" spans="3:8">
      <c r="C115" s="24">
        <f t="shared" si="1"/>
        <v>112</v>
      </c>
      <c r="D115" t="s">
        <v>2974</v>
      </c>
      <c r="E115" t="s">
        <v>130</v>
      </c>
      <c r="F115" s="24">
        <f>COUNTIFS(Pipe!$H:$H,Originadores!$D115,Pipe!$G:$G,Originadores!F$3)</f>
        <v>0</v>
      </c>
      <c r="G115" s="24">
        <f>COUNTIFS(Pipe!$H:$H,Originadores!$D115,Pipe!$G:$G,Originadores!G$3)</f>
        <v>0</v>
      </c>
      <c r="H115" s="24">
        <f>COUNTIFS(Pipe!$H:$H,Originadores!$D115,Pipe!$G:$G,Originadores!H$3)</f>
        <v>1</v>
      </c>
    </row>
    <row r="116" spans="3:8">
      <c r="C116" s="24">
        <f t="shared" si="1"/>
        <v>113</v>
      </c>
      <c r="D116" t="s">
        <v>2668</v>
      </c>
      <c r="E116" t="s">
        <v>1261</v>
      </c>
      <c r="F116" s="24">
        <f>COUNTIFS(Pipe!$H:$H,Originadores!$D116,Pipe!$G:$G,Originadores!F$3)</f>
        <v>0</v>
      </c>
      <c r="G116" s="24">
        <f>COUNTIFS(Pipe!$H:$H,Originadores!$D116,Pipe!$G:$G,Originadores!G$3)</f>
        <v>0</v>
      </c>
      <c r="H116" s="24">
        <f>COUNTIFS(Pipe!$H:$H,Originadores!$D116,Pipe!$G:$G,Originadores!H$3)</f>
        <v>3</v>
      </c>
    </row>
    <row r="117" spans="3:8">
      <c r="C117" s="24">
        <f t="shared" si="1"/>
        <v>114</v>
      </c>
      <c r="D117" t="s">
        <v>2117</v>
      </c>
      <c r="E117" t="s">
        <v>1261</v>
      </c>
      <c r="F117" s="24">
        <f>COUNTIFS(Pipe!$H:$H,Originadores!$D117,Pipe!$G:$G,Originadores!F$3)</f>
        <v>0</v>
      </c>
      <c r="G117" s="24">
        <f>COUNTIFS(Pipe!$H:$H,Originadores!$D117,Pipe!$G:$G,Originadores!G$3)</f>
        <v>7</v>
      </c>
      <c r="H117" s="24">
        <f>COUNTIFS(Pipe!$H:$H,Originadores!$D117,Pipe!$G:$G,Originadores!H$3)</f>
        <v>3</v>
      </c>
    </row>
    <row r="118" spans="3:8">
      <c r="C118" s="24">
        <f t="shared" si="1"/>
        <v>115</v>
      </c>
      <c r="D118" t="s">
        <v>119</v>
      </c>
      <c r="E118" t="s">
        <v>1261</v>
      </c>
      <c r="F118" s="24">
        <f>COUNTIFS(Pipe!$H:$H,Originadores!$D118,Pipe!$G:$G,Originadores!F$3)</f>
        <v>1</v>
      </c>
      <c r="G118" s="24">
        <f>COUNTIFS(Pipe!$H:$H,Originadores!$D118,Pipe!$G:$G,Originadores!G$3)</f>
        <v>2</v>
      </c>
      <c r="H118" s="24">
        <f>COUNTIFS(Pipe!$H:$H,Originadores!$D118,Pipe!$G:$G,Originadores!H$3)</f>
        <v>1</v>
      </c>
    </row>
    <row r="119" spans="3:8">
      <c r="C119" s="24">
        <f t="shared" si="1"/>
        <v>116</v>
      </c>
      <c r="D119" t="s">
        <v>82</v>
      </c>
      <c r="E119" t="s">
        <v>802</v>
      </c>
      <c r="F119" s="24">
        <f>COUNTIFS(Pipe!$H:$H,Originadores!$D119,Pipe!$G:$G,Originadores!F$3)</f>
        <v>1</v>
      </c>
      <c r="G119" s="24">
        <f>COUNTIFS(Pipe!$H:$H,Originadores!$D119,Pipe!$G:$G,Originadores!G$3)</f>
        <v>1</v>
      </c>
      <c r="H119" s="24">
        <f>COUNTIFS(Pipe!$H:$H,Originadores!$D119,Pipe!$G:$G,Originadores!H$3)</f>
        <v>0</v>
      </c>
    </row>
    <row r="120" spans="3:8">
      <c r="C120" s="24">
        <f t="shared" si="1"/>
        <v>117</v>
      </c>
      <c r="D120" t="s">
        <v>1406</v>
      </c>
      <c r="E120" t="s">
        <v>802</v>
      </c>
      <c r="F120" s="24">
        <f>COUNTIFS(Pipe!$H:$H,Originadores!$D120,Pipe!$G:$G,Originadores!F$3)</f>
        <v>0</v>
      </c>
      <c r="G120" s="24">
        <f>COUNTIFS(Pipe!$H:$H,Originadores!$D120,Pipe!$G:$G,Originadores!G$3)</f>
        <v>1</v>
      </c>
      <c r="H120" s="24">
        <f>COUNTIFS(Pipe!$H:$H,Originadores!$D120,Pipe!$G:$G,Originadores!H$3)</f>
        <v>0</v>
      </c>
    </row>
    <row r="121" spans="3:8">
      <c r="C121" s="24">
        <f t="shared" si="1"/>
        <v>118</v>
      </c>
      <c r="D121" t="s">
        <v>779</v>
      </c>
      <c r="E121" t="s">
        <v>226</v>
      </c>
      <c r="F121" s="24">
        <f>COUNTIFS(Pipe!$H:$H,Originadores!$D121,Pipe!$G:$G,Originadores!F$3)</f>
        <v>3</v>
      </c>
      <c r="G121" s="24">
        <f>COUNTIFS(Pipe!$H:$H,Originadores!$D121,Pipe!$G:$G,Originadores!G$3)</f>
        <v>0</v>
      </c>
      <c r="H121" s="24">
        <f>COUNTIFS(Pipe!$H:$H,Originadores!$D121,Pipe!$G:$G,Originadores!H$3)</f>
        <v>0</v>
      </c>
    </row>
    <row r="122" spans="3:8">
      <c r="C122" s="24">
        <f t="shared" si="1"/>
        <v>119</v>
      </c>
      <c r="D122" t="s">
        <v>3049</v>
      </c>
      <c r="E122" t="s">
        <v>226</v>
      </c>
      <c r="F122" s="24">
        <f>COUNTIFS(Pipe!$H:$H,Originadores!$D122,Pipe!$G:$G,Originadores!F$3)</f>
        <v>0</v>
      </c>
      <c r="G122" s="24">
        <f>COUNTIFS(Pipe!$H:$H,Originadores!$D122,Pipe!$G:$G,Originadores!G$3)</f>
        <v>0</v>
      </c>
      <c r="H122" s="24">
        <f>COUNTIFS(Pipe!$H:$H,Originadores!$D122,Pipe!$G:$G,Originadores!H$3)</f>
        <v>4</v>
      </c>
    </row>
    <row r="123" spans="3:8">
      <c r="C123" s="24">
        <f t="shared" si="1"/>
        <v>120</v>
      </c>
      <c r="D123" t="s">
        <v>1291</v>
      </c>
      <c r="E123" t="s">
        <v>226</v>
      </c>
      <c r="F123" s="24">
        <f>COUNTIFS(Pipe!$H:$H,Originadores!$D123,Pipe!$G:$G,Originadores!F$3)</f>
        <v>0</v>
      </c>
      <c r="G123" s="24">
        <f>COUNTIFS(Pipe!$H:$H,Originadores!$D123,Pipe!$G:$G,Originadores!G$3)</f>
        <v>2</v>
      </c>
      <c r="H123" s="24">
        <f>COUNTIFS(Pipe!$H:$H,Originadores!$D123,Pipe!$G:$G,Originadores!H$3)</f>
        <v>0</v>
      </c>
    </row>
    <row r="124" spans="3:8">
      <c r="C124" s="24">
        <f t="shared" si="1"/>
        <v>121</v>
      </c>
      <c r="D124" t="s">
        <v>1344</v>
      </c>
      <c r="E124" t="s">
        <v>1252</v>
      </c>
      <c r="F124" s="24">
        <f>COUNTIFS(Pipe!$H:$H,Originadores!$D124,Pipe!$G:$G,Originadores!F$3)</f>
        <v>0</v>
      </c>
      <c r="G124" s="24">
        <f>COUNTIFS(Pipe!$H:$H,Originadores!$D124,Pipe!$G:$G,Originadores!G$3)</f>
        <v>1</v>
      </c>
      <c r="H124" s="24">
        <f>COUNTIFS(Pipe!$H:$H,Originadores!$D124,Pipe!$G:$G,Originadores!H$3)</f>
        <v>1</v>
      </c>
    </row>
    <row r="125" spans="3:8">
      <c r="C125" s="24">
        <f t="shared" si="1"/>
        <v>122</v>
      </c>
      <c r="D125" t="s">
        <v>3105</v>
      </c>
      <c r="E125" t="s">
        <v>403</v>
      </c>
      <c r="F125" s="24">
        <f>COUNTIFS(Pipe!$H:$H,Originadores!$D125,Pipe!$G:$G,Originadores!F$3)</f>
        <v>0</v>
      </c>
      <c r="G125" s="24">
        <f>COUNTIFS(Pipe!$H:$H,Originadores!$D125,Pipe!$G:$G,Originadores!G$3)</f>
        <v>0</v>
      </c>
      <c r="H125" s="24">
        <f>COUNTIFS(Pipe!$H:$H,Originadores!$D125,Pipe!$G:$G,Originadores!H$3)</f>
        <v>2</v>
      </c>
    </row>
    <row r="126" spans="3:8">
      <c r="C126" s="24">
        <f t="shared" si="1"/>
        <v>123</v>
      </c>
      <c r="D126" t="s">
        <v>1115</v>
      </c>
      <c r="E126" t="s">
        <v>403</v>
      </c>
      <c r="F126" s="24">
        <f>COUNTIFS(Pipe!$H:$H,Originadores!$D126,Pipe!$G:$G,Originadores!F$3)</f>
        <v>0</v>
      </c>
      <c r="G126" s="24">
        <f>COUNTIFS(Pipe!$H:$H,Originadores!$D126,Pipe!$G:$G,Originadores!G$3)</f>
        <v>2</v>
      </c>
      <c r="H126" s="24">
        <f>COUNTIFS(Pipe!$H:$H,Originadores!$D126,Pipe!$G:$G,Originadores!H$3)</f>
        <v>1</v>
      </c>
    </row>
    <row r="127" spans="3:8">
      <c r="C127" s="24">
        <f t="shared" si="1"/>
        <v>124</v>
      </c>
      <c r="D127" t="s">
        <v>3011</v>
      </c>
      <c r="E127" t="s">
        <v>403</v>
      </c>
      <c r="F127" s="24">
        <f>COUNTIFS(Pipe!$H:$H,Originadores!$D127,Pipe!$G:$G,Originadores!F$3)</f>
        <v>0</v>
      </c>
      <c r="G127" s="24">
        <f>COUNTIFS(Pipe!$H:$H,Originadores!$D127,Pipe!$G:$G,Originadores!G$3)</f>
        <v>0</v>
      </c>
      <c r="H127" s="24">
        <f>COUNTIFS(Pipe!$H:$H,Originadores!$D127,Pipe!$G:$G,Originadores!H$3)</f>
        <v>2</v>
      </c>
    </row>
    <row r="128" spans="3:8">
      <c r="C128" s="24">
        <f t="shared" si="1"/>
        <v>125</v>
      </c>
      <c r="D128" t="s">
        <v>1989</v>
      </c>
      <c r="E128" t="s">
        <v>1261</v>
      </c>
      <c r="F128" s="24">
        <f>COUNTIFS(Pipe!$H:$H,Originadores!$D128,Pipe!$G:$G,Originadores!F$3)</f>
        <v>0</v>
      </c>
      <c r="G128" s="24">
        <f>COUNTIFS(Pipe!$H:$H,Originadores!$D128,Pipe!$G:$G,Originadores!G$3)</f>
        <v>3</v>
      </c>
      <c r="H128" s="24">
        <f>COUNTIFS(Pipe!$H:$H,Originadores!$D128,Pipe!$G:$G,Originadores!H$3)</f>
        <v>1</v>
      </c>
    </row>
    <row r="129" spans="3:8">
      <c r="C129" s="24">
        <f t="shared" si="1"/>
        <v>126</v>
      </c>
      <c r="D129" t="s">
        <v>1565</v>
      </c>
      <c r="E129" t="s">
        <v>226</v>
      </c>
      <c r="F129" s="24">
        <f>COUNTIFS(Pipe!$H:$H,Originadores!$D129,Pipe!$G:$G,Originadores!F$3)</f>
        <v>0</v>
      </c>
      <c r="G129" s="24">
        <f>COUNTIFS(Pipe!$H:$H,Originadores!$D129,Pipe!$G:$G,Originadores!G$3)</f>
        <v>1</v>
      </c>
      <c r="H129" s="24">
        <f>COUNTIFS(Pipe!$H:$H,Originadores!$D129,Pipe!$G:$G,Originadores!H$3)</f>
        <v>1</v>
      </c>
    </row>
    <row r="130" spans="3:8">
      <c r="C130" s="24">
        <f t="shared" si="1"/>
        <v>127</v>
      </c>
      <c r="D130" t="s">
        <v>1472</v>
      </c>
      <c r="E130" t="s">
        <v>226</v>
      </c>
      <c r="F130" s="24">
        <f>COUNTIFS(Pipe!$H:$H,Originadores!$D130,Pipe!$G:$G,Originadores!F$3)</f>
        <v>0</v>
      </c>
      <c r="G130" s="24">
        <f>COUNTIFS(Pipe!$H:$H,Originadores!$D130,Pipe!$G:$G,Originadores!G$3)</f>
        <v>2</v>
      </c>
      <c r="H130" s="24">
        <f>COUNTIFS(Pipe!$H:$H,Originadores!$D130,Pipe!$G:$G,Originadores!H$3)</f>
        <v>0</v>
      </c>
    </row>
    <row r="131" spans="3:8">
      <c r="C131" s="24">
        <f t="shared" si="1"/>
        <v>128</v>
      </c>
      <c r="D131" t="s">
        <v>1002</v>
      </c>
      <c r="E131" t="s">
        <v>1261</v>
      </c>
      <c r="F131" s="24">
        <f>COUNTIFS(Pipe!$H:$H,Originadores!$D131,Pipe!$G:$G,Originadores!F$3)</f>
        <v>2</v>
      </c>
      <c r="G131" s="24">
        <f>COUNTIFS(Pipe!$H:$H,Originadores!$D131,Pipe!$G:$G,Originadores!G$3)</f>
        <v>1</v>
      </c>
      <c r="H131" s="24">
        <f>COUNTIFS(Pipe!$H:$H,Originadores!$D131,Pipe!$G:$G,Originadores!H$3)</f>
        <v>0</v>
      </c>
    </row>
    <row r="132" spans="3:8">
      <c r="C132" s="24">
        <f t="shared" si="1"/>
        <v>129</v>
      </c>
      <c r="D132" t="s">
        <v>206</v>
      </c>
      <c r="E132" t="s">
        <v>1193</v>
      </c>
      <c r="F132" s="24">
        <f>COUNTIFS(Pipe!$H:$H,Originadores!$D132,Pipe!$G:$G,Originadores!F$3)</f>
        <v>5</v>
      </c>
      <c r="G132" s="24">
        <f>COUNTIFS(Pipe!$H:$H,Originadores!$D132,Pipe!$G:$G,Originadores!G$3)</f>
        <v>7</v>
      </c>
      <c r="H132" s="24">
        <f>COUNTIFS(Pipe!$H:$H,Originadores!$D132,Pipe!$G:$G,Originadores!H$3)</f>
        <v>8</v>
      </c>
    </row>
    <row r="133" spans="3:8">
      <c r="C133" s="24">
        <f t="shared" si="1"/>
        <v>130</v>
      </c>
      <c r="D133" t="s">
        <v>697</v>
      </c>
      <c r="E133" t="s">
        <v>802</v>
      </c>
      <c r="F133" s="24">
        <f>COUNTIFS(Pipe!$H:$H,Originadores!$D133,Pipe!$G:$G,Originadores!F$3)</f>
        <v>1</v>
      </c>
      <c r="G133" s="24">
        <f>COUNTIFS(Pipe!$H:$H,Originadores!$D133,Pipe!$G:$G,Originadores!G$3)</f>
        <v>2</v>
      </c>
      <c r="H133" s="24">
        <f>COUNTIFS(Pipe!$H:$H,Originadores!$D133,Pipe!$G:$G,Originadores!H$3)</f>
        <v>1</v>
      </c>
    </row>
    <row r="134" spans="3:8">
      <c r="C134" s="24">
        <f t="shared" si="1"/>
        <v>131</v>
      </c>
      <c r="D134" t="s">
        <v>2822</v>
      </c>
      <c r="E134" t="s">
        <v>872</v>
      </c>
      <c r="F134" s="24">
        <f>COUNTIFS(Pipe!$H:$H,Originadores!$D134,Pipe!$G:$G,Originadores!F$3)</f>
        <v>0</v>
      </c>
      <c r="G134" s="24">
        <f>COUNTIFS(Pipe!$H:$H,Originadores!$D134,Pipe!$G:$G,Originadores!G$3)</f>
        <v>0</v>
      </c>
      <c r="H134" s="24">
        <f>COUNTIFS(Pipe!$H:$H,Originadores!$D134,Pipe!$G:$G,Originadores!H$3)</f>
        <v>1</v>
      </c>
    </row>
    <row r="135" spans="3:8">
      <c r="C135" s="24">
        <f t="shared" si="1"/>
        <v>132</v>
      </c>
      <c r="D135" t="s">
        <v>76</v>
      </c>
      <c r="E135" t="s">
        <v>1261</v>
      </c>
      <c r="F135" s="24">
        <f>COUNTIFS(Pipe!$H:$H,Originadores!$D135,Pipe!$G:$G,Originadores!F$3)</f>
        <v>44</v>
      </c>
      <c r="G135" s="24">
        <f>COUNTIFS(Pipe!$H:$H,Originadores!$D135,Pipe!$G:$G,Originadores!G$3)</f>
        <v>51</v>
      </c>
      <c r="H135" s="24">
        <f>COUNTIFS(Pipe!$H:$H,Originadores!$D135,Pipe!$G:$G,Originadores!H$3)</f>
        <v>36</v>
      </c>
    </row>
    <row r="136" spans="3:8">
      <c r="C136" s="24">
        <f t="shared" si="1"/>
        <v>133</v>
      </c>
      <c r="D136" t="s">
        <v>880</v>
      </c>
      <c r="E136" t="s">
        <v>226</v>
      </c>
      <c r="F136" s="24">
        <f>COUNTIFS(Pipe!$H:$H,Originadores!$D136,Pipe!$G:$G,Originadores!F$3)</f>
        <v>1</v>
      </c>
      <c r="G136" s="24">
        <f>COUNTIFS(Pipe!$H:$H,Originadores!$D136,Pipe!$G:$G,Originadores!G$3)</f>
        <v>0</v>
      </c>
      <c r="H136" s="24">
        <f>COUNTIFS(Pipe!$H:$H,Originadores!$D136,Pipe!$G:$G,Originadores!H$3)</f>
        <v>0</v>
      </c>
    </row>
    <row r="137" spans="3:8">
      <c r="C137" s="24">
        <f t="shared" si="1"/>
        <v>134</v>
      </c>
      <c r="D137" t="s">
        <v>1639</v>
      </c>
      <c r="E137" t="s">
        <v>226</v>
      </c>
      <c r="F137" s="24">
        <f>COUNTIFS(Pipe!$H:$H,Originadores!$D137,Pipe!$G:$G,Originadores!F$3)</f>
        <v>0</v>
      </c>
      <c r="G137" s="24">
        <f>COUNTIFS(Pipe!$H:$H,Originadores!$D137,Pipe!$G:$G,Originadores!G$3)</f>
        <v>4</v>
      </c>
      <c r="H137" s="24">
        <f>COUNTIFS(Pipe!$H:$H,Originadores!$D137,Pipe!$G:$G,Originadores!H$3)</f>
        <v>0</v>
      </c>
    </row>
    <row r="138" spans="3:8">
      <c r="C138" s="24">
        <f t="shared" si="1"/>
        <v>135</v>
      </c>
      <c r="D138" t="s">
        <v>2208</v>
      </c>
      <c r="E138" t="s">
        <v>1206</v>
      </c>
      <c r="F138" s="24">
        <f>COUNTIFS(Pipe!$H:$H,Originadores!$D138,Pipe!$G:$G,Originadores!F$3)</f>
        <v>0</v>
      </c>
      <c r="G138" s="24">
        <f>COUNTIFS(Pipe!$H:$H,Originadores!$D138,Pipe!$G:$G,Originadores!G$3)</f>
        <v>1</v>
      </c>
      <c r="H138" s="24">
        <f>COUNTIFS(Pipe!$H:$H,Originadores!$D138,Pipe!$G:$G,Originadores!H$3)</f>
        <v>0</v>
      </c>
    </row>
    <row r="139" spans="3:8">
      <c r="C139" s="24">
        <f t="shared" si="1"/>
        <v>136</v>
      </c>
      <c r="D139" t="s">
        <v>418</v>
      </c>
      <c r="E139" t="s">
        <v>226</v>
      </c>
      <c r="F139" s="24">
        <f>COUNTIFS(Pipe!$H:$H,Originadores!$D139,Pipe!$G:$G,Originadores!F$3)</f>
        <v>1</v>
      </c>
      <c r="G139" s="24">
        <f>COUNTIFS(Pipe!$H:$H,Originadores!$D139,Pipe!$G:$G,Originadores!G$3)</f>
        <v>0</v>
      </c>
      <c r="H139" s="24">
        <f>COUNTIFS(Pipe!$H:$H,Originadores!$D139,Pipe!$G:$G,Originadores!H$3)</f>
        <v>0</v>
      </c>
    </row>
    <row r="140" spans="3:8">
      <c r="C140" s="24">
        <f t="shared" si="1"/>
        <v>137</v>
      </c>
      <c r="D140" t="s">
        <v>622</v>
      </c>
      <c r="E140" t="s">
        <v>226</v>
      </c>
      <c r="F140" s="24">
        <f>COUNTIFS(Pipe!$H:$H,Originadores!$D140,Pipe!$G:$G,Originadores!F$3)</f>
        <v>2</v>
      </c>
      <c r="G140" s="24">
        <f>COUNTIFS(Pipe!$H:$H,Originadores!$D140,Pipe!$G:$G,Originadores!G$3)</f>
        <v>2</v>
      </c>
      <c r="H140" s="24">
        <f>COUNTIFS(Pipe!$H:$H,Originadores!$D140,Pipe!$G:$G,Originadores!H$3)</f>
        <v>0</v>
      </c>
    </row>
    <row r="141" spans="3:8">
      <c r="C141" s="24">
        <f t="shared" si="1"/>
        <v>138</v>
      </c>
      <c r="D141" t="s">
        <v>1180</v>
      </c>
      <c r="E141" t="s">
        <v>130</v>
      </c>
      <c r="F141" s="24">
        <f>COUNTIFS(Pipe!$H:$H,Originadores!$D141,Pipe!$G:$G,Originadores!F$3)</f>
        <v>0</v>
      </c>
      <c r="G141" s="24">
        <f>COUNTIFS(Pipe!$H:$H,Originadores!$D141,Pipe!$G:$G,Originadores!G$3)</f>
        <v>1</v>
      </c>
      <c r="H141" s="24">
        <f>COUNTIFS(Pipe!$H:$H,Originadores!$D141,Pipe!$G:$G,Originadores!H$3)</f>
        <v>0</v>
      </c>
    </row>
    <row r="142" spans="3:8">
      <c r="C142" s="24">
        <f t="shared" si="1"/>
        <v>139</v>
      </c>
      <c r="D142" t="s">
        <v>1480</v>
      </c>
      <c r="E142" t="s">
        <v>1261</v>
      </c>
      <c r="F142" s="24">
        <f>COUNTIFS(Pipe!$H:$H,Originadores!$D142,Pipe!$G:$G,Originadores!F$3)</f>
        <v>0</v>
      </c>
      <c r="G142" s="24">
        <f>COUNTIFS(Pipe!$H:$H,Originadores!$D142,Pipe!$G:$G,Originadores!G$3)</f>
        <v>1</v>
      </c>
      <c r="H142" s="24">
        <f>COUNTIFS(Pipe!$H:$H,Originadores!$D142,Pipe!$G:$G,Originadores!H$3)</f>
        <v>0</v>
      </c>
    </row>
    <row r="143" spans="3:8">
      <c r="C143" s="24">
        <f t="shared" si="1"/>
        <v>140</v>
      </c>
      <c r="D143" t="s">
        <v>2606</v>
      </c>
      <c r="E143" t="s">
        <v>226</v>
      </c>
      <c r="F143" s="24">
        <f>COUNTIFS(Pipe!$H:$H,Originadores!$D143,Pipe!$G:$G,Originadores!F$3)</f>
        <v>1</v>
      </c>
      <c r="G143" s="24">
        <f>COUNTIFS(Pipe!$H:$H,Originadores!$D143,Pipe!$G:$G,Originadores!G$3)</f>
        <v>0</v>
      </c>
      <c r="H143" s="24">
        <f>COUNTIFS(Pipe!$H:$H,Originadores!$D143,Pipe!$G:$G,Originadores!H$3)</f>
        <v>0</v>
      </c>
    </row>
    <row r="144" spans="3:8">
      <c r="C144" s="24">
        <f t="shared" si="1"/>
        <v>141</v>
      </c>
      <c r="D144" t="s">
        <v>359</v>
      </c>
      <c r="E144" t="s">
        <v>226</v>
      </c>
      <c r="F144" s="24">
        <f>COUNTIFS(Pipe!$H:$H,Originadores!$D144,Pipe!$G:$G,Originadores!F$3)</f>
        <v>1</v>
      </c>
      <c r="G144" s="24">
        <f>COUNTIFS(Pipe!$H:$H,Originadores!$D144,Pipe!$G:$G,Originadores!G$3)</f>
        <v>0</v>
      </c>
      <c r="H144" s="24">
        <f>COUNTIFS(Pipe!$H:$H,Originadores!$D144,Pipe!$G:$G,Originadores!H$3)</f>
        <v>0</v>
      </c>
    </row>
    <row r="145" spans="3:8">
      <c r="C145" s="24">
        <f t="shared" si="1"/>
        <v>142</v>
      </c>
      <c r="D145" t="s">
        <v>518</v>
      </c>
      <c r="E145" t="s">
        <v>226</v>
      </c>
      <c r="F145" s="24">
        <f>COUNTIFS(Pipe!$H:$H,Originadores!$D145,Pipe!$G:$G,Originadores!F$3)</f>
        <v>1</v>
      </c>
      <c r="G145" s="24">
        <f>COUNTIFS(Pipe!$H:$H,Originadores!$D145,Pipe!$G:$G,Originadores!G$3)</f>
        <v>0</v>
      </c>
      <c r="H145" s="24">
        <f>COUNTIFS(Pipe!$H:$H,Originadores!$D145,Pipe!$G:$G,Originadores!H$3)</f>
        <v>0</v>
      </c>
    </row>
    <row r="146" spans="3:8">
      <c r="C146" s="24">
        <f t="shared" si="1"/>
        <v>143</v>
      </c>
      <c r="D146" t="s">
        <v>1649</v>
      </c>
      <c r="E146" t="s">
        <v>130</v>
      </c>
      <c r="F146" s="24">
        <f>COUNTIFS(Pipe!$H:$H,Originadores!$D146,Pipe!$G:$G,Originadores!F$3)</f>
        <v>0</v>
      </c>
      <c r="G146" s="24">
        <f>COUNTIFS(Pipe!$H:$H,Originadores!$D146,Pipe!$G:$G,Originadores!G$3)</f>
        <v>1</v>
      </c>
      <c r="H146" s="24">
        <f>COUNTIFS(Pipe!$H:$H,Originadores!$D146,Pipe!$G:$G,Originadores!H$3)</f>
        <v>0</v>
      </c>
    </row>
    <row r="147" spans="3:8">
      <c r="C147" s="24">
        <f t="shared" si="1"/>
        <v>144</v>
      </c>
      <c r="D147" t="s">
        <v>598</v>
      </c>
      <c r="E147" t="s">
        <v>226</v>
      </c>
      <c r="F147" s="24">
        <f>COUNTIFS(Pipe!$H:$H,Originadores!$D147,Pipe!$G:$G,Originadores!F$3)</f>
        <v>1</v>
      </c>
      <c r="G147" s="24">
        <f>COUNTIFS(Pipe!$H:$H,Originadores!$D147,Pipe!$G:$G,Originadores!G$3)</f>
        <v>0</v>
      </c>
      <c r="H147" s="24">
        <f>COUNTIFS(Pipe!$H:$H,Originadores!$D147,Pipe!$G:$G,Originadores!H$3)</f>
        <v>0</v>
      </c>
    </row>
    <row r="148" spans="3:8">
      <c r="C148" s="24">
        <f t="shared" si="1"/>
        <v>145</v>
      </c>
      <c r="D148" t="s">
        <v>2614</v>
      </c>
      <c r="E148" t="s">
        <v>226</v>
      </c>
      <c r="F148" s="24">
        <f>COUNTIFS(Pipe!$H:$H,Originadores!$D148,Pipe!$G:$G,Originadores!F$3)</f>
        <v>1</v>
      </c>
      <c r="G148" s="24">
        <f>COUNTIFS(Pipe!$H:$H,Originadores!$D148,Pipe!$G:$G,Originadores!G$3)</f>
        <v>0</v>
      </c>
      <c r="H148" s="24">
        <f>COUNTIFS(Pipe!$H:$H,Originadores!$D148,Pipe!$G:$G,Originadores!H$3)</f>
        <v>0</v>
      </c>
    </row>
    <row r="149" spans="3:8">
      <c r="C149" s="24">
        <f t="shared" si="1"/>
        <v>146</v>
      </c>
      <c r="D149" t="s">
        <v>1009</v>
      </c>
      <c r="E149" t="s">
        <v>226</v>
      </c>
      <c r="F149" s="24">
        <f>COUNTIFS(Pipe!$H:$H,Originadores!$D149,Pipe!$G:$G,Originadores!F$3)</f>
        <v>1</v>
      </c>
      <c r="G149" s="24">
        <f>COUNTIFS(Pipe!$H:$H,Originadores!$D149,Pipe!$G:$G,Originadores!G$3)</f>
        <v>0</v>
      </c>
      <c r="H149" s="24">
        <f>COUNTIFS(Pipe!$H:$H,Originadores!$D149,Pipe!$G:$G,Originadores!H$3)</f>
        <v>0</v>
      </c>
    </row>
    <row r="150" spans="3:8">
      <c r="C150" s="24">
        <f t="shared" si="1"/>
        <v>147</v>
      </c>
      <c r="D150" t="s">
        <v>2373</v>
      </c>
      <c r="E150" t="s">
        <v>130</v>
      </c>
      <c r="F150" s="24">
        <f>COUNTIFS(Pipe!$H:$H,Originadores!$D150,Pipe!$G:$G,Originadores!F$3)</f>
        <v>0</v>
      </c>
      <c r="G150" s="24">
        <f>COUNTIFS(Pipe!$H:$H,Originadores!$D150,Pipe!$G:$G,Originadores!G$3)</f>
        <v>1</v>
      </c>
      <c r="H150" s="24">
        <f>COUNTIFS(Pipe!$H:$H,Originadores!$D150,Pipe!$G:$G,Originadores!H$3)</f>
        <v>0</v>
      </c>
    </row>
    <row r="151" spans="3:8">
      <c r="C151" s="24">
        <f t="shared" si="1"/>
        <v>148</v>
      </c>
      <c r="D151" t="s">
        <v>1498</v>
      </c>
      <c r="E151" t="s">
        <v>226</v>
      </c>
      <c r="F151" s="24">
        <f>COUNTIFS(Pipe!$H:$H,Originadores!$D151,Pipe!$G:$G,Originadores!F$3)</f>
        <v>0</v>
      </c>
      <c r="G151" s="24">
        <f>COUNTIFS(Pipe!$H:$H,Originadores!$D151,Pipe!$G:$G,Originadores!G$3)</f>
        <v>1</v>
      </c>
      <c r="H151" s="24">
        <f>COUNTIFS(Pipe!$H:$H,Originadores!$D151,Pipe!$G:$G,Originadores!H$3)</f>
        <v>0</v>
      </c>
    </row>
    <row r="152" spans="3:8">
      <c r="C152" s="24">
        <f t="shared" si="1"/>
        <v>149</v>
      </c>
      <c r="D152" t="s">
        <v>1548</v>
      </c>
      <c r="E152" t="s">
        <v>1261</v>
      </c>
      <c r="F152" s="24">
        <f>COUNTIFS(Pipe!$H:$H,Originadores!$D152,Pipe!$G:$G,Originadores!F$3)</f>
        <v>0</v>
      </c>
      <c r="G152" s="24">
        <f>COUNTIFS(Pipe!$H:$H,Originadores!$D152,Pipe!$G:$G,Originadores!G$3)</f>
        <v>1</v>
      </c>
      <c r="H152" s="24">
        <f>COUNTIFS(Pipe!$H:$H,Originadores!$D152,Pipe!$G:$G,Originadores!H$3)</f>
        <v>1</v>
      </c>
    </row>
    <row r="153" spans="3:8">
      <c r="C153" s="24">
        <f t="shared" si="1"/>
        <v>150</v>
      </c>
      <c r="D153" t="s">
        <v>1625</v>
      </c>
      <c r="E153" t="s">
        <v>226</v>
      </c>
      <c r="F153" s="24">
        <f>COUNTIFS(Pipe!$H:$H,Originadores!$D153,Pipe!$G:$G,Originadores!F$3)</f>
        <v>0</v>
      </c>
      <c r="G153" s="24">
        <f>COUNTIFS(Pipe!$H:$H,Originadores!$D153,Pipe!$G:$G,Originadores!G$3)</f>
        <v>3</v>
      </c>
      <c r="H153" s="24">
        <f>COUNTIFS(Pipe!$H:$H,Originadores!$D153,Pipe!$G:$G,Originadores!H$3)</f>
        <v>0</v>
      </c>
    </row>
    <row r="154" spans="3:8">
      <c r="C154" s="24">
        <f t="shared" si="1"/>
        <v>151</v>
      </c>
      <c r="D154" t="s">
        <v>487</v>
      </c>
      <c r="E154" t="s">
        <v>226</v>
      </c>
      <c r="F154" s="24">
        <f>COUNTIFS(Pipe!$H:$H,Originadores!$D154,Pipe!$G:$G,Originadores!F$3)</f>
        <v>1</v>
      </c>
      <c r="G154" s="24">
        <f>COUNTIFS(Pipe!$H:$H,Originadores!$D154,Pipe!$G:$G,Originadores!G$3)</f>
        <v>0</v>
      </c>
      <c r="H154" s="24">
        <f>COUNTIFS(Pipe!$H:$H,Originadores!$D154,Pipe!$G:$G,Originadores!H$3)</f>
        <v>0</v>
      </c>
    </row>
    <row r="155" spans="3:8">
      <c r="C155" s="24">
        <f t="shared" si="1"/>
        <v>152</v>
      </c>
      <c r="D155" t="s">
        <v>1313</v>
      </c>
      <c r="E155" t="s">
        <v>130</v>
      </c>
      <c r="F155" s="24">
        <f>COUNTIFS(Pipe!$H:$H,Originadores!$D155,Pipe!$G:$G,Originadores!F$3)</f>
        <v>0</v>
      </c>
      <c r="G155" s="24">
        <f>COUNTIFS(Pipe!$H:$H,Originadores!$D155,Pipe!$G:$G,Originadores!G$3)</f>
        <v>2</v>
      </c>
      <c r="H155" s="24">
        <f>COUNTIFS(Pipe!$H:$H,Originadores!$D155,Pipe!$G:$G,Originadores!H$3)</f>
        <v>1</v>
      </c>
    </row>
    <row r="156" spans="3:8">
      <c r="C156" s="24">
        <f t="shared" si="1"/>
        <v>153</v>
      </c>
      <c r="D156" t="s">
        <v>1220</v>
      </c>
      <c r="E156" t="s">
        <v>130</v>
      </c>
      <c r="F156" s="24">
        <f>COUNTIFS(Pipe!$H:$H,Originadores!$D156,Pipe!$G:$G,Originadores!F$3)</f>
        <v>0</v>
      </c>
      <c r="G156" s="24">
        <f>COUNTIFS(Pipe!$H:$H,Originadores!$D156,Pipe!$G:$G,Originadores!G$3)</f>
        <v>1</v>
      </c>
      <c r="H156" s="24">
        <f>COUNTIFS(Pipe!$H:$H,Originadores!$D156,Pipe!$G:$G,Originadores!H$3)</f>
        <v>0</v>
      </c>
    </row>
    <row r="157" spans="3:8">
      <c r="C157" s="24">
        <f t="shared" si="1"/>
        <v>154</v>
      </c>
      <c r="D157" t="s">
        <v>129</v>
      </c>
      <c r="E157" t="s">
        <v>130</v>
      </c>
      <c r="F157" s="24">
        <f>COUNTIFS(Pipe!$H:$H,Originadores!$D157,Pipe!$G:$G,Originadores!F$3)</f>
        <v>0</v>
      </c>
      <c r="G157" s="24">
        <f>COUNTIFS(Pipe!$H:$H,Originadores!$D157,Pipe!$G:$G,Originadores!G$3)</f>
        <v>0</v>
      </c>
      <c r="H157" s="24">
        <f>COUNTIFS(Pipe!$H:$H,Originadores!$D157,Pipe!$G:$G,Originadores!H$3)</f>
        <v>0</v>
      </c>
    </row>
    <row r="158" spans="3:8">
      <c r="C158" s="24">
        <f t="shared" si="1"/>
        <v>155</v>
      </c>
      <c r="D158" t="s">
        <v>2503</v>
      </c>
      <c r="E158" t="s">
        <v>130</v>
      </c>
      <c r="F158" s="24">
        <f>COUNTIFS(Pipe!$H:$H,Originadores!$D158,Pipe!$G:$G,Originadores!F$3)</f>
        <v>0</v>
      </c>
      <c r="G158" s="24">
        <f>COUNTIFS(Pipe!$H:$H,Originadores!$D158,Pipe!$G:$G,Originadores!G$3)</f>
        <v>1</v>
      </c>
      <c r="H158" s="24">
        <f>COUNTIFS(Pipe!$H:$H,Originadores!$D158,Pipe!$G:$G,Originadores!H$3)</f>
        <v>0</v>
      </c>
    </row>
    <row r="159" spans="3:8">
      <c r="C159" s="24">
        <f t="shared" si="1"/>
        <v>156</v>
      </c>
      <c r="D159" t="s">
        <v>2103</v>
      </c>
      <c r="E159" t="s">
        <v>1261</v>
      </c>
      <c r="F159" s="24">
        <f>COUNTIFS(Pipe!$H:$H,Originadores!$D159,Pipe!$G:$G,Originadores!F$3)</f>
        <v>0</v>
      </c>
      <c r="G159" s="24">
        <f>COUNTIFS(Pipe!$H:$H,Originadores!$D159,Pipe!$G:$G,Originadores!G$3)</f>
        <v>1</v>
      </c>
      <c r="H159" s="24">
        <f>COUNTIFS(Pipe!$H:$H,Originadores!$D159,Pipe!$G:$G,Originadores!H$3)</f>
        <v>0</v>
      </c>
    </row>
    <row r="160" spans="3:8">
      <c r="C160" s="24">
        <f t="shared" si="1"/>
        <v>157</v>
      </c>
      <c r="D160" t="s">
        <v>3117</v>
      </c>
      <c r="E160" t="s">
        <v>130</v>
      </c>
      <c r="F160" s="24">
        <f>COUNTIFS(Pipe!$H:$H,Originadores!$D160,Pipe!$G:$G,Originadores!F$3)</f>
        <v>0</v>
      </c>
      <c r="G160" s="24">
        <f>COUNTIFS(Pipe!$H:$H,Originadores!$D160,Pipe!$G:$G,Originadores!G$3)</f>
        <v>0</v>
      </c>
      <c r="H160" s="24">
        <f>COUNTIFS(Pipe!$H:$H,Originadores!$D160,Pipe!$G:$G,Originadores!H$3)</f>
        <v>1</v>
      </c>
    </row>
    <row r="161" spans="3:8">
      <c r="C161" s="24">
        <f t="shared" ref="C161:C225" si="2">+C160+1</f>
        <v>158</v>
      </c>
      <c r="D161" t="s">
        <v>759</v>
      </c>
      <c r="E161" t="s">
        <v>802</v>
      </c>
      <c r="F161" s="24">
        <f>COUNTIFS(Pipe!$H:$H,Originadores!$D161,Pipe!$G:$G,Originadores!F$3)</f>
        <v>1</v>
      </c>
      <c r="G161" s="24">
        <f>COUNTIFS(Pipe!$H:$H,Originadores!$D161,Pipe!$G:$G,Originadores!G$3)</f>
        <v>5</v>
      </c>
      <c r="H161" s="24">
        <f>COUNTIFS(Pipe!$H:$H,Originadores!$D161,Pipe!$G:$G,Originadores!H$3)</f>
        <v>0</v>
      </c>
    </row>
    <row r="162" spans="3:8">
      <c r="C162" s="24">
        <f t="shared" si="2"/>
        <v>159</v>
      </c>
      <c r="D162" t="s">
        <v>2212</v>
      </c>
      <c r="E162" t="s">
        <v>226</v>
      </c>
      <c r="F162" s="24">
        <f>COUNTIFS(Pipe!$H:$H,Originadores!$D162,Pipe!$G:$G,Originadores!F$3)</f>
        <v>0</v>
      </c>
      <c r="G162" s="24">
        <f>COUNTIFS(Pipe!$H:$H,Originadores!$D162,Pipe!$G:$G,Originadores!G$3)</f>
        <v>1</v>
      </c>
      <c r="H162" s="24">
        <f>COUNTIFS(Pipe!$H:$H,Originadores!$D162,Pipe!$G:$G,Originadores!H$3)</f>
        <v>0</v>
      </c>
    </row>
    <row r="163" spans="3:8">
      <c r="C163" s="24">
        <f t="shared" si="2"/>
        <v>160</v>
      </c>
      <c r="D163" t="s">
        <v>3132</v>
      </c>
      <c r="E163" t="s">
        <v>130</v>
      </c>
      <c r="F163" s="24">
        <f>COUNTIFS(Pipe!$H:$H,Originadores!$D163,Pipe!$G:$G,Originadores!F$3)</f>
        <v>0</v>
      </c>
      <c r="G163" s="24">
        <f>COUNTIFS(Pipe!$H:$H,Originadores!$D163,Pipe!$G:$G,Originadores!G$3)</f>
        <v>0</v>
      </c>
      <c r="H163" s="24">
        <f>COUNTIFS(Pipe!$H:$H,Originadores!$D163,Pipe!$G:$G,Originadores!H$3)</f>
        <v>1</v>
      </c>
    </row>
    <row r="164" spans="3:8">
      <c r="C164" s="24">
        <f t="shared" si="2"/>
        <v>161</v>
      </c>
      <c r="D164" t="s">
        <v>3214</v>
      </c>
      <c r="E164" t="s">
        <v>872</v>
      </c>
      <c r="F164" s="24">
        <f>COUNTIFS(Pipe!$H:$H,Originadores!$D164,Pipe!$G:$G,Originadores!F$3)</f>
        <v>0</v>
      </c>
      <c r="G164" s="24">
        <f>COUNTIFS(Pipe!$H:$H,Originadores!$D164,Pipe!$G:$G,Originadores!G$3)</f>
        <v>0</v>
      </c>
      <c r="H164" s="24">
        <f>COUNTIFS(Pipe!$H:$H,Originadores!$D164,Pipe!$G:$G,Originadores!H$3)</f>
        <v>1</v>
      </c>
    </row>
    <row r="165" spans="3:8">
      <c r="C165" s="24">
        <f t="shared" si="2"/>
        <v>162</v>
      </c>
      <c r="D165" t="s">
        <v>944</v>
      </c>
      <c r="E165" t="s">
        <v>226</v>
      </c>
      <c r="F165" s="24">
        <f>COUNTIFS(Pipe!$H:$H,Originadores!$D165,Pipe!$G:$G,Originadores!F$3)</f>
        <v>1</v>
      </c>
      <c r="G165" s="24">
        <f>COUNTIFS(Pipe!$H:$H,Originadores!$D165,Pipe!$G:$G,Originadores!G$3)</f>
        <v>0</v>
      </c>
      <c r="H165" s="24">
        <f>COUNTIFS(Pipe!$H:$H,Originadores!$D165,Pipe!$G:$G,Originadores!H$3)</f>
        <v>0</v>
      </c>
    </row>
    <row r="166" spans="3:8">
      <c r="C166" s="24">
        <f t="shared" si="2"/>
        <v>163</v>
      </c>
      <c r="D166" t="s">
        <v>580</v>
      </c>
      <c r="E166" t="s">
        <v>226</v>
      </c>
      <c r="F166" s="24">
        <f>COUNTIFS(Pipe!$H:$H,Originadores!$D166,Pipe!$G:$G,Originadores!F$3)</f>
        <v>1</v>
      </c>
      <c r="G166" s="24">
        <f>COUNTIFS(Pipe!$H:$H,Originadores!$D166,Pipe!$G:$G,Originadores!G$3)</f>
        <v>0</v>
      </c>
      <c r="H166" s="24">
        <f>COUNTIFS(Pipe!$H:$H,Originadores!$D166,Pipe!$G:$G,Originadores!H$3)</f>
        <v>0</v>
      </c>
    </row>
    <row r="167" spans="3:8">
      <c r="C167" s="24">
        <f t="shared" si="2"/>
        <v>164</v>
      </c>
      <c r="D167" t="s">
        <v>1577</v>
      </c>
      <c r="E167" t="s">
        <v>130</v>
      </c>
      <c r="F167" s="24">
        <f>COUNTIFS(Pipe!$H:$H,Originadores!$D167,Pipe!$G:$G,Originadores!F$3)</f>
        <v>0</v>
      </c>
      <c r="G167" s="24">
        <f>COUNTIFS(Pipe!$H:$H,Originadores!$D167,Pipe!$G:$G,Originadores!G$3)</f>
        <v>2</v>
      </c>
      <c r="H167" s="24">
        <f>COUNTIFS(Pipe!$H:$H,Originadores!$D167,Pipe!$G:$G,Originadores!H$3)</f>
        <v>0</v>
      </c>
    </row>
    <row r="168" spans="3:8">
      <c r="C168" s="24">
        <f t="shared" si="2"/>
        <v>165</v>
      </c>
      <c r="D168" t="s">
        <v>2714</v>
      </c>
      <c r="E168" t="s">
        <v>802</v>
      </c>
      <c r="F168" s="24">
        <f>COUNTIFS(Pipe!$H:$H,Originadores!$D168,Pipe!$G:$G,Originadores!F$3)</f>
        <v>0</v>
      </c>
      <c r="G168" s="24">
        <f>COUNTIFS(Pipe!$H:$H,Originadores!$D168,Pipe!$G:$G,Originadores!G$3)</f>
        <v>0</v>
      </c>
      <c r="H168" s="24">
        <f>COUNTIFS(Pipe!$H:$H,Originadores!$D168,Pipe!$G:$G,Originadores!H$3)</f>
        <v>1</v>
      </c>
    </row>
    <row r="169" spans="3:8">
      <c r="C169" s="24">
        <f t="shared" si="2"/>
        <v>166</v>
      </c>
      <c r="D169" t="s">
        <v>442</v>
      </c>
      <c r="E169" t="s">
        <v>226</v>
      </c>
      <c r="F169" s="24">
        <f>COUNTIFS(Pipe!$H:$H,Originadores!$D169,Pipe!$G:$G,Originadores!F$3)</f>
        <v>2</v>
      </c>
      <c r="G169" s="24">
        <f>COUNTIFS(Pipe!$H:$H,Originadores!$D169,Pipe!$G:$G,Originadores!G$3)</f>
        <v>0</v>
      </c>
      <c r="H169" s="24">
        <f>COUNTIFS(Pipe!$H:$H,Originadores!$D169,Pipe!$G:$G,Originadores!H$3)</f>
        <v>1</v>
      </c>
    </row>
    <row r="170" spans="3:8">
      <c r="C170" s="24">
        <f t="shared" si="2"/>
        <v>167</v>
      </c>
      <c r="D170" t="s">
        <v>809</v>
      </c>
      <c r="E170" t="s">
        <v>226</v>
      </c>
      <c r="F170" s="24">
        <f>COUNTIFS(Pipe!$H:$H,Originadores!$D170,Pipe!$G:$G,Originadores!F$3)</f>
        <v>2</v>
      </c>
      <c r="G170" s="24">
        <f>COUNTIFS(Pipe!$H:$H,Originadores!$D170,Pipe!$G:$G,Originadores!G$3)</f>
        <v>0</v>
      </c>
      <c r="H170" s="24">
        <f>COUNTIFS(Pipe!$H:$H,Originadores!$D170,Pipe!$G:$G,Originadores!H$3)</f>
        <v>0</v>
      </c>
    </row>
    <row r="171" spans="3:8">
      <c r="C171" s="24">
        <f t="shared" si="2"/>
        <v>168</v>
      </c>
      <c r="D171" t="s">
        <v>2602</v>
      </c>
      <c r="E171" t="s">
        <v>130</v>
      </c>
      <c r="F171" s="24">
        <f>COUNTIFS(Pipe!$H:$H,Originadores!$D171,Pipe!$G:$G,Originadores!F$3)</f>
        <v>0</v>
      </c>
      <c r="G171" s="24">
        <f>COUNTIFS(Pipe!$H:$H,Originadores!$D171,Pipe!$G:$G,Originadores!G$3)</f>
        <v>0</v>
      </c>
      <c r="H171" s="24">
        <f>COUNTIFS(Pipe!$H:$H,Originadores!$D171,Pipe!$G:$G,Originadores!H$3)</f>
        <v>0</v>
      </c>
    </row>
    <row r="172" spans="3:8">
      <c r="C172" s="24">
        <f t="shared" si="2"/>
        <v>169</v>
      </c>
      <c r="D172" t="s">
        <v>2042</v>
      </c>
      <c r="E172" t="s">
        <v>226</v>
      </c>
      <c r="F172" s="24">
        <f>COUNTIFS(Pipe!$H:$H,Originadores!$D172,Pipe!$G:$G,Originadores!F$3)</f>
        <v>0</v>
      </c>
      <c r="G172" s="24">
        <f>COUNTIFS(Pipe!$H:$H,Originadores!$D172,Pipe!$G:$G,Originadores!G$3)</f>
        <v>1</v>
      </c>
      <c r="H172" s="24">
        <f>COUNTIFS(Pipe!$H:$H,Originadores!$D172,Pipe!$G:$G,Originadores!H$3)</f>
        <v>0</v>
      </c>
    </row>
    <row r="173" spans="3:8">
      <c r="C173" s="24">
        <f t="shared" si="2"/>
        <v>170</v>
      </c>
      <c r="D173" t="s">
        <v>2432</v>
      </c>
      <c r="E173" t="s">
        <v>872</v>
      </c>
      <c r="F173" s="24">
        <f>COUNTIFS(Pipe!$H:$H,Originadores!$D173,Pipe!$G:$G,Originadores!F$3)</f>
        <v>1</v>
      </c>
      <c r="G173" s="24">
        <f>COUNTIFS(Pipe!$H:$H,Originadores!$D173,Pipe!$G:$G,Originadores!G$3)</f>
        <v>2</v>
      </c>
      <c r="H173" s="24">
        <f>COUNTIFS(Pipe!$H:$H,Originadores!$D173,Pipe!$G:$G,Originadores!H$3)</f>
        <v>1</v>
      </c>
    </row>
    <row r="174" spans="3:8">
      <c r="C174" s="24">
        <f t="shared" si="2"/>
        <v>171</v>
      </c>
      <c r="D174" t="s">
        <v>408</v>
      </c>
      <c r="E174" t="s">
        <v>226</v>
      </c>
      <c r="F174" s="24">
        <f>COUNTIFS(Pipe!$H:$H,Originadores!$D174,Pipe!$G:$G,Originadores!F$3)</f>
        <v>1</v>
      </c>
      <c r="G174" s="24">
        <f>COUNTIFS(Pipe!$H:$H,Originadores!$D174,Pipe!$G:$G,Originadores!G$3)</f>
        <v>3</v>
      </c>
      <c r="H174" s="24">
        <f>COUNTIFS(Pipe!$H:$H,Originadores!$D174,Pipe!$G:$G,Originadores!H$3)</f>
        <v>0</v>
      </c>
    </row>
    <row r="175" spans="3:8">
      <c r="C175" s="24">
        <f t="shared" si="2"/>
        <v>172</v>
      </c>
      <c r="D175" t="s">
        <v>2577</v>
      </c>
      <c r="E175" t="s">
        <v>130</v>
      </c>
      <c r="F175" s="24">
        <f>COUNTIFS(Pipe!$H:$H,Originadores!$D175,Pipe!$G:$G,Originadores!F$3)</f>
        <v>0</v>
      </c>
      <c r="G175" s="24">
        <f>COUNTIFS(Pipe!$H:$H,Originadores!$D175,Pipe!$G:$G,Originadores!G$3)</f>
        <v>1</v>
      </c>
      <c r="H175" s="24">
        <f>COUNTIFS(Pipe!$H:$H,Originadores!$D175,Pipe!$G:$G,Originadores!H$3)</f>
        <v>1</v>
      </c>
    </row>
    <row r="176" spans="3:8">
      <c r="C176" s="24">
        <f t="shared" si="2"/>
        <v>173</v>
      </c>
      <c r="D176" t="s">
        <v>605</v>
      </c>
      <c r="E176" t="s">
        <v>226</v>
      </c>
      <c r="F176" s="24">
        <f>COUNTIFS(Pipe!$H:$H,Originadores!$D176,Pipe!$G:$G,Originadores!F$3)</f>
        <v>1</v>
      </c>
      <c r="G176" s="24">
        <f>COUNTIFS(Pipe!$H:$H,Originadores!$D176,Pipe!$G:$G,Originadores!G$3)</f>
        <v>0</v>
      </c>
      <c r="H176" s="24">
        <f>COUNTIFS(Pipe!$H:$H,Originadores!$D176,Pipe!$G:$G,Originadores!H$3)</f>
        <v>0</v>
      </c>
    </row>
    <row r="177" spans="3:8">
      <c r="C177" s="24">
        <f t="shared" si="2"/>
        <v>174</v>
      </c>
      <c r="D177" t="s">
        <v>2451</v>
      </c>
      <c r="E177" t="s">
        <v>226</v>
      </c>
      <c r="F177" s="24">
        <f>COUNTIFS(Pipe!$H:$H,Originadores!$D177,Pipe!$G:$G,Originadores!F$3)</f>
        <v>0</v>
      </c>
      <c r="G177" s="24">
        <f>COUNTIFS(Pipe!$H:$H,Originadores!$D177,Pipe!$G:$G,Originadores!G$3)</f>
        <v>2</v>
      </c>
      <c r="H177" s="24">
        <f>COUNTIFS(Pipe!$H:$H,Originadores!$D177,Pipe!$G:$G,Originadores!H$3)</f>
        <v>0</v>
      </c>
    </row>
    <row r="178" spans="3:8">
      <c r="C178" s="24">
        <f t="shared" si="2"/>
        <v>175</v>
      </c>
      <c r="D178" t="s">
        <v>2617</v>
      </c>
      <c r="E178" t="s">
        <v>802</v>
      </c>
      <c r="F178" s="24">
        <f>COUNTIFS(Pipe!$H:$H,Originadores!$D178,Pipe!$G:$G,Originadores!F$3)</f>
        <v>0</v>
      </c>
      <c r="G178" s="24">
        <f>COUNTIFS(Pipe!$H:$H,Originadores!$D178,Pipe!$G:$G,Originadores!G$3)</f>
        <v>1</v>
      </c>
      <c r="H178" s="24">
        <f>COUNTIFS(Pipe!$H:$H,Originadores!$D178,Pipe!$G:$G,Originadores!H$3)</f>
        <v>0</v>
      </c>
    </row>
    <row r="179" spans="3:8">
      <c r="C179" s="24">
        <f t="shared" si="2"/>
        <v>176</v>
      </c>
      <c r="D179" t="s">
        <v>33</v>
      </c>
      <c r="E179" t="s">
        <v>226</v>
      </c>
      <c r="F179" s="24">
        <f>COUNTIFS(Pipe!$H:$H,Originadores!$D179,Pipe!$G:$G,Originadores!F$3)</f>
        <v>6</v>
      </c>
      <c r="G179" s="24">
        <f>COUNTIFS(Pipe!$H:$H,Originadores!$D179,Pipe!$G:$G,Originadores!G$3)</f>
        <v>3</v>
      </c>
      <c r="H179" s="24">
        <f>COUNTIFS(Pipe!$H:$H,Originadores!$D179,Pipe!$G:$G,Originadores!H$3)</f>
        <v>1</v>
      </c>
    </row>
    <row r="180" spans="3:8">
      <c r="C180" s="24">
        <f t="shared" si="2"/>
        <v>177</v>
      </c>
      <c r="D180" t="s">
        <v>2828</v>
      </c>
      <c r="E180" t="s">
        <v>802</v>
      </c>
      <c r="F180" s="24">
        <f>COUNTIFS(Pipe!$H:$H,Originadores!$D180,Pipe!$G:$G,Originadores!F$3)</f>
        <v>0</v>
      </c>
      <c r="G180" s="24">
        <f>COUNTIFS(Pipe!$H:$H,Originadores!$D180,Pipe!$G:$G,Originadores!G$3)</f>
        <v>0</v>
      </c>
      <c r="H180" s="24">
        <f>COUNTIFS(Pipe!$H:$H,Originadores!$D180,Pipe!$G:$G,Originadores!H$3)</f>
        <v>1</v>
      </c>
    </row>
    <row r="181" spans="3:8">
      <c r="C181" s="24">
        <f t="shared" si="2"/>
        <v>178</v>
      </c>
      <c r="D181" t="s">
        <v>2971</v>
      </c>
      <c r="E181" t="s">
        <v>130</v>
      </c>
      <c r="F181" s="24">
        <f>COUNTIFS(Pipe!$H:$H,Originadores!$D181,Pipe!$G:$G,Originadores!F$3)</f>
        <v>0</v>
      </c>
      <c r="G181" s="24">
        <f>COUNTIFS(Pipe!$H:$H,Originadores!$D181,Pipe!$G:$G,Originadores!G$3)</f>
        <v>0</v>
      </c>
      <c r="H181" s="24">
        <f>COUNTIFS(Pipe!$H:$H,Originadores!$D181,Pipe!$G:$G,Originadores!H$3)</f>
        <v>2</v>
      </c>
    </row>
    <row r="182" spans="3:8">
      <c r="C182" s="24">
        <f t="shared" si="2"/>
        <v>179</v>
      </c>
      <c r="D182" t="s">
        <v>701</v>
      </c>
      <c r="E182" t="s">
        <v>802</v>
      </c>
      <c r="F182" s="24">
        <f>COUNTIFS(Pipe!$H:$H,Originadores!$D182,Pipe!$G:$G,Originadores!F$3)</f>
        <v>1</v>
      </c>
      <c r="G182" s="24">
        <f>COUNTIFS(Pipe!$H:$H,Originadores!$D182,Pipe!$G:$G,Originadores!G$3)</f>
        <v>0</v>
      </c>
      <c r="H182" s="24">
        <f>COUNTIFS(Pipe!$H:$H,Originadores!$D182,Pipe!$G:$G,Originadores!H$3)</f>
        <v>0</v>
      </c>
    </row>
    <row r="183" spans="3:8">
      <c r="C183" s="24">
        <f t="shared" si="2"/>
        <v>180</v>
      </c>
      <c r="D183" t="s">
        <v>3179</v>
      </c>
      <c r="E183" t="s">
        <v>1261</v>
      </c>
      <c r="F183" s="24">
        <f>COUNTIFS(Pipe!$H:$H,Originadores!$D183,Pipe!$G:$G,Originadores!F$3)</f>
        <v>0</v>
      </c>
      <c r="G183" s="24">
        <f>COUNTIFS(Pipe!$H:$H,Originadores!$D183,Pipe!$G:$G,Originadores!G$3)</f>
        <v>0</v>
      </c>
      <c r="H183" s="24">
        <f>COUNTIFS(Pipe!$H:$H,Originadores!$D183,Pipe!$G:$G,Originadores!H$3)</f>
        <v>1</v>
      </c>
    </row>
    <row r="184" spans="3:8">
      <c r="C184" s="24">
        <f t="shared" si="2"/>
        <v>181</v>
      </c>
      <c r="D184" t="s">
        <v>1012</v>
      </c>
      <c r="E184" t="s">
        <v>226</v>
      </c>
      <c r="F184" s="24">
        <f>COUNTIFS(Pipe!$H:$H,Originadores!$D184,Pipe!$G:$G,Originadores!F$3)</f>
        <v>1</v>
      </c>
      <c r="G184" s="24">
        <f>COUNTIFS(Pipe!$H:$H,Originadores!$D184,Pipe!$G:$G,Originadores!G$3)</f>
        <v>0</v>
      </c>
      <c r="H184" s="24">
        <f>COUNTIFS(Pipe!$H:$H,Originadores!$D184,Pipe!$G:$G,Originadores!H$3)</f>
        <v>0</v>
      </c>
    </row>
    <row r="185" spans="3:8">
      <c r="C185" s="24">
        <f t="shared" si="2"/>
        <v>182</v>
      </c>
      <c r="D185" t="s">
        <v>1545</v>
      </c>
      <c r="E185" t="s">
        <v>226</v>
      </c>
      <c r="F185" s="24">
        <f>COUNTIFS(Pipe!$H:$H,Originadores!$D185,Pipe!$G:$G,Originadores!F$3)</f>
        <v>0</v>
      </c>
      <c r="G185" s="24">
        <f>COUNTIFS(Pipe!$H:$H,Originadores!$D185,Pipe!$G:$G,Originadores!G$3)</f>
        <v>1</v>
      </c>
      <c r="H185" s="24">
        <f>COUNTIFS(Pipe!$H:$H,Originadores!$D185,Pipe!$G:$G,Originadores!H$3)</f>
        <v>0</v>
      </c>
    </row>
    <row r="186" spans="3:8">
      <c r="C186" s="24">
        <f t="shared" si="2"/>
        <v>183</v>
      </c>
      <c r="D186" t="s">
        <v>512</v>
      </c>
      <c r="E186" t="s">
        <v>226</v>
      </c>
      <c r="F186" s="24">
        <f>COUNTIFS(Pipe!$H:$H,Originadores!$D186,Pipe!$G:$G,Originadores!F$3)</f>
        <v>1</v>
      </c>
      <c r="G186" s="24">
        <f>COUNTIFS(Pipe!$H:$H,Originadores!$D186,Pipe!$G:$G,Originadores!G$3)</f>
        <v>0</v>
      </c>
      <c r="H186" s="24">
        <f>COUNTIFS(Pipe!$H:$H,Originadores!$D186,Pipe!$G:$G,Originadores!H$3)</f>
        <v>0</v>
      </c>
    </row>
    <row r="187" spans="3:8">
      <c r="C187" s="24">
        <f t="shared" si="2"/>
        <v>184</v>
      </c>
      <c r="D187" t="s">
        <v>2742</v>
      </c>
      <c r="E187" t="s">
        <v>802</v>
      </c>
      <c r="F187" s="24">
        <f>COUNTIFS(Pipe!$H:$H,Originadores!$D187,Pipe!$G:$G,Originadores!F$3)</f>
        <v>0</v>
      </c>
      <c r="G187" s="24">
        <f>COUNTIFS(Pipe!$H:$H,Originadores!$D187,Pipe!$G:$G,Originadores!G$3)</f>
        <v>0</v>
      </c>
      <c r="H187" s="24">
        <f>COUNTIFS(Pipe!$H:$H,Originadores!$D187,Pipe!$G:$G,Originadores!H$3)</f>
        <v>1</v>
      </c>
    </row>
    <row r="188" spans="3:8">
      <c r="C188" s="24">
        <f t="shared" si="2"/>
        <v>185</v>
      </c>
      <c r="D188" t="s">
        <v>1634</v>
      </c>
      <c r="E188" t="s">
        <v>802</v>
      </c>
      <c r="F188" s="24">
        <f>COUNTIFS(Pipe!$H:$H,Originadores!$D188,Pipe!$G:$G,Originadores!F$3)</f>
        <v>0</v>
      </c>
      <c r="G188" s="24">
        <f>COUNTIFS(Pipe!$H:$H,Originadores!$D188,Pipe!$G:$G,Originadores!G$3)</f>
        <v>1</v>
      </c>
      <c r="H188" s="24">
        <f>COUNTIFS(Pipe!$H:$H,Originadores!$D188,Pipe!$G:$G,Originadores!H$3)</f>
        <v>0</v>
      </c>
    </row>
    <row r="189" spans="3:8">
      <c r="C189" s="24">
        <f t="shared" si="2"/>
        <v>186</v>
      </c>
      <c r="D189" t="s">
        <v>2682</v>
      </c>
      <c r="E189" t="s">
        <v>130</v>
      </c>
      <c r="F189" s="24">
        <f>COUNTIFS(Pipe!$H:$H,Originadores!$D189,Pipe!$G:$G,Originadores!F$3)</f>
        <v>0</v>
      </c>
      <c r="G189" s="24">
        <f>COUNTIFS(Pipe!$H:$H,Originadores!$D189,Pipe!$G:$G,Originadores!G$3)</f>
        <v>0</v>
      </c>
      <c r="H189" s="24">
        <f>COUNTIFS(Pipe!$H:$H,Originadores!$D189,Pipe!$G:$G,Originadores!H$3)</f>
        <v>1</v>
      </c>
    </row>
    <row r="190" spans="3:8">
      <c r="C190" s="24">
        <f t="shared" si="2"/>
        <v>187</v>
      </c>
      <c r="D190" t="s">
        <v>2618</v>
      </c>
      <c r="E190" t="s">
        <v>802</v>
      </c>
      <c r="F190" s="24">
        <f>COUNTIFS(Pipe!$H:$H,Originadores!$D190,Pipe!$G:$G,Originadores!F$3)</f>
        <v>1</v>
      </c>
      <c r="G190" s="24">
        <f>COUNTIFS(Pipe!$H:$H,Originadores!$D190,Pipe!$G:$G,Originadores!G$3)</f>
        <v>1</v>
      </c>
      <c r="H190" s="24">
        <f>COUNTIFS(Pipe!$H:$H,Originadores!$D190,Pipe!$G:$G,Originadores!H$3)</f>
        <v>0</v>
      </c>
    </row>
    <row r="191" spans="3:8">
      <c r="C191" s="24">
        <f t="shared" si="2"/>
        <v>188</v>
      </c>
      <c r="D191" t="s">
        <v>3089</v>
      </c>
      <c r="E191" t="s">
        <v>226</v>
      </c>
      <c r="F191" s="24">
        <f>COUNTIFS(Pipe!$H:$H,Originadores!$D191,Pipe!$G:$G,Originadores!F$3)</f>
        <v>0</v>
      </c>
      <c r="G191" s="24">
        <f>COUNTIFS(Pipe!$H:$H,Originadores!$D191,Pipe!$G:$G,Originadores!G$3)</f>
        <v>0</v>
      </c>
      <c r="H191" s="24">
        <f>COUNTIFS(Pipe!$H:$H,Originadores!$D191,Pipe!$G:$G,Originadores!H$3)</f>
        <v>11</v>
      </c>
    </row>
    <row r="192" spans="3:8">
      <c r="C192" s="24">
        <f t="shared" si="2"/>
        <v>189</v>
      </c>
      <c r="D192" t="s">
        <v>2193</v>
      </c>
      <c r="E192" t="s">
        <v>2194</v>
      </c>
      <c r="F192" s="24">
        <f>COUNTIFS(Pipe!$H:$H,Originadores!$D192,Pipe!$G:$G,Originadores!F$3)</f>
        <v>0</v>
      </c>
      <c r="G192" s="24">
        <f>COUNTIFS(Pipe!$H:$H,Originadores!$D192,Pipe!$G:$G,Originadores!G$3)</f>
        <v>2</v>
      </c>
      <c r="H192" s="24">
        <f>COUNTIFS(Pipe!$H:$H,Originadores!$D192,Pipe!$G:$G,Originadores!H$3)</f>
        <v>0</v>
      </c>
    </row>
    <row r="193" spans="3:8">
      <c r="C193" s="24">
        <f t="shared" si="2"/>
        <v>190</v>
      </c>
      <c r="D193" t="s">
        <v>974</v>
      </c>
      <c r="E193" t="s">
        <v>130</v>
      </c>
      <c r="F193" s="24">
        <f>COUNTIFS(Pipe!$H:$H,Originadores!$D193,Pipe!$G:$G,Originadores!F$3)</f>
        <v>2</v>
      </c>
      <c r="G193" s="24">
        <f>COUNTIFS(Pipe!$H:$H,Originadores!$D193,Pipe!$G:$G,Originadores!G$3)</f>
        <v>0</v>
      </c>
      <c r="H193" s="24">
        <f>COUNTIFS(Pipe!$H:$H,Originadores!$D193,Pipe!$G:$G,Originadores!H$3)</f>
        <v>0</v>
      </c>
    </row>
    <row r="194" spans="3:8">
      <c r="C194" s="24">
        <f t="shared" si="2"/>
        <v>191</v>
      </c>
      <c r="D194" t="s">
        <v>2739</v>
      </c>
      <c r="E194" t="s">
        <v>130</v>
      </c>
      <c r="F194" s="24">
        <f>COUNTIFS(Pipe!$H:$H,Originadores!$D194,Pipe!$G:$G,Originadores!F$3)</f>
        <v>0</v>
      </c>
      <c r="G194" s="24">
        <f>COUNTIFS(Pipe!$H:$H,Originadores!$D194,Pipe!$G:$G,Originadores!G$3)</f>
        <v>0</v>
      </c>
      <c r="H194" s="24">
        <f>COUNTIFS(Pipe!$H:$H,Originadores!$D194,Pipe!$G:$G,Originadores!H$3)</f>
        <v>0</v>
      </c>
    </row>
    <row r="195" spans="3:8">
      <c r="C195" s="24">
        <f t="shared" si="2"/>
        <v>192</v>
      </c>
      <c r="D195" t="s">
        <v>2841</v>
      </c>
      <c r="E195" t="s">
        <v>130</v>
      </c>
      <c r="F195" s="24">
        <f>COUNTIFS(Pipe!$H:$H,Originadores!$D195,Pipe!$G:$G,Originadores!F$3)</f>
        <v>0</v>
      </c>
      <c r="G195" s="24">
        <f>COUNTIFS(Pipe!$H:$H,Originadores!$D195,Pipe!$G:$G,Originadores!G$3)</f>
        <v>0</v>
      </c>
      <c r="H195" s="24">
        <f>COUNTIFS(Pipe!$H:$H,Originadores!$D195,Pipe!$G:$G,Originadores!H$3)</f>
        <v>1</v>
      </c>
    </row>
    <row r="196" spans="3:8">
      <c r="C196" s="24">
        <f t="shared" si="2"/>
        <v>193</v>
      </c>
      <c r="D196" t="s">
        <v>871</v>
      </c>
      <c r="E196" t="s">
        <v>872</v>
      </c>
      <c r="F196" s="24">
        <f>COUNTIFS(Pipe!$H:$H,Originadores!$D196,Pipe!$G:$G,Originadores!F$3)</f>
        <v>1</v>
      </c>
      <c r="G196" s="24">
        <f>COUNTIFS(Pipe!$H:$H,Originadores!$D196,Pipe!$G:$G,Originadores!G$3)</f>
        <v>0</v>
      </c>
      <c r="H196" s="24">
        <f>COUNTIFS(Pipe!$H:$H,Originadores!$D196,Pipe!$G:$G,Originadores!H$3)</f>
        <v>1</v>
      </c>
    </row>
    <row r="197" spans="3:8">
      <c r="C197" s="24">
        <f t="shared" si="2"/>
        <v>194</v>
      </c>
      <c r="D197" t="s">
        <v>801</v>
      </c>
      <c r="E197" t="s">
        <v>802</v>
      </c>
      <c r="F197" s="24">
        <f>COUNTIFS(Pipe!$H:$H,Originadores!$D197,Pipe!$G:$G,Originadores!F$3)</f>
        <v>1</v>
      </c>
      <c r="G197" s="24">
        <f>COUNTIFS(Pipe!$H:$H,Originadores!$D197,Pipe!$G:$G,Originadores!G$3)</f>
        <v>0</v>
      </c>
      <c r="H197" s="24">
        <f>COUNTIFS(Pipe!$H:$H,Originadores!$D197,Pipe!$G:$G,Originadores!H$3)</f>
        <v>0</v>
      </c>
    </row>
    <row r="198" spans="3:8">
      <c r="C198" s="24">
        <f t="shared" si="2"/>
        <v>195</v>
      </c>
      <c r="D198" t="s">
        <v>2603</v>
      </c>
      <c r="E198" t="s">
        <v>1261</v>
      </c>
      <c r="F198" s="24">
        <f>COUNTIFS(Pipe!$H:$H,Originadores!$D198,Pipe!$G:$G,Originadores!F$3)</f>
        <v>1</v>
      </c>
      <c r="G198" s="24">
        <f>COUNTIFS(Pipe!$H:$H,Originadores!$D198,Pipe!$G:$G,Originadores!G$3)</f>
        <v>0</v>
      </c>
      <c r="H198" s="24">
        <f>COUNTIFS(Pipe!$H:$H,Originadores!$D198,Pipe!$G:$G,Originadores!H$3)</f>
        <v>0</v>
      </c>
    </row>
    <row r="199" spans="3:8">
      <c r="C199" s="24">
        <f t="shared" si="2"/>
        <v>196</v>
      </c>
      <c r="D199" t="s">
        <v>653</v>
      </c>
      <c r="E199" t="s">
        <v>802</v>
      </c>
      <c r="F199" s="24">
        <f>COUNTIFS(Pipe!$H:$H,Originadores!$D199,Pipe!$G:$G,Originadores!F$3)</f>
        <v>1</v>
      </c>
      <c r="G199" s="24">
        <f>COUNTIFS(Pipe!$H:$H,Originadores!$D199,Pipe!$G:$G,Originadores!G$3)</f>
        <v>0</v>
      </c>
      <c r="H199" s="24">
        <f>COUNTIFS(Pipe!$H:$H,Originadores!$D199,Pipe!$G:$G,Originadores!H$3)</f>
        <v>0</v>
      </c>
    </row>
    <row r="200" spans="3:8">
      <c r="C200" s="24">
        <f t="shared" si="2"/>
        <v>197</v>
      </c>
      <c r="D200" t="s">
        <v>1024</v>
      </c>
      <c r="E200" t="s">
        <v>802</v>
      </c>
      <c r="F200" s="24">
        <f>COUNTIFS(Pipe!$H:$H,Originadores!$D200,Pipe!$G:$G,Originadores!F$3)</f>
        <v>1</v>
      </c>
      <c r="G200" s="24">
        <f>COUNTIFS(Pipe!$H:$H,Originadores!$D200,Pipe!$G:$G,Originadores!G$3)</f>
        <v>0</v>
      </c>
      <c r="H200" s="24">
        <f>COUNTIFS(Pipe!$H:$H,Originadores!$D200,Pipe!$G:$G,Originadores!H$3)</f>
        <v>0</v>
      </c>
    </row>
    <row r="201" spans="3:8">
      <c r="C201" s="24">
        <f t="shared" si="2"/>
        <v>198</v>
      </c>
      <c r="D201" t="s">
        <v>2288</v>
      </c>
      <c r="E201" t="s">
        <v>130</v>
      </c>
      <c r="F201" s="24">
        <f>COUNTIFS(Pipe!$H:$H,Originadores!$D201,Pipe!$G:$G,Originadores!F$3)</f>
        <v>0</v>
      </c>
      <c r="G201" s="24">
        <f>COUNTIFS(Pipe!$H:$H,Originadores!$D201,Pipe!$G:$G,Originadores!G$3)</f>
        <v>2</v>
      </c>
      <c r="H201" s="24">
        <f>COUNTIFS(Pipe!$H:$H,Originadores!$D201,Pipe!$G:$G,Originadores!H$3)</f>
        <v>0</v>
      </c>
    </row>
    <row r="202" spans="3:8">
      <c r="C202" s="24">
        <f t="shared" si="2"/>
        <v>199</v>
      </c>
      <c r="D202" t="s">
        <v>1224</v>
      </c>
      <c r="E202" t="s">
        <v>226</v>
      </c>
      <c r="F202" s="24">
        <f>COUNTIFS(Pipe!$H:$H,Originadores!$D202,Pipe!$G:$G,Originadores!F$3)</f>
        <v>0</v>
      </c>
      <c r="G202" s="24">
        <f>COUNTIFS(Pipe!$H:$H,Originadores!$D202,Pipe!$G:$G,Originadores!G$3)</f>
        <v>2</v>
      </c>
      <c r="H202" s="24">
        <f>COUNTIFS(Pipe!$H:$H,Originadores!$D202,Pipe!$G:$G,Originadores!H$3)</f>
        <v>0</v>
      </c>
    </row>
    <row r="203" spans="3:8">
      <c r="C203" s="24">
        <f t="shared" si="2"/>
        <v>200</v>
      </c>
      <c r="D203" t="s">
        <v>3024</v>
      </c>
      <c r="E203" t="s">
        <v>1252</v>
      </c>
      <c r="F203" s="24">
        <f>COUNTIFS(Pipe!$H:$H,Originadores!$D203,Pipe!$G:$G,Originadores!F$3)</f>
        <v>0</v>
      </c>
      <c r="G203" s="24">
        <f>COUNTIFS(Pipe!$H:$H,Originadores!$D203,Pipe!$G:$G,Originadores!G$3)</f>
        <v>0</v>
      </c>
      <c r="H203" s="24">
        <f>COUNTIFS(Pipe!$H:$H,Originadores!$D203,Pipe!$G:$G,Originadores!H$3)</f>
        <v>1</v>
      </c>
    </row>
    <row r="204" spans="3:8">
      <c r="C204" s="24">
        <f t="shared" si="2"/>
        <v>201</v>
      </c>
      <c r="D204" t="s">
        <v>2421</v>
      </c>
      <c r="E204" t="s">
        <v>2422</v>
      </c>
      <c r="F204" s="24">
        <f>COUNTIFS(Pipe!$H:$H,Originadores!$D204,Pipe!$G:$G,Originadores!F$3)</f>
        <v>0</v>
      </c>
      <c r="G204" s="24">
        <f>COUNTIFS(Pipe!$H:$H,Originadores!$D204,Pipe!$G:$G,Originadores!G$3)</f>
        <v>1</v>
      </c>
      <c r="H204" s="24">
        <f>COUNTIFS(Pipe!$H:$H,Originadores!$D204,Pipe!$G:$G,Originadores!H$3)</f>
        <v>0</v>
      </c>
    </row>
    <row r="205" spans="3:8">
      <c r="C205" s="24">
        <f t="shared" si="2"/>
        <v>202</v>
      </c>
      <c r="D205" t="s">
        <v>3062</v>
      </c>
      <c r="E205" t="s">
        <v>403</v>
      </c>
      <c r="F205" s="24">
        <f>COUNTIFS(Pipe!$H:$H,Originadores!$D205,Pipe!$G:$G,Originadores!F$3)</f>
        <v>0</v>
      </c>
      <c r="G205" s="24">
        <f>COUNTIFS(Pipe!$H:$H,Originadores!$D205,Pipe!$G:$G,Originadores!G$3)</f>
        <v>0</v>
      </c>
      <c r="H205" s="24">
        <f>COUNTIFS(Pipe!$H:$H,Originadores!$D205,Pipe!$G:$G,Originadores!H$3)</f>
        <v>1</v>
      </c>
    </row>
    <row r="206" spans="3:8">
      <c r="C206" s="24">
        <f t="shared" si="2"/>
        <v>203</v>
      </c>
      <c r="D206" t="s">
        <v>2814</v>
      </c>
      <c r="E206" t="s">
        <v>226</v>
      </c>
      <c r="F206" s="24">
        <f>COUNTIFS(Pipe!$H:$H,Originadores!$D206,Pipe!$G:$G,Originadores!F$3)</f>
        <v>0</v>
      </c>
      <c r="G206" s="24">
        <f>COUNTIFS(Pipe!$H:$H,Originadores!$D206,Pipe!$G:$G,Originadores!G$3)</f>
        <v>0</v>
      </c>
      <c r="H206" s="24">
        <f>COUNTIFS(Pipe!$H:$H,Originadores!$D206,Pipe!$G:$G,Originadores!H$3)</f>
        <v>3</v>
      </c>
    </row>
    <row r="207" spans="3:8">
      <c r="C207" s="24">
        <f t="shared" si="2"/>
        <v>204</v>
      </c>
      <c r="D207" t="s">
        <v>474</v>
      </c>
      <c r="E207" t="s">
        <v>226</v>
      </c>
      <c r="F207" s="24">
        <f>COUNTIFS(Pipe!$H:$H,Originadores!$D207,Pipe!$G:$G,Originadores!F$3)</f>
        <v>1</v>
      </c>
      <c r="G207" s="24">
        <f>COUNTIFS(Pipe!$H:$H,Originadores!$D207,Pipe!$G:$G,Originadores!G$3)</f>
        <v>0</v>
      </c>
      <c r="H207" s="24">
        <f>COUNTIFS(Pipe!$H:$H,Originadores!$D207,Pipe!$G:$G,Originadores!H$3)</f>
        <v>0</v>
      </c>
    </row>
    <row r="208" spans="3:8">
      <c r="C208" s="24">
        <f t="shared" si="2"/>
        <v>205</v>
      </c>
      <c r="D208" t="s">
        <v>1094</v>
      </c>
      <c r="E208" t="s">
        <v>403</v>
      </c>
      <c r="F208" s="24">
        <f>COUNTIFS(Pipe!$H:$H,Originadores!$D208,Pipe!$G:$G,Originadores!F$3)</f>
        <v>0</v>
      </c>
      <c r="G208" s="24">
        <f>COUNTIFS(Pipe!$H:$H,Originadores!$D208,Pipe!$G:$G,Originadores!G$3)</f>
        <v>4</v>
      </c>
      <c r="H208" s="24">
        <f>COUNTIFS(Pipe!$H:$H,Originadores!$D208,Pipe!$G:$G,Originadores!H$3)</f>
        <v>0</v>
      </c>
    </row>
    <row r="209" spans="3:8">
      <c r="C209" s="24">
        <f t="shared" si="2"/>
        <v>206</v>
      </c>
      <c r="D209" t="s">
        <v>2466</v>
      </c>
      <c r="E209" t="s">
        <v>1252</v>
      </c>
      <c r="F209" s="24">
        <f>COUNTIFS(Pipe!$H:$H,Originadores!$D209,Pipe!$G:$G,Originadores!F$3)</f>
        <v>0</v>
      </c>
      <c r="G209" s="24">
        <f>COUNTIFS(Pipe!$H:$H,Originadores!$D209,Pipe!$G:$G,Originadores!G$3)</f>
        <v>1</v>
      </c>
      <c r="H209" s="24">
        <f>COUNTIFS(Pipe!$H:$H,Originadores!$D209,Pipe!$G:$G,Originadores!H$3)</f>
        <v>0</v>
      </c>
    </row>
    <row r="210" spans="3:8">
      <c r="C210" s="24">
        <f t="shared" si="2"/>
        <v>207</v>
      </c>
      <c r="D210" t="s">
        <v>716</v>
      </c>
      <c r="E210" t="s">
        <v>872</v>
      </c>
      <c r="F210" s="24">
        <f>COUNTIFS(Pipe!$H:$H,Originadores!$D210,Pipe!$G:$G,Originadores!F$3)</f>
        <v>1</v>
      </c>
      <c r="G210" s="24">
        <f>COUNTIFS(Pipe!$H:$H,Originadores!$D210,Pipe!$G:$G,Originadores!G$3)</f>
        <v>0</v>
      </c>
      <c r="H210" s="24">
        <f>COUNTIFS(Pipe!$H:$H,Originadores!$D210,Pipe!$G:$G,Originadores!H$3)</f>
        <v>0</v>
      </c>
    </row>
    <row r="211" spans="3:8">
      <c r="C211" s="24">
        <f t="shared" si="2"/>
        <v>208</v>
      </c>
      <c r="D211" t="s">
        <v>2830</v>
      </c>
      <c r="E211" t="s">
        <v>226</v>
      </c>
      <c r="F211" s="24">
        <f>COUNTIFS(Pipe!$H:$H,Originadores!$D211,Pipe!$G:$G,Originadores!F$3)</f>
        <v>0</v>
      </c>
      <c r="G211" s="24">
        <f>COUNTIFS(Pipe!$H:$H,Originadores!$D211,Pipe!$G:$G,Originadores!G$3)</f>
        <v>0</v>
      </c>
      <c r="H211" s="24">
        <f>COUNTIFS(Pipe!$H:$H,Originadores!$D211,Pipe!$G:$G,Originadores!H$3)</f>
        <v>2</v>
      </c>
    </row>
    <row r="212" spans="3:8">
      <c r="C212" s="24">
        <f t="shared" si="2"/>
        <v>209</v>
      </c>
      <c r="D212" t="s">
        <v>888</v>
      </c>
      <c r="E212" t="s">
        <v>1261</v>
      </c>
      <c r="F212" s="24">
        <f>COUNTIFS(Pipe!$H:$H,Originadores!$D212,Pipe!$G:$G,Originadores!F$3)</f>
        <v>1</v>
      </c>
      <c r="G212" s="24">
        <f>COUNTIFS(Pipe!$H:$H,Originadores!$D212,Pipe!$G:$G,Originadores!G$3)</f>
        <v>0</v>
      </c>
      <c r="H212" s="24">
        <f>COUNTIFS(Pipe!$H:$H,Originadores!$D212,Pipe!$G:$G,Originadores!H$3)</f>
        <v>0</v>
      </c>
    </row>
    <row r="213" spans="3:8">
      <c r="C213" s="24">
        <f t="shared" si="2"/>
        <v>210</v>
      </c>
      <c r="D213" t="s">
        <v>650</v>
      </c>
      <c r="E213" t="s">
        <v>226</v>
      </c>
      <c r="F213" s="24">
        <f>COUNTIFS(Pipe!$H:$H,Originadores!$D213,Pipe!$G:$G,Originadores!F$3)</f>
        <v>1</v>
      </c>
      <c r="G213" s="24">
        <f>COUNTIFS(Pipe!$H:$H,Originadores!$D213,Pipe!$G:$G,Originadores!G$3)</f>
        <v>1</v>
      </c>
      <c r="H213" s="24">
        <f>COUNTIFS(Pipe!$H:$H,Originadores!$D213,Pipe!$G:$G,Originadores!H$3)</f>
        <v>0</v>
      </c>
    </row>
    <row r="214" spans="3:8">
      <c r="C214" s="24">
        <f t="shared" si="2"/>
        <v>211</v>
      </c>
      <c r="D214" t="s">
        <v>188</v>
      </c>
      <c r="E214" t="s">
        <v>802</v>
      </c>
      <c r="F214" s="24">
        <f>COUNTIFS(Pipe!$H:$H,Originadores!$D214,Pipe!$G:$G,Originadores!F$3)</f>
        <v>0</v>
      </c>
      <c r="G214" s="24">
        <f>COUNTIFS(Pipe!$H:$H,Originadores!$D214,Pipe!$G:$G,Originadores!G$3)</f>
        <v>0</v>
      </c>
      <c r="H214" s="24">
        <f>COUNTIFS(Pipe!$H:$H,Originadores!$D214,Pipe!$G:$G,Originadores!H$3)</f>
        <v>1</v>
      </c>
    </row>
    <row r="215" spans="3:8">
      <c r="C215" s="24">
        <f t="shared" si="2"/>
        <v>212</v>
      </c>
      <c r="D215" t="s">
        <v>674</v>
      </c>
      <c r="E215" t="s">
        <v>1261</v>
      </c>
      <c r="F215" s="24">
        <f>COUNTIFS(Pipe!$H:$H,Originadores!$D215,Pipe!$G:$G,Originadores!F$3)</f>
        <v>1</v>
      </c>
      <c r="G215" s="24">
        <f>COUNTIFS(Pipe!$H:$H,Originadores!$D215,Pipe!$G:$G,Originadores!G$3)</f>
        <v>0</v>
      </c>
      <c r="H215" s="24">
        <f>COUNTIFS(Pipe!$H:$H,Originadores!$D215,Pipe!$G:$G,Originadores!H$3)</f>
        <v>0</v>
      </c>
    </row>
    <row r="216" spans="3:8">
      <c r="C216" s="24">
        <f t="shared" si="2"/>
        <v>213</v>
      </c>
      <c r="D216" t="s">
        <v>114</v>
      </c>
      <c r="E216" t="s">
        <v>1193</v>
      </c>
      <c r="F216" s="24">
        <f>COUNTIFS(Pipe!$H:$H,Originadores!$D216,Pipe!$G:$G,Originadores!F$3)</f>
        <v>1</v>
      </c>
      <c r="G216" s="24">
        <f>COUNTIFS(Pipe!$H:$H,Originadores!$D216,Pipe!$G:$G,Originadores!G$3)</f>
        <v>0</v>
      </c>
      <c r="H216" s="24">
        <f>COUNTIFS(Pipe!$H:$H,Originadores!$D216,Pipe!$G:$G,Originadores!H$3)</f>
        <v>0</v>
      </c>
    </row>
    <row r="217" spans="3:8">
      <c r="C217" s="24">
        <f t="shared" si="2"/>
        <v>214</v>
      </c>
      <c r="D217" t="s">
        <v>1328</v>
      </c>
      <c r="E217" t="s">
        <v>872</v>
      </c>
      <c r="F217" s="24">
        <f>COUNTIFS(Pipe!$H:$H,Originadores!$D217,Pipe!$G:$G,Originadores!F$3)</f>
        <v>0</v>
      </c>
      <c r="G217" s="24">
        <f>COUNTIFS(Pipe!$H:$H,Originadores!$D217,Pipe!$G:$G,Originadores!G$3)</f>
        <v>3</v>
      </c>
      <c r="H217" s="24">
        <f>COUNTIFS(Pipe!$H:$H,Originadores!$D217,Pipe!$G:$G,Originadores!H$3)</f>
        <v>0</v>
      </c>
    </row>
    <row r="218" spans="3:8">
      <c r="C218" s="24">
        <f t="shared" si="2"/>
        <v>215</v>
      </c>
      <c r="D218" t="s">
        <v>1143</v>
      </c>
      <c r="E218" t="s">
        <v>403</v>
      </c>
      <c r="F218" s="24">
        <f>COUNTIFS(Pipe!$H:$H,Originadores!$D218,Pipe!$G:$G,Originadores!F$3)</f>
        <v>0</v>
      </c>
      <c r="G218" s="24">
        <f>COUNTIFS(Pipe!$H:$H,Originadores!$D218,Pipe!$G:$G,Originadores!G$3)</f>
        <v>2</v>
      </c>
      <c r="H218" s="24">
        <f>COUNTIFS(Pipe!$H:$H,Originadores!$D218,Pipe!$G:$G,Originadores!H$3)</f>
        <v>0</v>
      </c>
    </row>
    <row r="219" spans="3:8">
      <c r="C219" s="24">
        <f t="shared" si="2"/>
        <v>216</v>
      </c>
      <c r="D219" t="s">
        <v>2616</v>
      </c>
      <c r="E219" t="s">
        <v>872</v>
      </c>
      <c r="F219" s="24">
        <f>COUNTIFS(Pipe!$H:$H,Originadores!$D219,Pipe!$G:$G,Originadores!F$3)</f>
        <v>1</v>
      </c>
      <c r="G219" s="24">
        <f>COUNTIFS(Pipe!$H:$H,Originadores!$D219,Pipe!$G:$G,Originadores!G$3)</f>
        <v>0</v>
      </c>
      <c r="H219" s="24">
        <f>COUNTIFS(Pipe!$H:$H,Originadores!$D219,Pipe!$G:$G,Originadores!H$3)</f>
        <v>0</v>
      </c>
    </row>
    <row r="220" spans="3:8">
      <c r="C220" s="24">
        <f t="shared" si="2"/>
        <v>217</v>
      </c>
      <c r="D220" t="s">
        <v>1168</v>
      </c>
      <c r="E220" t="s">
        <v>130</v>
      </c>
      <c r="F220" s="24">
        <f>COUNTIFS(Pipe!$H:$H,Originadores!$D220,Pipe!$G:$G,Originadores!F$3)</f>
        <v>0</v>
      </c>
      <c r="G220" s="24">
        <f>COUNTIFS(Pipe!$H:$H,Originadores!$D220,Pipe!$G:$G,Originadores!G$3)</f>
        <v>3</v>
      </c>
      <c r="H220" s="24">
        <f>COUNTIFS(Pipe!$H:$H,Originadores!$D220,Pipe!$G:$G,Originadores!H$3)</f>
        <v>0</v>
      </c>
    </row>
    <row r="221" spans="3:8">
      <c r="C221" s="24">
        <f t="shared" si="2"/>
        <v>218</v>
      </c>
      <c r="D221" t="s">
        <v>529</v>
      </c>
      <c r="E221" t="s">
        <v>226</v>
      </c>
      <c r="F221" s="24">
        <f>COUNTIFS(Pipe!$H:$H,Originadores!$D221,Pipe!$G:$G,Originadores!F$3)</f>
        <v>1</v>
      </c>
      <c r="G221" s="24">
        <f>COUNTIFS(Pipe!$H:$H,Originadores!$D221,Pipe!$G:$G,Originadores!G$3)</f>
        <v>0</v>
      </c>
      <c r="H221" s="24">
        <f>COUNTIFS(Pipe!$H:$H,Originadores!$D221,Pipe!$G:$G,Originadores!H$3)</f>
        <v>0</v>
      </c>
    </row>
    <row r="222" spans="3:8">
      <c r="C222" s="24">
        <f t="shared" si="2"/>
        <v>219</v>
      </c>
      <c r="D222" t="s">
        <v>1102</v>
      </c>
      <c r="E222" t="s">
        <v>802</v>
      </c>
      <c r="F222" s="24">
        <f>COUNTIFS(Pipe!$H:$H,Originadores!$D222,Pipe!$G:$G,Originadores!F$3)</f>
        <v>0</v>
      </c>
      <c r="G222" s="24">
        <f>COUNTIFS(Pipe!$H:$H,Originadores!$D222,Pipe!$G:$G,Originadores!G$3)</f>
        <v>1</v>
      </c>
      <c r="H222" s="24">
        <f>COUNTIFS(Pipe!$H:$H,Originadores!$D222,Pipe!$G:$G,Originadores!H$3)</f>
        <v>0</v>
      </c>
    </row>
    <row r="223" spans="3:8">
      <c r="C223" s="24">
        <f t="shared" si="2"/>
        <v>220</v>
      </c>
      <c r="D223" t="s">
        <v>689</v>
      </c>
      <c r="E223" t="s">
        <v>130</v>
      </c>
      <c r="F223" s="24">
        <f>COUNTIFS(Pipe!$H:$H,Originadores!$D223,Pipe!$G:$G,Originadores!F$3)</f>
        <v>1</v>
      </c>
      <c r="G223" s="24">
        <f>COUNTIFS(Pipe!$H:$H,Originadores!$D223,Pipe!$G:$G,Originadores!G$3)</f>
        <v>0</v>
      </c>
      <c r="H223" s="24">
        <f>COUNTIFS(Pipe!$H:$H,Originadores!$D223,Pipe!$G:$G,Originadores!H$3)</f>
        <v>0</v>
      </c>
    </row>
    <row r="224" spans="3:8">
      <c r="C224" s="24">
        <f t="shared" si="2"/>
        <v>221</v>
      </c>
      <c r="D224" t="s">
        <v>2427</v>
      </c>
      <c r="E224" t="s">
        <v>872</v>
      </c>
      <c r="F224" s="24">
        <f>COUNTIFS(Pipe!$H:$H,Originadores!$D224,Pipe!$G:$G,Originadores!F$3)</f>
        <v>1</v>
      </c>
      <c r="G224" s="24">
        <f>COUNTIFS(Pipe!$H:$H,Originadores!$D224,Pipe!$G:$G,Originadores!G$3)</f>
        <v>1</v>
      </c>
      <c r="H224" s="24">
        <f>COUNTIFS(Pipe!$H:$H,Originadores!$D224,Pipe!$G:$G,Originadores!H$3)</f>
        <v>0</v>
      </c>
    </row>
    <row r="225" spans="3:8">
      <c r="C225" s="24">
        <f t="shared" si="2"/>
        <v>222</v>
      </c>
      <c r="D225" t="s">
        <v>2610</v>
      </c>
      <c r="E225" t="s">
        <v>802</v>
      </c>
      <c r="F225" s="24">
        <f>COUNTIFS(Pipe!$H:$H,Originadores!$D225,Pipe!$G:$G,Originadores!F$3)</f>
        <v>0</v>
      </c>
      <c r="G225" s="24">
        <f>COUNTIFS(Pipe!$H:$H,Originadores!$D225,Pipe!$G:$G,Originadores!G$3)</f>
        <v>1</v>
      </c>
      <c r="H225" s="24">
        <f>COUNTIFS(Pipe!$H:$H,Originadores!$D225,Pipe!$G:$G,Originadores!H$3)</f>
        <v>0</v>
      </c>
    </row>
    <row r="226" spans="3:8">
      <c r="C226" s="24">
        <f t="shared" ref="C226:C289" si="3">+C225+1</f>
        <v>223</v>
      </c>
      <c r="D226" t="s">
        <v>195</v>
      </c>
      <c r="E226" t="s">
        <v>226</v>
      </c>
      <c r="F226" s="24">
        <f>COUNTIFS(Pipe!$H:$H,Originadores!$D226,Pipe!$G:$G,Originadores!F$3)</f>
        <v>3</v>
      </c>
      <c r="G226" s="24">
        <f>COUNTIFS(Pipe!$H:$H,Originadores!$D226,Pipe!$G:$G,Originadores!G$3)</f>
        <v>0</v>
      </c>
      <c r="H226" s="24">
        <f>COUNTIFS(Pipe!$H:$H,Originadores!$D226,Pipe!$G:$G,Originadores!H$3)</f>
        <v>0</v>
      </c>
    </row>
    <row r="227" spans="3:8">
      <c r="C227" s="24">
        <f t="shared" si="3"/>
        <v>224</v>
      </c>
      <c r="D227" t="s">
        <v>256</v>
      </c>
      <c r="E227" t="s">
        <v>257</v>
      </c>
      <c r="F227" s="24">
        <f>COUNTIFS(Pipe!$H:$H,Originadores!$D227,Pipe!$G:$G,Originadores!F$3)</f>
        <v>1</v>
      </c>
      <c r="G227" s="24">
        <f>COUNTIFS(Pipe!$H:$H,Originadores!$D227,Pipe!$G:$G,Originadores!G$3)</f>
        <v>0</v>
      </c>
      <c r="H227" s="24">
        <f>COUNTIFS(Pipe!$H:$H,Originadores!$D227,Pipe!$G:$G,Originadores!H$3)</f>
        <v>0</v>
      </c>
    </row>
    <row r="228" spans="3:8">
      <c r="C228" s="24">
        <f t="shared" si="3"/>
        <v>225</v>
      </c>
      <c r="D228" t="s">
        <v>918</v>
      </c>
      <c r="E228" t="s">
        <v>226</v>
      </c>
      <c r="F228" s="24">
        <f>COUNTIFS(Pipe!$H:$H,Originadores!$D228,Pipe!$G:$G,Originadores!F$3)</f>
        <v>1</v>
      </c>
      <c r="G228" s="24">
        <f>COUNTIFS(Pipe!$H:$H,Originadores!$D228,Pipe!$G:$G,Originadores!G$3)</f>
        <v>0</v>
      </c>
      <c r="H228" s="24">
        <f>COUNTIFS(Pipe!$H:$H,Originadores!$D228,Pipe!$G:$G,Originadores!H$3)</f>
        <v>0</v>
      </c>
    </row>
    <row r="229" spans="3:8">
      <c r="C229" s="24">
        <f t="shared" si="3"/>
        <v>226</v>
      </c>
      <c r="D229" t="s">
        <v>1559</v>
      </c>
      <c r="E229" t="s">
        <v>226</v>
      </c>
      <c r="F229" s="24">
        <f>COUNTIFS(Pipe!$H:$H,Originadores!$D229,Pipe!$G:$G,Originadores!F$3)</f>
        <v>0</v>
      </c>
      <c r="G229" s="24">
        <f>COUNTIFS(Pipe!$H:$H,Originadores!$D229,Pipe!$G:$G,Originadores!G$3)</f>
        <v>2</v>
      </c>
      <c r="H229" s="24">
        <f>COUNTIFS(Pipe!$H:$H,Originadores!$D229,Pipe!$G:$G,Originadores!H$3)</f>
        <v>0</v>
      </c>
    </row>
    <row r="230" spans="3:8">
      <c r="C230" s="24">
        <f t="shared" si="3"/>
        <v>227</v>
      </c>
      <c r="D230" t="s">
        <v>1118</v>
      </c>
      <c r="E230" t="s">
        <v>403</v>
      </c>
      <c r="F230" s="24">
        <f>COUNTIFS(Pipe!$H:$H,Originadores!$D230,Pipe!$G:$G,Originadores!F$3)</f>
        <v>0</v>
      </c>
      <c r="G230" s="24">
        <f>COUNTIFS(Pipe!$H:$H,Originadores!$D230,Pipe!$G:$G,Originadores!G$3)</f>
        <v>2</v>
      </c>
      <c r="H230" s="24">
        <f>COUNTIFS(Pipe!$H:$H,Originadores!$D230,Pipe!$G:$G,Originadores!H$3)</f>
        <v>0</v>
      </c>
    </row>
    <row r="231" spans="3:8">
      <c r="C231" s="24">
        <f t="shared" si="3"/>
        <v>228</v>
      </c>
      <c r="D231" t="s">
        <v>2755</v>
      </c>
      <c r="E231" t="s">
        <v>872</v>
      </c>
      <c r="F231" s="24">
        <f>COUNTIFS(Pipe!$H:$H,Originadores!$D231,Pipe!$G:$G,Originadores!F$3)</f>
        <v>0</v>
      </c>
      <c r="G231" s="24">
        <f>COUNTIFS(Pipe!$H:$H,Originadores!$D231,Pipe!$G:$G,Originadores!G$3)</f>
        <v>0</v>
      </c>
      <c r="H231" s="24">
        <f>COUNTIFS(Pipe!$H:$H,Originadores!$D231,Pipe!$G:$G,Originadores!H$3)</f>
        <v>1</v>
      </c>
    </row>
    <row r="232" spans="3:8">
      <c r="C232" s="24">
        <f t="shared" si="3"/>
        <v>229</v>
      </c>
      <c r="D232" t="s">
        <v>534</v>
      </c>
      <c r="E232" t="s">
        <v>130</v>
      </c>
      <c r="F232" s="24">
        <f>COUNTIFS(Pipe!$H:$H,Originadores!$D232,Pipe!$G:$G,Originadores!F$3)</f>
        <v>1</v>
      </c>
      <c r="G232" s="24">
        <f>COUNTIFS(Pipe!$H:$H,Originadores!$D232,Pipe!$G:$G,Originadores!G$3)</f>
        <v>0</v>
      </c>
      <c r="H232" s="24">
        <f>COUNTIFS(Pipe!$H:$H,Originadores!$D232,Pipe!$G:$G,Originadores!H$3)</f>
        <v>0</v>
      </c>
    </row>
    <row r="233" spans="3:8">
      <c r="C233" s="24">
        <f t="shared" si="3"/>
        <v>230</v>
      </c>
      <c r="D233" t="s">
        <v>416</v>
      </c>
      <c r="E233" t="s">
        <v>130</v>
      </c>
      <c r="F233" s="24">
        <f>COUNTIFS(Pipe!$H:$H,Originadores!$D233,Pipe!$G:$G,Originadores!F$3)</f>
        <v>1</v>
      </c>
      <c r="G233" s="24">
        <f>COUNTIFS(Pipe!$H:$H,Originadores!$D233,Pipe!$G:$G,Originadores!G$3)</f>
        <v>0</v>
      </c>
      <c r="H233" s="24">
        <f>COUNTIFS(Pipe!$H:$H,Originadores!$D233,Pipe!$G:$G,Originadores!H$3)</f>
        <v>0</v>
      </c>
    </row>
    <row r="234" spans="3:8">
      <c r="C234" s="24">
        <f t="shared" si="3"/>
        <v>231</v>
      </c>
      <c r="D234" t="s">
        <v>2611</v>
      </c>
      <c r="E234" t="s">
        <v>226</v>
      </c>
      <c r="F234" s="24">
        <f>COUNTIFS(Pipe!$H:$H,Originadores!$D234,Pipe!$G:$G,Originadores!F$3)</f>
        <v>0</v>
      </c>
      <c r="G234" s="24">
        <f>COUNTIFS(Pipe!$H:$H,Originadores!$D234,Pipe!$G:$G,Originadores!G$3)</f>
        <v>1</v>
      </c>
      <c r="H234" s="24">
        <f>COUNTIFS(Pipe!$H:$H,Originadores!$D234,Pipe!$G:$G,Originadores!H$3)</f>
        <v>0</v>
      </c>
    </row>
    <row r="235" spans="3:8">
      <c r="C235" s="24">
        <f t="shared" si="3"/>
        <v>232</v>
      </c>
      <c r="D235" t="s">
        <v>1455</v>
      </c>
      <c r="E235" t="s">
        <v>872</v>
      </c>
      <c r="F235" s="24">
        <f>COUNTIFS(Pipe!$H:$H,Originadores!$D235,Pipe!$G:$G,Originadores!F$3)</f>
        <v>0</v>
      </c>
      <c r="G235" s="24">
        <f>COUNTIFS(Pipe!$H:$H,Originadores!$D235,Pipe!$G:$G,Originadores!G$3)</f>
        <v>1</v>
      </c>
      <c r="H235" s="24">
        <f>COUNTIFS(Pipe!$H:$H,Originadores!$D235,Pipe!$G:$G,Originadores!H$3)</f>
        <v>0</v>
      </c>
    </row>
    <row r="236" spans="3:8">
      <c r="C236" s="24">
        <f t="shared" si="3"/>
        <v>233</v>
      </c>
      <c r="D236" t="s">
        <v>1294</v>
      </c>
      <c r="E236" t="s">
        <v>1295</v>
      </c>
      <c r="F236" s="24">
        <f>COUNTIFS(Pipe!$H:$H,Originadores!$D236,Pipe!$G:$G,Originadores!F$3)</f>
        <v>0</v>
      </c>
      <c r="G236" s="24">
        <f>COUNTIFS(Pipe!$H:$H,Originadores!$D236,Pipe!$G:$G,Originadores!G$3)</f>
        <v>1</v>
      </c>
      <c r="H236" s="24">
        <f>COUNTIFS(Pipe!$H:$H,Originadores!$D236,Pipe!$G:$G,Originadores!H$3)</f>
        <v>0</v>
      </c>
    </row>
    <row r="237" spans="3:8">
      <c r="C237" s="24">
        <f t="shared" si="3"/>
        <v>234</v>
      </c>
      <c r="D237" t="s">
        <v>1353</v>
      </c>
      <c r="E237" t="s">
        <v>226</v>
      </c>
      <c r="F237" s="24">
        <f>COUNTIFS(Pipe!$H:$H,Originadores!$D237,Pipe!$G:$G,Originadores!F$3)</f>
        <v>0</v>
      </c>
      <c r="G237" s="24">
        <f>COUNTIFS(Pipe!$H:$H,Originadores!$D237,Pipe!$G:$G,Originadores!G$3)</f>
        <v>1</v>
      </c>
      <c r="H237" s="24">
        <f>COUNTIFS(Pipe!$H:$H,Originadores!$D237,Pipe!$G:$G,Originadores!H$3)</f>
        <v>0</v>
      </c>
    </row>
    <row r="238" spans="3:8">
      <c r="C238" s="24">
        <f t="shared" si="3"/>
        <v>235</v>
      </c>
      <c r="D238" t="s">
        <v>776</v>
      </c>
      <c r="E238" t="s">
        <v>1261</v>
      </c>
      <c r="F238" s="24">
        <f>COUNTIFS(Pipe!$H:$H,Originadores!$D238,Pipe!$G:$G,Originadores!F$3)</f>
        <v>1</v>
      </c>
      <c r="G238" s="24">
        <f>COUNTIFS(Pipe!$H:$H,Originadores!$D238,Pipe!$G:$G,Originadores!G$3)</f>
        <v>0</v>
      </c>
      <c r="H238" s="24">
        <f>COUNTIFS(Pipe!$H:$H,Originadores!$D238,Pipe!$G:$G,Originadores!H$3)</f>
        <v>0</v>
      </c>
    </row>
    <row r="239" spans="3:8">
      <c r="C239" s="24">
        <f t="shared" si="3"/>
        <v>236</v>
      </c>
      <c r="D239" t="s">
        <v>93</v>
      </c>
      <c r="E239" t="s">
        <v>1261</v>
      </c>
      <c r="F239" s="24">
        <f>COUNTIFS(Pipe!$H:$H,Originadores!$D239,Pipe!$G:$G,Originadores!F$3)</f>
        <v>1</v>
      </c>
      <c r="G239" s="24">
        <f>COUNTIFS(Pipe!$H:$H,Originadores!$D239,Pipe!$G:$G,Originadores!G$3)</f>
        <v>0</v>
      </c>
      <c r="H239" s="24">
        <f>COUNTIFS(Pipe!$H:$H,Originadores!$D239,Pipe!$G:$G,Originadores!H$3)</f>
        <v>0</v>
      </c>
    </row>
    <row r="240" spans="3:8">
      <c r="C240" s="24">
        <f t="shared" si="3"/>
        <v>237</v>
      </c>
      <c r="D240" t="s">
        <v>275</v>
      </c>
      <c r="E240" t="s">
        <v>872</v>
      </c>
      <c r="F240" s="24">
        <f>COUNTIFS(Pipe!$H:$H,Originadores!$D240,Pipe!$G:$G,Originadores!F$3)</f>
        <v>1</v>
      </c>
      <c r="G240" s="24">
        <f>COUNTIFS(Pipe!$H:$H,Originadores!$D240,Pipe!$G:$G,Originadores!G$3)</f>
        <v>0</v>
      </c>
      <c r="H240" s="24">
        <f>COUNTIFS(Pipe!$H:$H,Originadores!$D240,Pipe!$G:$G,Originadores!H$3)</f>
        <v>0</v>
      </c>
    </row>
    <row r="241" spans="3:8">
      <c r="C241" s="24">
        <f t="shared" si="3"/>
        <v>238</v>
      </c>
      <c r="D241" t="s">
        <v>3137</v>
      </c>
      <c r="E241" t="s">
        <v>1252</v>
      </c>
      <c r="F241" s="24">
        <f>COUNTIFS(Pipe!$H:$H,Originadores!$D241,Pipe!$G:$G,Originadores!F$3)</f>
        <v>0</v>
      </c>
      <c r="G241" s="24">
        <f>COUNTIFS(Pipe!$H:$H,Originadores!$D241,Pipe!$G:$G,Originadores!G$3)</f>
        <v>0</v>
      </c>
      <c r="H241" s="24">
        <f>COUNTIFS(Pipe!$H:$H,Originadores!$D241,Pipe!$G:$G,Originadores!H$3)</f>
        <v>2</v>
      </c>
    </row>
    <row r="242" spans="3:8">
      <c r="C242" s="24">
        <f t="shared" si="3"/>
        <v>239</v>
      </c>
      <c r="D242" t="s">
        <v>1464</v>
      </c>
      <c r="E242" t="s">
        <v>226</v>
      </c>
      <c r="F242" s="24">
        <f>COUNTIFS(Pipe!$H:$H,Originadores!$D242,Pipe!$G:$G,Originadores!F$3)</f>
        <v>0</v>
      </c>
      <c r="G242" s="24">
        <f>COUNTIFS(Pipe!$H:$H,Originadores!$D242,Pipe!$G:$G,Originadores!G$3)</f>
        <v>3</v>
      </c>
      <c r="H242" s="24">
        <f>COUNTIFS(Pipe!$H:$H,Originadores!$D242,Pipe!$G:$G,Originadores!H$3)</f>
        <v>0</v>
      </c>
    </row>
    <row r="243" spans="3:8">
      <c r="C243" s="24">
        <f t="shared" si="3"/>
        <v>240</v>
      </c>
      <c r="D243" t="s">
        <v>724</v>
      </c>
      <c r="E243" t="s">
        <v>130</v>
      </c>
      <c r="F243" s="24">
        <f>COUNTIFS(Pipe!$H:$H,Originadores!$D243,Pipe!$G:$G,Originadores!F$3)</f>
        <v>1</v>
      </c>
      <c r="G243" s="24">
        <f>COUNTIFS(Pipe!$H:$H,Originadores!$D243,Pipe!$G:$G,Originadores!G$3)</f>
        <v>0</v>
      </c>
      <c r="H243" s="24">
        <f>COUNTIFS(Pipe!$H:$H,Originadores!$D243,Pipe!$G:$G,Originadores!H$3)</f>
        <v>0</v>
      </c>
    </row>
    <row r="244" spans="3:8">
      <c r="C244" s="24">
        <f t="shared" si="3"/>
        <v>241</v>
      </c>
      <c r="D244" t="s">
        <v>804</v>
      </c>
      <c r="E244" t="s">
        <v>802</v>
      </c>
      <c r="F244" s="24">
        <f>COUNTIFS(Pipe!$H:$H,Originadores!$D244,Pipe!$G:$G,Originadores!F$3)</f>
        <v>0</v>
      </c>
      <c r="G244" s="24">
        <f>COUNTIFS(Pipe!$H:$H,Originadores!$D244,Pipe!$G:$G,Originadores!G$3)</f>
        <v>0</v>
      </c>
      <c r="H244" s="24">
        <f>COUNTIFS(Pipe!$H:$H,Originadores!$D244,Pipe!$G:$G,Originadores!H$3)</f>
        <v>0</v>
      </c>
    </row>
    <row r="245" spans="3:8">
      <c r="C245" s="24">
        <f t="shared" si="3"/>
        <v>242</v>
      </c>
      <c r="D245" t="s">
        <v>959</v>
      </c>
      <c r="E245" t="s">
        <v>130</v>
      </c>
      <c r="F245" s="24">
        <f>COUNTIFS(Pipe!$H:$H,Originadores!$D245,Pipe!$G:$G,Originadores!F$3)</f>
        <v>1</v>
      </c>
      <c r="G245" s="24">
        <f>COUNTIFS(Pipe!$H:$H,Originadores!$D245,Pipe!$G:$G,Originadores!G$3)</f>
        <v>0</v>
      </c>
      <c r="H245" s="24">
        <f>COUNTIFS(Pipe!$H:$H,Originadores!$D245,Pipe!$G:$G,Originadores!H$3)</f>
        <v>1</v>
      </c>
    </row>
    <row r="246" spans="3:8">
      <c r="C246" s="24">
        <f t="shared" si="3"/>
        <v>243</v>
      </c>
      <c r="D246" t="s">
        <v>144</v>
      </c>
      <c r="E246" t="s">
        <v>130</v>
      </c>
      <c r="F246" s="24">
        <f>COUNTIFS(Pipe!$H:$H,Originadores!$D246,Pipe!$G:$G,Originadores!F$3)</f>
        <v>2</v>
      </c>
      <c r="G246" s="24">
        <f>COUNTIFS(Pipe!$H:$H,Originadores!$D246,Pipe!$G:$G,Originadores!G$3)</f>
        <v>1</v>
      </c>
      <c r="H246" s="24">
        <f>COUNTIFS(Pipe!$H:$H,Originadores!$D246,Pipe!$G:$G,Originadores!H$3)</f>
        <v>0</v>
      </c>
    </row>
    <row r="247" spans="3:8">
      <c r="C247" s="24">
        <f t="shared" si="3"/>
        <v>244</v>
      </c>
      <c r="D247" t="s">
        <v>2459</v>
      </c>
      <c r="E247" t="s">
        <v>1252</v>
      </c>
      <c r="F247" s="24">
        <f>COUNTIFS(Pipe!$H:$H,Originadores!$D247,Pipe!$G:$G,Originadores!F$3)</f>
        <v>0</v>
      </c>
      <c r="G247" s="24">
        <f>COUNTIFS(Pipe!$H:$H,Originadores!$D247,Pipe!$G:$G,Originadores!G$3)</f>
        <v>2</v>
      </c>
      <c r="H247" s="24">
        <f>COUNTIFS(Pipe!$H:$H,Originadores!$D247,Pipe!$G:$G,Originadores!H$3)</f>
        <v>1</v>
      </c>
    </row>
    <row r="248" spans="3:8">
      <c r="C248" s="24">
        <f t="shared" si="3"/>
        <v>245</v>
      </c>
      <c r="D248" t="s">
        <v>608</v>
      </c>
      <c r="E248" t="s">
        <v>226</v>
      </c>
      <c r="F248" s="24">
        <f>COUNTIFS(Pipe!$H:$H,Originadores!$D248,Pipe!$G:$G,Originadores!F$3)</f>
        <v>9</v>
      </c>
      <c r="G248" s="24">
        <f>COUNTIFS(Pipe!$H:$H,Originadores!$D248,Pipe!$G:$G,Originadores!G$3)</f>
        <v>4</v>
      </c>
      <c r="H248" s="24">
        <f>COUNTIFS(Pipe!$H:$H,Originadores!$D248,Pipe!$G:$G,Originadores!H$3)</f>
        <v>0</v>
      </c>
    </row>
    <row r="249" spans="3:8">
      <c r="C249" s="24">
        <f t="shared" si="3"/>
        <v>246</v>
      </c>
      <c r="D249" t="s">
        <v>2204</v>
      </c>
      <c r="E249" t="s">
        <v>130</v>
      </c>
      <c r="F249" s="24">
        <f>COUNTIFS(Pipe!$H:$H,Originadores!$D249,Pipe!$G:$G,Originadores!F$3)</f>
        <v>0</v>
      </c>
      <c r="G249" s="24">
        <f>COUNTIFS(Pipe!$H:$H,Originadores!$D249,Pipe!$G:$G,Originadores!G$3)</f>
        <v>1</v>
      </c>
      <c r="H249" s="24">
        <f>COUNTIFS(Pipe!$H:$H,Originadores!$D249,Pipe!$G:$G,Originadores!H$3)</f>
        <v>0</v>
      </c>
    </row>
    <row r="250" spans="3:8">
      <c r="C250" s="24">
        <f t="shared" si="3"/>
        <v>247</v>
      </c>
      <c r="D250" t="s">
        <v>1211</v>
      </c>
      <c r="E250" t="s">
        <v>403</v>
      </c>
      <c r="F250" s="24">
        <f>COUNTIFS(Pipe!$H:$H,Originadores!$D250,Pipe!$G:$G,Originadores!F$3)</f>
        <v>0</v>
      </c>
      <c r="G250" s="24">
        <f>COUNTIFS(Pipe!$H:$H,Originadores!$D250,Pipe!$G:$G,Originadores!G$3)</f>
        <v>3</v>
      </c>
      <c r="H250" s="24">
        <f>COUNTIFS(Pipe!$H:$H,Originadores!$D250,Pipe!$G:$G,Originadores!H$3)</f>
        <v>0</v>
      </c>
    </row>
    <row r="251" spans="3:8">
      <c r="C251" s="24">
        <f t="shared" si="3"/>
        <v>248</v>
      </c>
      <c r="D251" t="s">
        <v>2500</v>
      </c>
      <c r="E251" t="s">
        <v>130</v>
      </c>
      <c r="F251" s="24">
        <f>COUNTIFS(Pipe!$H:$H,Originadores!$D251,Pipe!$G:$G,Originadores!F$3)</f>
        <v>0</v>
      </c>
      <c r="G251" s="24">
        <f>COUNTIFS(Pipe!$H:$H,Originadores!$D251,Pipe!$G:$G,Originadores!G$3)</f>
        <v>1</v>
      </c>
      <c r="H251" s="24">
        <f>COUNTIFS(Pipe!$H:$H,Originadores!$D251,Pipe!$G:$G,Originadores!H$3)</f>
        <v>0</v>
      </c>
    </row>
    <row r="252" spans="3:8">
      <c r="C252" s="24">
        <f t="shared" si="3"/>
        <v>249</v>
      </c>
      <c r="D252" t="s">
        <v>2800</v>
      </c>
      <c r="E252" t="s">
        <v>226</v>
      </c>
      <c r="F252" s="24">
        <f>COUNTIFS(Pipe!$H:$H,Originadores!$D252,Pipe!$G:$G,Originadores!F$3)</f>
        <v>0</v>
      </c>
      <c r="G252" s="24">
        <f>COUNTIFS(Pipe!$H:$H,Originadores!$D252,Pipe!$G:$G,Originadores!G$3)</f>
        <v>0</v>
      </c>
      <c r="H252" s="24">
        <f>COUNTIFS(Pipe!$H:$H,Originadores!$D252,Pipe!$G:$G,Originadores!H$3)</f>
        <v>5</v>
      </c>
    </row>
    <row r="253" spans="3:8">
      <c r="C253" s="24">
        <f t="shared" si="3"/>
        <v>250</v>
      </c>
      <c r="D253" t="s">
        <v>737</v>
      </c>
      <c r="E253" t="s">
        <v>872</v>
      </c>
      <c r="F253" s="24">
        <f>COUNTIFS(Pipe!$H:$H,Originadores!$D253,Pipe!$G:$G,Originadores!F$3)</f>
        <v>1</v>
      </c>
      <c r="G253" s="24">
        <f>COUNTIFS(Pipe!$H:$H,Originadores!$D253,Pipe!$G:$G,Originadores!G$3)</f>
        <v>0</v>
      </c>
      <c r="H253" s="24">
        <f>COUNTIFS(Pipe!$H:$H,Originadores!$D253,Pipe!$G:$G,Originadores!H$3)</f>
        <v>0</v>
      </c>
    </row>
    <row r="254" spans="3:8">
      <c r="C254" s="24">
        <f t="shared" si="3"/>
        <v>251</v>
      </c>
      <c r="D254" t="s">
        <v>630</v>
      </c>
      <c r="E254" t="s">
        <v>403</v>
      </c>
      <c r="F254" s="24">
        <f>COUNTIFS(Pipe!$H:$H,Originadores!$D254,Pipe!$G:$G,Originadores!F$3)</f>
        <v>0</v>
      </c>
      <c r="G254" s="24">
        <f>COUNTIFS(Pipe!$H:$H,Originadores!$D254,Pipe!$G:$G,Originadores!G$3)</f>
        <v>3</v>
      </c>
      <c r="H254" s="24">
        <f>COUNTIFS(Pipe!$H:$H,Originadores!$D254,Pipe!$G:$G,Originadores!H$3)</f>
        <v>0</v>
      </c>
    </row>
    <row r="255" spans="3:8">
      <c r="C255" s="24">
        <f t="shared" si="3"/>
        <v>252</v>
      </c>
      <c r="D255" t="s">
        <v>832</v>
      </c>
      <c r="E255" t="s">
        <v>226</v>
      </c>
      <c r="F255" s="24">
        <f>COUNTIFS(Pipe!$H:$H,Originadores!$D255,Pipe!$G:$G,Originadores!F$3)</f>
        <v>1</v>
      </c>
      <c r="G255" s="24">
        <f>COUNTIFS(Pipe!$H:$H,Originadores!$D255,Pipe!$G:$G,Originadores!G$3)</f>
        <v>2</v>
      </c>
      <c r="H255" s="24">
        <f>COUNTIFS(Pipe!$H:$H,Originadores!$D255,Pipe!$G:$G,Originadores!H$3)</f>
        <v>0</v>
      </c>
    </row>
    <row r="256" spans="3:8">
      <c r="C256" s="24">
        <f t="shared" si="3"/>
        <v>253</v>
      </c>
      <c r="D256" t="s">
        <v>849</v>
      </c>
      <c r="E256" t="s">
        <v>226</v>
      </c>
      <c r="F256" s="24">
        <f>COUNTIFS(Pipe!$H:$H,Originadores!$D256,Pipe!$G:$G,Originadores!F$3)</f>
        <v>1</v>
      </c>
      <c r="G256" s="24">
        <f>COUNTIFS(Pipe!$H:$H,Originadores!$D256,Pipe!$G:$G,Originadores!G$3)</f>
        <v>0</v>
      </c>
      <c r="H256" s="24">
        <f>COUNTIFS(Pipe!$H:$H,Originadores!$D256,Pipe!$G:$G,Originadores!H$3)</f>
        <v>0</v>
      </c>
    </row>
    <row r="257" spans="3:8">
      <c r="C257" s="24">
        <f t="shared" si="3"/>
        <v>254</v>
      </c>
      <c r="D257" t="s">
        <v>1637</v>
      </c>
      <c r="E257" t="s">
        <v>226</v>
      </c>
      <c r="F257" s="24">
        <f>COUNTIFS(Pipe!$H:$H,Originadores!$D257,Pipe!$G:$G,Originadores!F$3)</f>
        <v>0</v>
      </c>
      <c r="G257" s="24">
        <f>COUNTIFS(Pipe!$H:$H,Originadores!$D257,Pipe!$G:$G,Originadores!G$3)</f>
        <v>3</v>
      </c>
      <c r="H257" s="24">
        <f>COUNTIFS(Pipe!$H:$H,Originadores!$D257,Pipe!$G:$G,Originadores!H$3)</f>
        <v>11</v>
      </c>
    </row>
    <row r="258" spans="3:8">
      <c r="C258" s="24">
        <f t="shared" si="3"/>
        <v>255</v>
      </c>
      <c r="D258" t="s">
        <v>2190</v>
      </c>
      <c r="E258" t="s">
        <v>226</v>
      </c>
      <c r="F258" s="24">
        <f>COUNTIFS(Pipe!$H:$H,Originadores!$D258,Pipe!$G:$G,Originadores!F$3)</f>
        <v>0</v>
      </c>
      <c r="G258" s="24">
        <f>COUNTIFS(Pipe!$H:$H,Originadores!$D258,Pipe!$G:$G,Originadores!G$3)</f>
        <v>1</v>
      </c>
      <c r="H258" s="24">
        <f>COUNTIFS(Pipe!$H:$H,Originadores!$D258,Pipe!$G:$G,Originadores!H$3)</f>
        <v>0</v>
      </c>
    </row>
    <row r="259" spans="3:8">
      <c r="C259" s="24">
        <f t="shared" si="3"/>
        <v>256</v>
      </c>
      <c r="D259" t="s">
        <v>446</v>
      </c>
      <c r="E259" t="s">
        <v>226</v>
      </c>
      <c r="F259" s="24">
        <f>COUNTIFS(Pipe!$H:$H,Originadores!$D259,Pipe!$G:$G,Originadores!F$3)</f>
        <v>3</v>
      </c>
      <c r="G259" s="24">
        <f>COUNTIFS(Pipe!$H:$H,Originadores!$D259,Pipe!$G:$G,Originadores!G$3)</f>
        <v>0</v>
      </c>
      <c r="H259" s="24">
        <f>COUNTIFS(Pipe!$H:$H,Originadores!$D259,Pipe!$G:$G,Originadores!H$3)</f>
        <v>0</v>
      </c>
    </row>
    <row r="260" spans="3:8">
      <c r="C260" s="24">
        <f t="shared" si="3"/>
        <v>257</v>
      </c>
      <c r="D260" t="s">
        <v>2283</v>
      </c>
      <c r="E260" t="s">
        <v>1252</v>
      </c>
      <c r="F260" s="24">
        <f>COUNTIFS(Pipe!$H:$H,Originadores!$D260,Pipe!$G:$G,Originadores!F$3)</f>
        <v>1</v>
      </c>
      <c r="G260" s="24">
        <f>COUNTIFS(Pipe!$H:$H,Originadores!$D260,Pipe!$G:$G,Originadores!G$3)</f>
        <v>2</v>
      </c>
      <c r="H260" s="24">
        <f>COUNTIFS(Pipe!$H:$H,Originadores!$D260,Pipe!$G:$G,Originadores!H$3)</f>
        <v>0</v>
      </c>
    </row>
    <row r="261" spans="3:8">
      <c r="C261" s="24">
        <f t="shared" si="3"/>
        <v>258</v>
      </c>
      <c r="D261" t="s">
        <v>2478</v>
      </c>
      <c r="E261" t="s">
        <v>802</v>
      </c>
      <c r="F261" s="24">
        <f>COUNTIFS(Pipe!$H:$H,Originadores!$D261,Pipe!$G:$G,Originadores!F$3)</f>
        <v>0</v>
      </c>
      <c r="G261" s="24">
        <f>COUNTIFS(Pipe!$H:$H,Originadores!$D261,Pipe!$G:$G,Originadores!G$3)</f>
        <v>1</v>
      </c>
      <c r="H261" s="24">
        <f>COUNTIFS(Pipe!$H:$H,Originadores!$D261,Pipe!$G:$G,Originadores!H$3)</f>
        <v>0</v>
      </c>
    </row>
    <row r="262" spans="3:8">
      <c r="C262" s="24">
        <f t="shared" si="3"/>
        <v>259</v>
      </c>
      <c r="D262" t="s">
        <v>375</v>
      </c>
      <c r="E262" t="s">
        <v>1193</v>
      </c>
      <c r="F262" s="24">
        <f>COUNTIFS(Pipe!$H:$H,Originadores!$D262,Pipe!$G:$G,Originadores!F$3)</f>
        <v>3</v>
      </c>
      <c r="G262" s="24">
        <f>COUNTIFS(Pipe!$H:$H,Originadores!$D262,Pipe!$G:$G,Originadores!G$3)</f>
        <v>1</v>
      </c>
      <c r="H262" s="24">
        <f>COUNTIFS(Pipe!$H:$H,Originadores!$D262,Pipe!$G:$G,Originadores!H$3)</f>
        <v>2</v>
      </c>
    </row>
    <row r="263" spans="3:8">
      <c r="C263" s="24">
        <f t="shared" si="3"/>
        <v>260</v>
      </c>
      <c r="D263" t="s">
        <v>1332</v>
      </c>
      <c r="E263" t="s">
        <v>226</v>
      </c>
      <c r="F263" s="24">
        <f>COUNTIFS(Pipe!$H:$H,Originadores!$D263,Pipe!$G:$G,Originadores!F$3)</f>
        <v>0</v>
      </c>
      <c r="G263" s="24">
        <f>COUNTIFS(Pipe!$H:$H,Originadores!$D263,Pipe!$G:$G,Originadores!G$3)</f>
        <v>1</v>
      </c>
      <c r="H263" s="24">
        <f>COUNTIFS(Pipe!$H:$H,Originadores!$D263,Pipe!$G:$G,Originadores!H$3)</f>
        <v>0</v>
      </c>
    </row>
    <row r="264" spans="3:8">
      <c r="C264" s="24">
        <f t="shared" si="3"/>
        <v>261</v>
      </c>
      <c r="D264" t="s">
        <v>2481</v>
      </c>
      <c r="E264" t="s">
        <v>226</v>
      </c>
      <c r="F264" s="24">
        <f>COUNTIFS(Pipe!$H:$H,Originadores!$D264,Pipe!$G:$G,Originadores!F$3)</f>
        <v>0</v>
      </c>
      <c r="G264" s="24">
        <f>COUNTIFS(Pipe!$H:$H,Originadores!$D264,Pipe!$G:$G,Originadores!G$3)</f>
        <v>1</v>
      </c>
      <c r="H264" s="24">
        <f>COUNTIFS(Pipe!$H:$H,Originadores!$D264,Pipe!$G:$G,Originadores!H$3)</f>
        <v>0</v>
      </c>
    </row>
    <row r="265" spans="3:8">
      <c r="C265" s="24">
        <f t="shared" si="3"/>
        <v>262</v>
      </c>
      <c r="D265" t="s">
        <v>2399</v>
      </c>
      <c r="E265" t="s">
        <v>130</v>
      </c>
      <c r="F265" s="24">
        <f>COUNTIFS(Pipe!$H:$H,Originadores!$D265,Pipe!$G:$G,Originadores!F$3)</f>
        <v>0</v>
      </c>
      <c r="G265" s="24">
        <f>COUNTIFS(Pipe!$H:$H,Originadores!$D265,Pipe!$G:$G,Originadores!G$3)</f>
        <v>1</v>
      </c>
      <c r="H265" s="24">
        <f>COUNTIFS(Pipe!$H:$H,Originadores!$D265,Pipe!$G:$G,Originadores!H$3)</f>
        <v>0</v>
      </c>
    </row>
    <row r="266" spans="3:8">
      <c r="C266" s="24">
        <f t="shared" si="3"/>
        <v>263</v>
      </c>
      <c r="D266" t="s">
        <v>2868</v>
      </c>
      <c r="E266" t="s">
        <v>1261</v>
      </c>
      <c r="F266" s="24">
        <f>COUNTIFS(Pipe!$H:$H,Originadores!$D266,Pipe!$G:$G,Originadores!F$3)</f>
        <v>0</v>
      </c>
      <c r="G266" s="24">
        <f>COUNTIFS(Pipe!$H:$H,Originadores!$D266,Pipe!$G:$G,Originadores!G$3)</f>
        <v>0</v>
      </c>
      <c r="H266" s="24">
        <f>COUNTIFS(Pipe!$H:$H,Originadores!$D266,Pipe!$G:$G,Originadores!H$3)</f>
        <v>3</v>
      </c>
    </row>
    <row r="267" spans="3:8">
      <c r="C267" s="24">
        <f t="shared" si="3"/>
        <v>264</v>
      </c>
      <c r="D267" t="s">
        <v>200</v>
      </c>
      <c r="E267" t="s">
        <v>130</v>
      </c>
      <c r="F267" s="24">
        <f>COUNTIFS(Pipe!$H:$H,Originadores!$D267,Pipe!$G:$G,Originadores!F$3)</f>
        <v>1</v>
      </c>
      <c r="G267" s="24">
        <f>COUNTIFS(Pipe!$H:$H,Originadores!$D267,Pipe!$G:$G,Originadores!G$3)</f>
        <v>2</v>
      </c>
      <c r="H267" s="24">
        <f>COUNTIFS(Pipe!$H:$H,Originadores!$D267,Pipe!$G:$G,Originadores!H$3)</f>
        <v>1</v>
      </c>
    </row>
    <row r="268" spans="3:8">
      <c r="C268" s="24">
        <f t="shared" si="3"/>
        <v>265</v>
      </c>
      <c r="D268" t="s">
        <v>2950</v>
      </c>
      <c r="E268" t="s">
        <v>226</v>
      </c>
      <c r="F268" s="24">
        <f>COUNTIFS(Pipe!$H:$H,Originadores!$D268,Pipe!$G:$G,Originadores!F$3)</f>
        <v>0</v>
      </c>
      <c r="G268" s="24">
        <f>COUNTIFS(Pipe!$H:$H,Originadores!$D268,Pipe!$G:$G,Originadores!G$3)</f>
        <v>0</v>
      </c>
      <c r="H268" s="24">
        <f>COUNTIFS(Pipe!$H:$H,Originadores!$D268,Pipe!$G:$G,Originadores!H$3)</f>
        <v>1</v>
      </c>
    </row>
    <row r="269" spans="3:8">
      <c r="C269" s="24">
        <f t="shared" si="3"/>
        <v>266</v>
      </c>
      <c r="D269" t="s">
        <v>728</v>
      </c>
      <c r="E269" t="s">
        <v>1261</v>
      </c>
      <c r="F269" s="24">
        <f>COUNTIFS(Pipe!$H:$H,Originadores!$D269,Pipe!$G:$G,Originadores!F$3)</f>
        <v>1</v>
      </c>
      <c r="G269" s="24">
        <f>COUNTIFS(Pipe!$H:$H,Originadores!$D269,Pipe!$G:$G,Originadores!G$3)</f>
        <v>1</v>
      </c>
      <c r="H269" s="24">
        <f>COUNTIFS(Pipe!$H:$H,Originadores!$D269,Pipe!$G:$G,Originadores!H$3)</f>
        <v>0</v>
      </c>
    </row>
    <row r="270" spans="3:8">
      <c r="C270" s="24">
        <f t="shared" si="3"/>
        <v>267</v>
      </c>
      <c r="D270" t="s">
        <v>1573</v>
      </c>
      <c r="E270" t="s">
        <v>872</v>
      </c>
      <c r="F270" s="24">
        <f>COUNTIFS(Pipe!$H:$H,Originadores!$D270,Pipe!$G:$G,Originadores!F$3)</f>
        <v>0</v>
      </c>
      <c r="G270" s="24">
        <f>COUNTIFS(Pipe!$H:$H,Originadores!$D270,Pipe!$G:$G,Originadores!G$3)</f>
        <v>1</v>
      </c>
      <c r="H270" s="24">
        <f>COUNTIFS(Pipe!$H:$H,Originadores!$D270,Pipe!$G:$G,Originadores!H$3)</f>
        <v>0</v>
      </c>
    </row>
    <row r="271" spans="3:8">
      <c r="C271" s="24">
        <f t="shared" si="3"/>
        <v>268</v>
      </c>
      <c r="D271" t="s">
        <v>1079</v>
      </c>
      <c r="E271" t="s">
        <v>403</v>
      </c>
      <c r="F271" s="24">
        <f>COUNTIFS(Pipe!$H:$H,Originadores!$D271,Pipe!$G:$G,Originadores!F$3)</f>
        <v>0</v>
      </c>
      <c r="G271" s="24">
        <f>COUNTIFS(Pipe!$H:$H,Originadores!$D271,Pipe!$G:$G,Originadores!G$3)</f>
        <v>6</v>
      </c>
      <c r="H271" s="24">
        <f>COUNTIFS(Pipe!$H:$H,Originadores!$D271,Pipe!$G:$G,Originadores!H$3)</f>
        <v>0</v>
      </c>
    </row>
    <row r="272" spans="3:8">
      <c r="C272" s="24">
        <f t="shared" si="3"/>
        <v>269</v>
      </c>
      <c r="D272" t="s">
        <v>2337</v>
      </c>
      <c r="E272" t="s">
        <v>1261</v>
      </c>
      <c r="F272" s="24">
        <f>COUNTIFS(Pipe!$H:$H,Originadores!$D272,Pipe!$G:$G,Originadores!F$3)</f>
        <v>0</v>
      </c>
      <c r="G272" s="24">
        <f>COUNTIFS(Pipe!$H:$H,Originadores!$D272,Pipe!$G:$G,Originadores!G$3)</f>
        <v>1</v>
      </c>
      <c r="H272" s="24">
        <f>COUNTIFS(Pipe!$H:$H,Originadores!$D272,Pipe!$G:$G,Originadores!H$3)</f>
        <v>0</v>
      </c>
    </row>
    <row r="273" spans="3:8">
      <c r="C273" s="24">
        <f t="shared" si="3"/>
        <v>270</v>
      </c>
      <c r="D273" t="s">
        <v>2573</v>
      </c>
      <c r="E273" t="s">
        <v>1261</v>
      </c>
      <c r="F273" s="24">
        <f>COUNTIFS(Pipe!$H:$H,Originadores!$D273,Pipe!$G:$G,Originadores!F$3)</f>
        <v>2</v>
      </c>
      <c r="G273" s="24">
        <f>COUNTIFS(Pipe!$H:$H,Originadores!$D273,Pipe!$G:$G,Originadores!G$3)</f>
        <v>2</v>
      </c>
      <c r="H273" s="24">
        <f>COUNTIFS(Pipe!$H:$H,Originadores!$D273,Pipe!$G:$G,Originadores!H$3)</f>
        <v>2</v>
      </c>
    </row>
    <row r="274" spans="3:8">
      <c r="C274" s="24">
        <f t="shared" si="3"/>
        <v>271</v>
      </c>
      <c r="D274" t="s">
        <v>590</v>
      </c>
      <c r="E274" t="s">
        <v>1261</v>
      </c>
      <c r="F274" s="24">
        <f>COUNTIFS(Pipe!$H:$H,Originadores!$D274,Pipe!$G:$G,Originadores!F$3)</f>
        <v>2</v>
      </c>
      <c r="G274" s="24">
        <f>COUNTIFS(Pipe!$H:$H,Originadores!$D274,Pipe!$G:$G,Originadores!G$3)</f>
        <v>0</v>
      </c>
      <c r="H274" s="24">
        <f>COUNTIFS(Pipe!$H:$H,Originadores!$D274,Pipe!$G:$G,Originadores!H$3)</f>
        <v>0</v>
      </c>
    </row>
    <row r="275" spans="3:8">
      <c r="C275" s="24">
        <f t="shared" si="3"/>
        <v>272</v>
      </c>
      <c r="D275" t="s">
        <v>2719</v>
      </c>
      <c r="E275" t="s">
        <v>226</v>
      </c>
      <c r="F275" s="24">
        <f>COUNTIFS(Pipe!$H:$H,Originadores!$D275,Pipe!$G:$G,Originadores!F$3)</f>
        <v>0</v>
      </c>
      <c r="G275" s="24">
        <f>COUNTIFS(Pipe!$H:$H,Originadores!$D275,Pipe!$G:$G,Originadores!G$3)</f>
        <v>0</v>
      </c>
      <c r="H275" s="24">
        <f>COUNTIFS(Pipe!$H:$H,Originadores!$D275,Pipe!$G:$G,Originadores!H$3)</f>
        <v>1</v>
      </c>
    </row>
    <row r="276" spans="3:8">
      <c r="C276" s="24">
        <f t="shared" si="3"/>
        <v>273</v>
      </c>
      <c r="D276" t="s">
        <v>364</v>
      </c>
      <c r="E276" t="s">
        <v>802</v>
      </c>
      <c r="F276" s="24">
        <f>COUNTIFS(Pipe!$H:$H,Originadores!$D276,Pipe!$G:$G,Originadores!F$3)</f>
        <v>1</v>
      </c>
      <c r="G276" s="24">
        <f>COUNTIFS(Pipe!$H:$H,Originadores!$D276,Pipe!$G:$G,Originadores!G$3)</f>
        <v>0</v>
      </c>
      <c r="H276" s="24">
        <f>COUNTIFS(Pipe!$H:$H,Originadores!$D276,Pipe!$G:$G,Originadores!H$3)</f>
        <v>0</v>
      </c>
    </row>
    <row r="277" spans="3:8">
      <c r="C277" s="24">
        <f t="shared" si="3"/>
        <v>274</v>
      </c>
      <c r="D277" t="s">
        <v>1248</v>
      </c>
      <c r="E277" t="s">
        <v>226</v>
      </c>
      <c r="F277" s="24">
        <f>COUNTIFS(Pipe!$H:$H,Originadores!$D277,Pipe!$G:$G,Originadores!F$3)</f>
        <v>0</v>
      </c>
      <c r="G277" s="24">
        <f>COUNTIFS(Pipe!$H:$H,Originadores!$D277,Pipe!$G:$G,Originadores!G$3)</f>
        <v>2</v>
      </c>
      <c r="H277" s="24">
        <f>COUNTIFS(Pipe!$H:$H,Originadores!$D277,Pipe!$G:$G,Originadores!H$3)</f>
        <v>0</v>
      </c>
    </row>
    <row r="278" spans="3:8">
      <c r="C278" s="24">
        <f t="shared" si="3"/>
        <v>275</v>
      </c>
      <c r="D278" t="s">
        <v>22</v>
      </c>
      <c r="E278" t="s">
        <v>226</v>
      </c>
      <c r="F278" s="24">
        <f>COUNTIFS(Pipe!$H:$H,Originadores!$D278,Pipe!$G:$G,Originadores!F$3)</f>
        <v>3</v>
      </c>
      <c r="G278" s="24">
        <f>COUNTIFS(Pipe!$H:$H,Originadores!$D278,Pipe!$G:$G,Originadores!G$3)</f>
        <v>0</v>
      </c>
      <c r="H278" s="24">
        <f>COUNTIFS(Pipe!$H:$H,Originadores!$D278,Pipe!$G:$G,Originadores!H$3)</f>
        <v>0</v>
      </c>
    </row>
    <row r="279" spans="3:8">
      <c r="C279" s="24">
        <f t="shared" si="3"/>
        <v>276</v>
      </c>
      <c r="D279" t="s">
        <v>2245</v>
      </c>
      <c r="E279" t="s">
        <v>226</v>
      </c>
      <c r="F279" s="24">
        <f>COUNTIFS(Pipe!$H:$H,Originadores!$D279,Pipe!$G:$G,Originadores!F$3)</f>
        <v>0</v>
      </c>
      <c r="G279" s="24">
        <f>COUNTIFS(Pipe!$H:$H,Originadores!$D279,Pipe!$G:$G,Originadores!G$3)</f>
        <v>2</v>
      </c>
      <c r="H279" s="24">
        <f>COUNTIFS(Pipe!$H:$H,Originadores!$D279,Pipe!$G:$G,Originadores!H$3)</f>
        <v>0</v>
      </c>
    </row>
    <row r="280" spans="3:8">
      <c r="C280" s="24">
        <f t="shared" si="3"/>
        <v>277</v>
      </c>
      <c r="D280" t="s">
        <v>1535</v>
      </c>
      <c r="E280" t="s">
        <v>130</v>
      </c>
      <c r="F280" s="24">
        <f>COUNTIFS(Pipe!$H:$H,Originadores!$D280,Pipe!$G:$G,Originadores!F$3)</f>
        <v>1</v>
      </c>
      <c r="G280" s="24">
        <f>COUNTIFS(Pipe!$H:$H,Originadores!$D280,Pipe!$G:$G,Originadores!G$3)</f>
        <v>2</v>
      </c>
      <c r="H280" s="24">
        <f>COUNTIFS(Pipe!$H:$H,Originadores!$D280,Pipe!$G:$G,Originadores!H$3)</f>
        <v>0</v>
      </c>
    </row>
    <row r="281" spans="3:8">
      <c r="C281" s="24">
        <f t="shared" si="3"/>
        <v>278</v>
      </c>
      <c r="D281" t="s">
        <v>2295</v>
      </c>
      <c r="E281" t="s">
        <v>226</v>
      </c>
      <c r="F281" s="24">
        <f>COUNTIFS(Pipe!$H:$H,Originadores!$D281,Pipe!$G:$G,Originadores!F$3)</f>
        <v>0</v>
      </c>
      <c r="G281" s="24">
        <f>COUNTIFS(Pipe!$H:$H,Originadores!$D281,Pipe!$G:$G,Originadores!G$3)</f>
        <v>1</v>
      </c>
      <c r="H281" s="24">
        <f>COUNTIFS(Pipe!$H:$H,Originadores!$D281,Pipe!$G:$G,Originadores!H$3)</f>
        <v>0</v>
      </c>
    </row>
    <row r="282" spans="3:8">
      <c r="C282" s="24">
        <f t="shared" si="3"/>
        <v>279</v>
      </c>
      <c r="D282" t="s">
        <v>265</v>
      </c>
      <c r="E282" t="s">
        <v>130</v>
      </c>
      <c r="F282" s="24">
        <f>COUNTIFS(Pipe!$H:$H,Originadores!$D282,Pipe!$G:$G,Originadores!F$3)</f>
        <v>3</v>
      </c>
      <c r="G282" s="24">
        <f>COUNTIFS(Pipe!$H:$H,Originadores!$D282,Pipe!$G:$G,Originadores!G$3)</f>
        <v>0</v>
      </c>
      <c r="H282" s="24">
        <f>COUNTIFS(Pipe!$H:$H,Originadores!$D282,Pipe!$G:$G,Originadores!H$3)</f>
        <v>0</v>
      </c>
    </row>
    <row r="283" spans="3:8">
      <c r="C283" s="24">
        <f t="shared" si="3"/>
        <v>280</v>
      </c>
      <c r="D283" t="s">
        <v>789</v>
      </c>
      <c r="E283" t="s">
        <v>130</v>
      </c>
      <c r="F283" s="24">
        <f>COUNTIFS(Pipe!$H:$H,Originadores!$D283,Pipe!$G:$G,Originadores!F$3)</f>
        <v>2</v>
      </c>
      <c r="G283" s="24">
        <f>COUNTIFS(Pipe!$H:$H,Originadores!$D283,Pipe!$G:$G,Originadores!G$3)</f>
        <v>0</v>
      </c>
      <c r="H283" s="24">
        <f>COUNTIFS(Pipe!$H:$H,Originadores!$D283,Pipe!$G:$G,Originadores!H$3)</f>
        <v>0</v>
      </c>
    </row>
    <row r="284" spans="3:8">
      <c r="C284" s="24">
        <f t="shared" si="3"/>
        <v>281</v>
      </c>
      <c r="D284" t="s">
        <v>1595</v>
      </c>
      <c r="E284" t="s">
        <v>226</v>
      </c>
      <c r="F284" s="24">
        <f>COUNTIFS(Pipe!$H:$H,Originadores!$D284,Pipe!$G:$G,Originadores!F$3)</f>
        <v>0</v>
      </c>
      <c r="G284" s="24">
        <f>COUNTIFS(Pipe!$H:$H,Originadores!$D284,Pipe!$G:$G,Originadores!G$3)</f>
        <v>4</v>
      </c>
      <c r="H284" s="24">
        <f>COUNTIFS(Pipe!$H:$H,Originadores!$D284,Pipe!$G:$G,Originadores!H$3)</f>
        <v>0</v>
      </c>
    </row>
    <row r="285" spans="3:8">
      <c r="C285" s="24">
        <f t="shared" si="3"/>
        <v>282</v>
      </c>
      <c r="D285" t="s">
        <v>1489</v>
      </c>
      <c r="E285" t="s">
        <v>1261</v>
      </c>
      <c r="F285" s="24">
        <f>COUNTIFS(Pipe!$H:$H,Originadores!$D285,Pipe!$G:$G,Originadores!F$3)</f>
        <v>0</v>
      </c>
      <c r="G285" s="24">
        <f>COUNTIFS(Pipe!$H:$H,Originadores!$D285,Pipe!$G:$G,Originadores!G$3)</f>
        <v>1</v>
      </c>
      <c r="H285" s="24">
        <f>COUNTIFS(Pipe!$H:$H,Originadores!$D285,Pipe!$G:$G,Originadores!H$3)</f>
        <v>0</v>
      </c>
    </row>
    <row r="286" spans="3:8">
      <c r="C286" s="24">
        <f t="shared" si="3"/>
        <v>283</v>
      </c>
      <c r="D286" t="s">
        <v>290</v>
      </c>
      <c r="E286" t="s">
        <v>130</v>
      </c>
      <c r="F286" s="24">
        <f>COUNTIFS(Pipe!$H:$H,Originadores!$D286,Pipe!$G:$G,Originadores!F$3)</f>
        <v>1</v>
      </c>
      <c r="G286" s="24">
        <f>COUNTIFS(Pipe!$H:$H,Originadores!$D286,Pipe!$G:$G,Originadores!G$3)</f>
        <v>0</v>
      </c>
      <c r="H286" s="24">
        <f>COUNTIFS(Pipe!$H:$H,Originadores!$D286,Pipe!$G:$G,Originadores!H$3)</f>
        <v>0</v>
      </c>
    </row>
    <row r="287" spans="3:8">
      <c r="C287" s="24">
        <f t="shared" si="3"/>
        <v>284</v>
      </c>
      <c r="D287" t="s">
        <v>2072</v>
      </c>
      <c r="E287" t="s">
        <v>130</v>
      </c>
      <c r="F287" s="24">
        <f>COUNTIFS(Pipe!$H:$H,Originadores!$D287,Pipe!$G:$G,Originadores!F$3)</f>
        <v>0</v>
      </c>
      <c r="G287" s="24">
        <f>COUNTIFS(Pipe!$H:$H,Originadores!$D287,Pipe!$G:$G,Originadores!G$3)</f>
        <v>2</v>
      </c>
      <c r="H287" s="24">
        <f>COUNTIFS(Pipe!$H:$H,Originadores!$D287,Pipe!$G:$G,Originadores!H$3)</f>
        <v>0</v>
      </c>
    </row>
    <row r="288" spans="3:8">
      <c r="C288" s="24">
        <f t="shared" si="3"/>
        <v>285</v>
      </c>
      <c r="D288" t="s">
        <v>2692</v>
      </c>
      <c r="E288" t="s">
        <v>130</v>
      </c>
      <c r="F288" s="24">
        <f>COUNTIFS(Pipe!$H:$H,Originadores!$D288,Pipe!$G:$G,Originadores!F$3)</f>
        <v>0</v>
      </c>
      <c r="G288" s="24">
        <f>COUNTIFS(Pipe!$H:$H,Originadores!$D288,Pipe!$G:$G,Originadores!G$3)</f>
        <v>0</v>
      </c>
      <c r="H288" s="24">
        <f>COUNTIFS(Pipe!$H:$H,Originadores!$D288,Pipe!$G:$G,Originadores!H$3)</f>
        <v>1</v>
      </c>
    </row>
    <row r="289" spans="3:8">
      <c r="C289" s="24">
        <f t="shared" si="3"/>
        <v>286</v>
      </c>
      <c r="D289" t="s">
        <v>2488</v>
      </c>
      <c r="E289" t="s">
        <v>130</v>
      </c>
      <c r="F289" s="24">
        <f>COUNTIFS(Pipe!$H:$H,Originadores!$D289,Pipe!$G:$G,Originadores!F$3)</f>
        <v>0</v>
      </c>
      <c r="G289" s="24">
        <f>COUNTIFS(Pipe!$H:$H,Originadores!$D289,Pipe!$G:$G,Originadores!G$3)</f>
        <v>1</v>
      </c>
      <c r="H289" s="24">
        <f>COUNTIFS(Pipe!$H:$H,Originadores!$D289,Pipe!$G:$G,Originadores!H$3)</f>
        <v>0</v>
      </c>
    </row>
    <row r="290" spans="3:8">
      <c r="C290" s="24">
        <f t="shared" ref="C290:C307" si="4">+C289+1</f>
        <v>287</v>
      </c>
      <c r="D290" t="s">
        <v>2907</v>
      </c>
      <c r="E290" t="s">
        <v>802</v>
      </c>
      <c r="F290" s="24">
        <f>COUNTIFS(Pipe!$H:$H,Originadores!$D290,Pipe!$G:$G,Originadores!F$3)</f>
        <v>0</v>
      </c>
      <c r="G290" s="24">
        <f>COUNTIFS(Pipe!$H:$H,Originadores!$D290,Pipe!$G:$G,Originadores!G$3)</f>
        <v>0</v>
      </c>
      <c r="H290" s="24">
        <f>COUNTIFS(Pipe!$H:$H,Originadores!$D290,Pipe!$G:$G,Originadores!H$3)</f>
        <v>1</v>
      </c>
    </row>
    <row r="291" spans="3:8">
      <c r="C291" s="24">
        <f t="shared" si="4"/>
        <v>288</v>
      </c>
      <c r="D291" t="s">
        <v>2696</v>
      </c>
      <c r="E291" t="s">
        <v>1261</v>
      </c>
      <c r="F291" s="24">
        <f>COUNTIFS(Pipe!$H:$H,Originadores!$D291,Pipe!$G:$G,Originadores!F$3)</f>
        <v>0</v>
      </c>
      <c r="G291" s="24">
        <f>COUNTIFS(Pipe!$H:$H,Originadores!$D291,Pipe!$G:$G,Originadores!G$3)</f>
        <v>0</v>
      </c>
      <c r="H291" s="24">
        <f>COUNTIFS(Pipe!$H:$H,Originadores!$D291,Pipe!$G:$G,Originadores!H$3)</f>
        <v>1</v>
      </c>
    </row>
    <row r="292" spans="3:8">
      <c r="C292" s="24">
        <f t="shared" si="4"/>
        <v>289</v>
      </c>
      <c r="D292" t="s">
        <v>2312</v>
      </c>
      <c r="E292" t="s">
        <v>1261</v>
      </c>
      <c r="F292" s="24">
        <f>COUNTIFS(Pipe!$H:$H,Originadores!$D292,Pipe!$G:$G,Originadores!F$3)</f>
        <v>0</v>
      </c>
      <c r="G292" s="24">
        <f>COUNTIFS(Pipe!$H:$H,Originadores!$D292,Pipe!$G:$G,Originadores!G$3)</f>
        <v>1</v>
      </c>
      <c r="H292" s="24">
        <f>COUNTIFS(Pipe!$H:$H,Originadores!$D292,Pipe!$G:$G,Originadores!H$3)</f>
        <v>0</v>
      </c>
    </row>
    <row r="293" spans="3:8">
      <c r="C293" s="24">
        <f t="shared" si="4"/>
        <v>290</v>
      </c>
      <c r="D293" t="s">
        <v>344</v>
      </c>
      <c r="E293" t="s">
        <v>872</v>
      </c>
      <c r="F293" s="24">
        <f>COUNTIFS(Pipe!$H:$H,Originadores!$D293,Pipe!$G:$G,Originadores!F$3)</f>
        <v>1</v>
      </c>
      <c r="G293" s="24">
        <f>COUNTIFS(Pipe!$H:$H,Originadores!$D293,Pipe!$G:$G,Originadores!G$3)</f>
        <v>1</v>
      </c>
      <c r="H293" s="24">
        <f>COUNTIFS(Pipe!$H:$H,Originadores!$D293,Pipe!$G:$G,Originadores!H$3)</f>
        <v>2</v>
      </c>
    </row>
    <row r="294" spans="3:8">
      <c r="C294" s="24">
        <f t="shared" si="4"/>
        <v>291</v>
      </c>
      <c r="D294" t="s">
        <v>1409</v>
      </c>
      <c r="E294" t="s">
        <v>130</v>
      </c>
      <c r="F294" s="24">
        <f>COUNTIFS(Pipe!$H:$H,Originadores!$D294,Pipe!$G:$G,Originadores!F$3)</f>
        <v>0</v>
      </c>
      <c r="G294" s="24">
        <f>COUNTIFS(Pipe!$H:$H,Originadores!$D294,Pipe!$G:$G,Originadores!G$3)</f>
        <v>2</v>
      </c>
      <c r="H294" s="24">
        <f>COUNTIFS(Pipe!$H:$H,Originadores!$D294,Pipe!$G:$G,Originadores!H$3)</f>
        <v>1</v>
      </c>
    </row>
    <row r="295" spans="3:8">
      <c r="C295" s="24">
        <f t="shared" si="4"/>
        <v>292</v>
      </c>
      <c r="D295" t="s">
        <v>139</v>
      </c>
      <c r="E295" t="s">
        <v>872</v>
      </c>
      <c r="F295" s="24">
        <f>COUNTIFS(Pipe!$H:$H,Originadores!$D295,Pipe!$G:$G,Originadores!F$3)</f>
        <v>1</v>
      </c>
      <c r="G295" s="24">
        <f>COUNTIFS(Pipe!$H:$H,Originadores!$D295,Pipe!$G:$G,Originadores!G$3)</f>
        <v>0</v>
      </c>
      <c r="H295" s="24">
        <f>COUNTIFS(Pipe!$H:$H,Originadores!$D295,Pipe!$G:$G,Originadores!H$3)</f>
        <v>0</v>
      </c>
    </row>
    <row r="296" spans="3:8">
      <c r="C296" s="24">
        <f t="shared" si="4"/>
        <v>293</v>
      </c>
      <c r="D296" t="s">
        <v>2279</v>
      </c>
      <c r="E296" t="s">
        <v>1252</v>
      </c>
      <c r="F296" s="24">
        <f>COUNTIFS(Pipe!$H:$H,Originadores!$D296,Pipe!$G:$G,Originadores!F$3)</f>
        <v>0</v>
      </c>
      <c r="G296" s="24">
        <f>COUNTIFS(Pipe!$H:$H,Originadores!$D296,Pipe!$G:$G,Originadores!G$3)</f>
        <v>1</v>
      </c>
      <c r="H296" s="24">
        <f>COUNTIFS(Pipe!$H:$H,Originadores!$D296,Pipe!$G:$G,Originadores!H$3)</f>
        <v>0</v>
      </c>
    </row>
    <row r="297" spans="3:8">
      <c r="C297" s="24">
        <f t="shared" si="4"/>
        <v>294</v>
      </c>
      <c r="D297" t="s">
        <v>158</v>
      </c>
      <c r="E297" t="s">
        <v>802</v>
      </c>
      <c r="F297" s="24">
        <f>COUNTIFS(Pipe!$H:$H,Originadores!$D297,Pipe!$G:$G,Originadores!F$3)</f>
        <v>1</v>
      </c>
      <c r="G297" s="24">
        <f>COUNTIFS(Pipe!$H:$H,Originadores!$D297,Pipe!$G:$G,Originadores!G$3)</f>
        <v>0</v>
      </c>
      <c r="H297" s="24">
        <f>COUNTIFS(Pipe!$H:$H,Originadores!$D297,Pipe!$G:$G,Originadores!H$3)</f>
        <v>0</v>
      </c>
    </row>
    <row r="298" spans="3:8">
      <c r="C298" s="24">
        <f t="shared" si="4"/>
        <v>295</v>
      </c>
      <c r="D298" t="s">
        <v>1299</v>
      </c>
      <c r="E298" t="s">
        <v>130</v>
      </c>
      <c r="F298" s="24">
        <f>COUNTIFS(Pipe!$H:$H,Originadores!$D298,Pipe!$G:$G,Originadores!F$3)</f>
        <v>0</v>
      </c>
      <c r="G298" s="24">
        <f>COUNTIFS(Pipe!$H:$H,Originadores!$D298,Pipe!$G:$G,Originadores!G$3)</f>
        <v>1</v>
      </c>
      <c r="H298" s="24">
        <f>COUNTIFS(Pipe!$H:$H,Originadores!$D298,Pipe!$G:$G,Originadores!H$3)</f>
        <v>0</v>
      </c>
    </row>
    <row r="299" spans="3:8">
      <c r="C299" s="24">
        <f t="shared" si="4"/>
        <v>296</v>
      </c>
      <c r="D299" t="s">
        <v>1230</v>
      </c>
      <c r="E299" t="s">
        <v>226</v>
      </c>
      <c r="F299" s="24">
        <f>COUNTIFS(Pipe!$H:$H,Originadores!$D299,Pipe!$G:$G,Originadores!F$3)</f>
        <v>0</v>
      </c>
      <c r="G299" s="24">
        <f>COUNTIFS(Pipe!$H:$H,Originadores!$D299,Pipe!$G:$G,Originadores!G$3)</f>
        <v>2</v>
      </c>
      <c r="H299" s="24">
        <f>COUNTIFS(Pipe!$H:$H,Originadores!$D299,Pipe!$G:$G,Originadores!H$3)</f>
        <v>0</v>
      </c>
    </row>
    <row r="300" spans="3:8">
      <c r="C300" s="24">
        <f t="shared" si="4"/>
        <v>297</v>
      </c>
      <c r="D300" t="s">
        <v>1933</v>
      </c>
      <c r="E300" t="s">
        <v>1767</v>
      </c>
      <c r="F300" s="24">
        <f>COUNTIFS(Pipe!$H:$H,Originadores!$D300,Pipe!$G:$G,Originadores!F$3)</f>
        <v>0</v>
      </c>
      <c r="G300" s="24">
        <f>COUNTIFS(Pipe!$H:$H,Originadores!$D300,Pipe!$G:$G,Originadores!G$3)</f>
        <v>1</v>
      </c>
      <c r="H300" s="24">
        <f>COUNTIFS(Pipe!$H:$H,Originadores!$D300,Pipe!$G:$G,Originadores!H$3)</f>
        <v>0</v>
      </c>
    </row>
    <row r="301" spans="3:8">
      <c r="C301" s="24">
        <f t="shared" si="4"/>
        <v>298</v>
      </c>
      <c r="D301" t="s">
        <v>2665</v>
      </c>
      <c r="E301" t="s">
        <v>226</v>
      </c>
      <c r="F301" s="24">
        <f>COUNTIFS(Pipe!$H:$H,Originadores!$D301,Pipe!$G:$G,Originadores!F$3)</f>
        <v>0</v>
      </c>
      <c r="G301" s="24">
        <f>COUNTIFS(Pipe!$H:$H,Originadores!$D301,Pipe!$G:$G,Originadores!G$3)</f>
        <v>0</v>
      </c>
      <c r="H301" s="24">
        <f>COUNTIFS(Pipe!$H:$H,Originadores!$D301,Pipe!$G:$G,Originadores!H$3)</f>
        <v>3</v>
      </c>
    </row>
    <row r="302" spans="3:8">
      <c r="C302" s="24">
        <f t="shared" si="4"/>
        <v>299</v>
      </c>
      <c r="D302" t="s">
        <v>568</v>
      </c>
      <c r="E302" t="s">
        <v>872</v>
      </c>
      <c r="F302" s="24">
        <f>COUNTIFS(Pipe!$H:$H,Originadores!$D302,Pipe!$G:$G,Originadores!F$3)</f>
        <v>1</v>
      </c>
      <c r="G302" s="24">
        <f>COUNTIFS(Pipe!$H:$H,Originadores!$D302,Pipe!$G:$G,Originadores!G$3)</f>
        <v>0</v>
      </c>
      <c r="H302" s="24">
        <f>COUNTIFS(Pipe!$H:$H,Originadores!$D302,Pipe!$G:$G,Originadores!H$3)</f>
        <v>0</v>
      </c>
    </row>
    <row r="303" spans="3:8">
      <c r="C303" s="24">
        <f t="shared" si="4"/>
        <v>300</v>
      </c>
      <c r="D303" t="s">
        <v>2411</v>
      </c>
      <c r="E303" t="s">
        <v>226</v>
      </c>
      <c r="F303" s="24">
        <f>COUNTIFS(Pipe!$H:$H,Originadores!$D303,Pipe!$G:$G,Originadores!F$3)</f>
        <v>0</v>
      </c>
      <c r="G303" s="24">
        <f>COUNTIFS(Pipe!$H:$H,Originadores!$D303,Pipe!$G:$G,Originadores!G$3)</f>
        <v>1</v>
      </c>
      <c r="H303" s="24">
        <f>COUNTIFS(Pipe!$H:$H,Originadores!$D303,Pipe!$G:$G,Originadores!H$3)</f>
        <v>0</v>
      </c>
    </row>
    <row r="304" spans="3:8">
      <c r="C304" s="24">
        <f t="shared" si="4"/>
        <v>301</v>
      </c>
      <c r="D304" t="s">
        <v>1038</v>
      </c>
      <c r="E304" t="s">
        <v>403</v>
      </c>
      <c r="F304" s="24">
        <f>COUNTIFS(Pipe!$H:$H,Originadores!$D304,Pipe!$G:$G,Originadores!F$3)</f>
        <v>0</v>
      </c>
      <c r="G304" s="24">
        <f>COUNTIFS(Pipe!$H:$H,Originadores!$D304,Pipe!$G:$G,Originadores!G$3)</f>
        <v>1</v>
      </c>
      <c r="H304" s="24">
        <f>COUNTIFS(Pipe!$H:$H,Originadores!$D304,Pipe!$G:$G,Originadores!H$3)</f>
        <v>0</v>
      </c>
    </row>
    <row r="305" spans="3:11">
      <c r="C305" s="24">
        <f t="shared" si="4"/>
        <v>302</v>
      </c>
      <c r="D305" t="s">
        <v>1615</v>
      </c>
      <c r="E305" t="s">
        <v>1193</v>
      </c>
      <c r="F305" s="24">
        <f>COUNTIFS(Pipe!$H:$H,Originadores!$D305,Pipe!$G:$G,Originadores!F$3)</f>
        <v>0</v>
      </c>
      <c r="G305" s="24">
        <f>COUNTIFS(Pipe!$H:$H,Originadores!$D305,Pipe!$G:$G,Originadores!G$3)</f>
        <v>1</v>
      </c>
      <c r="H305" s="24">
        <f>COUNTIFS(Pipe!$H:$H,Originadores!$D305,Pipe!$G:$G,Originadores!H$3)</f>
        <v>0</v>
      </c>
    </row>
    <row r="306" spans="3:11">
      <c r="C306" s="24">
        <f t="shared" si="4"/>
        <v>303</v>
      </c>
      <c r="D306" t="s">
        <v>1645</v>
      </c>
      <c r="E306" t="s">
        <v>872</v>
      </c>
      <c r="F306" s="24">
        <f>COUNTIFS(Pipe!$H:$H,Originadores!$D306,Pipe!$G:$G,Originadores!F$3)</f>
        <v>0</v>
      </c>
      <c r="G306" s="24">
        <f>COUNTIFS(Pipe!$H:$H,Originadores!$D306,Pipe!$G:$G,Originadores!G$3)</f>
        <v>1</v>
      </c>
      <c r="H306" s="24">
        <f>COUNTIFS(Pipe!$H:$H,Originadores!$D306,Pipe!$G:$G,Originadores!H$3)</f>
        <v>0</v>
      </c>
    </row>
    <row r="307" spans="3:11">
      <c r="C307" s="24">
        <f t="shared" si="4"/>
        <v>304</v>
      </c>
      <c r="D307" t="s">
        <v>1622</v>
      </c>
      <c r="E307" t="s">
        <v>1252</v>
      </c>
      <c r="F307" s="24">
        <f>COUNTIFS(Pipe!$H:$H,Originadores!$D307,Pipe!$G:$G,Originadores!F$3)</f>
        <v>0</v>
      </c>
      <c r="G307" s="24">
        <f>COUNTIFS(Pipe!$H:$H,Originadores!$D307,Pipe!$G:$G,Originadores!G$3)</f>
        <v>2</v>
      </c>
      <c r="H307" s="24">
        <f>COUNTIFS(Pipe!$H:$H,Originadores!$D307,Pipe!$G:$G,Originadores!H$3)</f>
        <v>1</v>
      </c>
    </row>
    <row r="314" spans="3:11">
      <c r="J314">
        <f>43*6.5</f>
        <v>279.5</v>
      </c>
    </row>
    <row r="316" spans="3:11">
      <c r="K316" s="181"/>
    </row>
    <row r="317" spans="3:11">
      <c r="K317" s="181"/>
    </row>
  </sheetData>
  <autoFilter ref="C3:G307" xr:uid="{BB680AD8-DBE5-4304-963E-86CFB886DE8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7384-A538-4C4E-9077-2BDBA0505248}">
  <sheetPr codeName="Sheet13" filterMode="1"/>
  <dimension ref="B2:AK374"/>
  <sheetViews>
    <sheetView showGridLines="0" workbookViewId="0">
      <selection activeCell="G26" sqref="A26:G26"/>
    </sheetView>
  </sheetViews>
  <sheetFormatPr defaultRowHeight="14.4"/>
  <cols>
    <col min="1" max="1" width="1.88671875" customWidth="1"/>
    <col min="2" max="2" width="24" bestFit="1" customWidth="1"/>
    <col min="11" max="11" width="37.5546875" bestFit="1" customWidth="1"/>
    <col min="12" max="12" width="60.33203125" bestFit="1" customWidth="1"/>
    <col min="13" max="13" width="12.109375" bestFit="1" customWidth="1"/>
    <col min="15" max="15" width="38.33203125" bestFit="1" customWidth="1"/>
    <col min="16" max="16" width="21.6640625" bestFit="1" customWidth="1"/>
    <col min="17" max="17" width="22.5546875" bestFit="1" customWidth="1"/>
    <col min="21" max="21" width="22.5546875" bestFit="1" customWidth="1"/>
    <col min="26" max="26" width="21.6640625" bestFit="1" customWidth="1"/>
    <col min="27" max="27" width="22.5546875" bestFit="1" customWidth="1"/>
    <col min="30" max="30" width="38.33203125" bestFit="1" customWidth="1"/>
  </cols>
  <sheetData>
    <row r="2" spans="2:37">
      <c r="C2" s="24">
        <v>2024</v>
      </c>
      <c r="D2" s="24">
        <v>2025</v>
      </c>
      <c r="K2" t="s">
        <v>8</v>
      </c>
      <c r="L2" t="s">
        <v>9</v>
      </c>
      <c r="M2" t="s">
        <v>10</v>
      </c>
      <c r="N2" t="s">
        <v>1770</v>
      </c>
      <c r="O2" t="s">
        <v>1770</v>
      </c>
      <c r="P2" t="s">
        <v>1770</v>
      </c>
      <c r="Q2" t="s">
        <v>2594</v>
      </c>
      <c r="Z2" s="214" t="s">
        <v>2595</v>
      </c>
      <c r="AD2" s="214" t="s">
        <v>2600</v>
      </c>
    </row>
    <row r="3" spans="2:37" hidden="1">
      <c r="B3" t="s">
        <v>2588</v>
      </c>
      <c r="C3" s="24">
        <v>260</v>
      </c>
      <c r="D3" s="24">
        <f>+COUNTIF(N:N,"2025")</f>
        <v>372</v>
      </c>
      <c r="K3" t="s">
        <v>96</v>
      </c>
      <c r="L3" t="s">
        <v>536</v>
      </c>
      <c r="M3" s="163">
        <v>45663</v>
      </c>
      <c r="N3">
        <f t="shared" ref="N3:N66" si="0">YEAR(M3)</f>
        <v>2025</v>
      </c>
      <c r="O3" t="s">
        <v>76</v>
      </c>
      <c r="P3" t="s">
        <v>403</v>
      </c>
      <c r="Q3" t="str">
        <f t="shared" ref="Q3:Q18" si="1">+INDEX($AA$3:$AA$19,MATCH(P3,$Z$3:$Z$19,0))</f>
        <v>Consultoria</v>
      </c>
      <c r="U3" t="s">
        <v>1261</v>
      </c>
      <c r="V3" s="24">
        <f t="shared" ref="V3:V9" si="2">COUNTIF($Q$3:$Q$374,U3)</f>
        <v>132</v>
      </c>
      <c r="W3" s="215">
        <f t="shared" ref="W3:W9" si="3">+V3/$V$10</f>
        <v>0.35483870967741937</v>
      </c>
      <c r="Z3" t="s">
        <v>403</v>
      </c>
      <c r="AA3" t="s">
        <v>1261</v>
      </c>
      <c r="AD3" t="s">
        <v>1261</v>
      </c>
      <c r="AE3" s="70">
        <f>+W3</f>
        <v>0.35483870967741937</v>
      </c>
      <c r="AK3" t="s">
        <v>76</v>
      </c>
    </row>
    <row r="4" spans="2:37" hidden="1">
      <c r="B4" t="s">
        <v>2589</v>
      </c>
      <c r="C4" s="24">
        <v>90</v>
      </c>
      <c r="D4" s="58">
        <f>+$D$3*E4</f>
        <v>128.76923076923077</v>
      </c>
      <c r="E4" s="68">
        <f>+C4/$C$3</f>
        <v>0.34615384615384615</v>
      </c>
      <c r="K4" t="s">
        <v>1036</v>
      </c>
      <c r="L4" t="s">
        <v>1037</v>
      </c>
      <c r="M4" s="163">
        <v>45663</v>
      </c>
      <c r="N4">
        <f t="shared" si="0"/>
        <v>2025</v>
      </c>
      <c r="O4" t="s">
        <v>1038</v>
      </c>
      <c r="P4" t="s">
        <v>403</v>
      </c>
      <c r="Q4" t="str">
        <f t="shared" si="1"/>
        <v>Consultoria</v>
      </c>
      <c r="U4" t="s">
        <v>226</v>
      </c>
      <c r="V4" s="24">
        <f t="shared" si="2"/>
        <v>114</v>
      </c>
      <c r="W4" s="215">
        <f t="shared" si="3"/>
        <v>0.30645161290322581</v>
      </c>
      <c r="Z4" t="s">
        <v>1072</v>
      </c>
      <c r="AA4" t="s">
        <v>2593</v>
      </c>
      <c r="AD4" t="s">
        <v>226</v>
      </c>
      <c r="AE4" s="70">
        <f>+W4</f>
        <v>0.30645161290322581</v>
      </c>
      <c r="AK4" t="s">
        <v>1038</v>
      </c>
    </row>
    <row r="5" spans="2:37" hidden="1">
      <c r="B5" t="s">
        <v>2590</v>
      </c>
      <c r="C5" s="24">
        <v>70</v>
      </c>
      <c r="D5" s="58">
        <f>+$D$3*E5</f>
        <v>100.15384615384615</v>
      </c>
      <c r="E5" s="68">
        <f>+C5/$C$3</f>
        <v>0.26923076923076922</v>
      </c>
      <c r="K5" t="s">
        <v>1036</v>
      </c>
      <c r="L5" t="s">
        <v>1041</v>
      </c>
      <c r="M5" s="163">
        <v>45663</v>
      </c>
      <c r="N5">
        <f t="shared" si="0"/>
        <v>2025</v>
      </c>
      <c r="O5" t="s">
        <v>1042</v>
      </c>
      <c r="P5" t="s">
        <v>403</v>
      </c>
      <c r="Q5" t="str">
        <f t="shared" si="1"/>
        <v>Consultoria</v>
      </c>
      <c r="U5" t="s">
        <v>2593</v>
      </c>
      <c r="V5" s="24">
        <f t="shared" si="2"/>
        <v>33</v>
      </c>
      <c r="W5" s="215">
        <f t="shared" si="3"/>
        <v>8.8709677419354843E-2</v>
      </c>
      <c r="Z5" t="s">
        <v>226</v>
      </c>
      <c r="AA5" t="s">
        <v>226</v>
      </c>
      <c r="AD5" t="s">
        <v>1774</v>
      </c>
      <c r="AE5" s="70">
        <f>+W8</f>
        <v>0.1424731182795699</v>
      </c>
      <c r="AK5" t="s">
        <v>1042</v>
      </c>
    </row>
    <row r="6" spans="2:37" hidden="1">
      <c r="B6" t="s">
        <v>2591</v>
      </c>
      <c r="C6" s="24">
        <v>15</v>
      </c>
      <c r="D6" s="58">
        <f>+$D$3*E6</f>
        <v>21.461538461538463</v>
      </c>
      <c r="E6" s="68">
        <f>+C6/$C$3</f>
        <v>5.7692307692307696E-2</v>
      </c>
      <c r="K6" t="s">
        <v>1045</v>
      </c>
      <c r="L6" t="s">
        <v>1046</v>
      </c>
      <c r="M6" s="163">
        <v>45663</v>
      </c>
      <c r="N6">
        <f t="shared" si="0"/>
        <v>2025</v>
      </c>
      <c r="O6" t="s">
        <v>119</v>
      </c>
      <c r="P6" t="s">
        <v>403</v>
      </c>
      <c r="Q6" t="str">
        <f t="shared" si="1"/>
        <v>Consultoria</v>
      </c>
      <c r="U6" t="s">
        <v>1918</v>
      </c>
      <c r="V6" s="24">
        <f t="shared" si="2"/>
        <v>8</v>
      </c>
      <c r="W6" s="215">
        <f t="shared" si="3"/>
        <v>2.1505376344086023E-2</v>
      </c>
      <c r="Z6" t="s">
        <v>130</v>
      </c>
      <c r="AA6" t="s">
        <v>1774</v>
      </c>
      <c r="AD6" t="s">
        <v>2593</v>
      </c>
      <c r="AE6" s="70">
        <f>+W5</f>
        <v>8.8709677419354843E-2</v>
      </c>
      <c r="AK6" t="s">
        <v>119</v>
      </c>
    </row>
    <row r="7" spans="2:37" hidden="1">
      <c r="B7" t="s">
        <v>2592</v>
      </c>
      <c r="C7" s="24">
        <v>9</v>
      </c>
      <c r="D7" s="24">
        <v>6</v>
      </c>
      <c r="E7" s="68">
        <f>+C7/$C$3</f>
        <v>3.4615384615384617E-2</v>
      </c>
      <c r="F7" s="68">
        <f>+D7/D3</f>
        <v>1.6129032258064516E-2</v>
      </c>
      <c r="K7" t="s">
        <v>440</v>
      </c>
      <c r="L7" t="s">
        <v>1049</v>
      </c>
      <c r="M7" s="163">
        <v>45670</v>
      </c>
      <c r="N7">
        <f t="shared" si="0"/>
        <v>2025</v>
      </c>
      <c r="O7" t="s">
        <v>1050</v>
      </c>
      <c r="P7" t="s">
        <v>226</v>
      </c>
      <c r="Q7" t="str">
        <f t="shared" si="1"/>
        <v>Broker</v>
      </c>
      <c r="U7" t="s">
        <v>872</v>
      </c>
      <c r="V7" s="24">
        <f t="shared" si="2"/>
        <v>17</v>
      </c>
      <c r="W7" s="215">
        <f t="shared" si="3"/>
        <v>4.5698924731182797E-2</v>
      </c>
      <c r="Z7" t="s">
        <v>189</v>
      </c>
      <c r="AA7" t="s">
        <v>189</v>
      </c>
      <c r="AD7" t="s">
        <v>872</v>
      </c>
      <c r="AE7" s="70">
        <f>+W7</f>
        <v>4.5698924731182797E-2</v>
      </c>
      <c r="AK7" t="s">
        <v>1060</v>
      </c>
    </row>
    <row r="8" spans="2:37" hidden="1">
      <c r="K8" t="s">
        <v>96</v>
      </c>
      <c r="L8" t="s">
        <v>1052</v>
      </c>
      <c r="M8" s="163">
        <v>45673</v>
      </c>
      <c r="N8">
        <f t="shared" si="0"/>
        <v>2025</v>
      </c>
      <c r="O8" t="s">
        <v>76</v>
      </c>
      <c r="P8" t="s">
        <v>403</v>
      </c>
      <c r="Q8" t="str">
        <f t="shared" si="1"/>
        <v>Consultoria</v>
      </c>
      <c r="U8" t="s">
        <v>1774</v>
      </c>
      <c r="V8" s="24">
        <f t="shared" si="2"/>
        <v>53</v>
      </c>
      <c r="W8" s="215">
        <f t="shared" si="3"/>
        <v>0.1424731182795699</v>
      </c>
      <c r="Z8" t="s">
        <v>1193</v>
      </c>
      <c r="AA8" t="s">
        <v>1193</v>
      </c>
      <c r="AD8" t="s">
        <v>1193</v>
      </c>
      <c r="AE8" s="70">
        <f>+W9</f>
        <v>4.0322580645161289E-2</v>
      </c>
      <c r="AK8" t="s">
        <v>425</v>
      </c>
    </row>
    <row r="9" spans="2:37" hidden="1">
      <c r="K9" t="s">
        <v>86</v>
      </c>
      <c r="L9" t="s">
        <v>1056</v>
      </c>
      <c r="M9" s="163">
        <v>45674</v>
      </c>
      <c r="N9">
        <f t="shared" si="0"/>
        <v>2025</v>
      </c>
      <c r="O9" t="s">
        <v>76</v>
      </c>
      <c r="P9" t="s">
        <v>403</v>
      </c>
      <c r="Q9" t="str">
        <f t="shared" si="1"/>
        <v>Consultoria</v>
      </c>
      <c r="U9" t="s">
        <v>1193</v>
      </c>
      <c r="V9" s="24">
        <f t="shared" si="2"/>
        <v>15</v>
      </c>
      <c r="W9" s="215">
        <f t="shared" si="3"/>
        <v>4.0322580645161289E-2</v>
      </c>
      <c r="Z9" t="s">
        <v>1206</v>
      </c>
      <c r="AA9" t="s">
        <v>872</v>
      </c>
      <c r="AD9" t="s">
        <v>1918</v>
      </c>
      <c r="AE9" s="70">
        <f>+W6</f>
        <v>2.1505376344086023E-2</v>
      </c>
      <c r="AK9" t="s">
        <v>608</v>
      </c>
    </row>
    <row r="10" spans="2:37" hidden="1">
      <c r="K10" t="s">
        <v>612</v>
      </c>
      <c r="L10" t="s">
        <v>1059</v>
      </c>
      <c r="M10" s="163">
        <v>45674</v>
      </c>
      <c r="N10">
        <f t="shared" si="0"/>
        <v>2025</v>
      </c>
      <c r="O10" t="s">
        <v>1060</v>
      </c>
      <c r="P10" t="s">
        <v>403</v>
      </c>
      <c r="Q10" t="str">
        <f t="shared" si="1"/>
        <v>Consultoria</v>
      </c>
      <c r="U10" s="179" t="s">
        <v>5</v>
      </c>
      <c r="V10" s="180">
        <f>+SUM(V3:V9)</f>
        <v>372</v>
      </c>
      <c r="Z10" t="s">
        <v>802</v>
      </c>
      <c r="AA10" t="s">
        <v>2593</v>
      </c>
      <c r="AK10" t="s">
        <v>1079</v>
      </c>
    </row>
    <row r="11" spans="2:37" hidden="1">
      <c r="K11" t="s">
        <v>1045</v>
      </c>
      <c r="L11" t="s">
        <v>1063</v>
      </c>
      <c r="M11" s="163">
        <v>45674</v>
      </c>
      <c r="N11">
        <f t="shared" si="0"/>
        <v>2025</v>
      </c>
      <c r="O11" t="s">
        <v>425</v>
      </c>
      <c r="P11" t="s">
        <v>403</v>
      </c>
      <c r="Q11" t="str">
        <f t="shared" si="1"/>
        <v>Consultoria</v>
      </c>
      <c r="Z11" t="s">
        <v>1252</v>
      </c>
      <c r="AA11" t="s">
        <v>1261</v>
      </c>
      <c r="AK11" t="s">
        <v>1115</v>
      </c>
    </row>
    <row r="12" spans="2:37" hidden="1">
      <c r="K12" t="s">
        <v>1045</v>
      </c>
      <c r="L12" t="s">
        <v>1067</v>
      </c>
      <c r="M12" s="163">
        <v>45674</v>
      </c>
      <c r="N12">
        <f t="shared" si="0"/>
        <v>2025</v>
      </c>
      <c r="O12" t="s">
        <v>425</v>
      </c>
      <c r="P12" t="s">
        <v>403</v>
      </c>
      <c r="Q12" t="str">
        <f t="shared" si="1"/>
        <v>Consultoria</v>
      </c>
      <c r="Z12" t="s">
        <v>1261</v>
      </c>
      <c r="AA12" t="s">
        <v>1261</v>
      </c>
      <c r="AK12" t="s">
        <v>1118</v>
      </c>
    </row>
    <row r="13" spans="2:37" hidden="1">
      <c r="K13" t="s">
        <v>96</v>
      </c>
      <c r="L13" t="s">
        <v>1071</v>
      </c>
      <c r="M13" s="163">
        <v>45674</v>
      </c>
      <c r="N13">
        <f t="shared" si="0"/>
        <v>2025</v>
      </c>
      <c r="O13" t="s">
        <v>1071</v>
      </c>
      <c r="P13" t="s">
        <v>1072</v>
      </c>
      <c r="Q13" t="str">
        <f t="shared" si="1"/>
        <v>Empresários / Executivo</v>
      </c>
      <c r="Z13" t="s">
        <v>76</v>
      </c>
      <c r="AA13" t="s">
        <v>1261</v>
      </c>
      <c r="AK13" t="s">
        <v>630</v>
      </c>
    </row>
    <row r="14" spans="2:37" hidden="1">
      <c r="K14" t="s">
        <v>304</v>
      </c>
      <c r="L14" t="s">
        <v>1076</v>
      </c>
      <c r="M14" s="163">
        <v>45674</v>
      </c>
      <c r="N14">
        <f t="shared" si="0"/>
        <v>2025</v>
      </c>
      <c r="O14" t="s">
        <v>608</v>
      </c>
      <c r="P14" t="s">
        <v>403</v>
      </c>
      <c r="Q14" t="str">
        <f t="shared" si="1"/>
        <v>Consultoria</v>
      </c>
      <c r="Z14" t="s">
        <v>872</v>
      </c>
      <c r="AA14" t="s">
        <v>872</v>
      </c>
      <c r="AK14" t="s">
        <v>1164</v>
      </c>
    </row>
    <row r="15" spans="2:37" hidden="1">
      <c r="K15" t="s">
        <v>1045</v>
      </c>
      <c r="L15" t="s">
        <v>1078</v>
      </c>
      <c r="M15" s="163">
        <v>45680</v>
      </c>
      <c r="N15">
        <f t="shared" si="0"/>
        <v>2025</v>
      </c>
      <c r="O15" t="s">
        <v>1079</v>
      </c>
      <c r="P15" t="s">
        <v>403</v>
      </c>
      <c r="Q15" t="str">
        <f t="shared" si="1"/>
        <v>Consultoria</v>
      </c>
      <c r="Z15" t="s">
        <v>1767</v>
      </c>
      <c r="AA15" t="s">
        <v>2593</v>
      </c>
      <c r="AK15" t="s">
        <v>1211</v>
      </c>
    </row>
    <row r="16" spans="2:37" ht="15.75" hidden="1" customHeight="1">
      <c r="K16" t="s">
        <v>96</v>
      </c>
      <c r="L16" t="s">
        <v>1082</v>
      </c>
      <c r="M16" s="163">
        <v>45680</v>
      </c>
      <c r="N16">
        <f t="shared" si="0"/>
        <v>2025</v>
      </c>
      <c r="O16" t="s">
        <v>1079</v>
      </c>
      <c r="P16" t="s">
        <v>403</v>
      </c>
      <c r="Q16" t="str">
        <f t="shared" si="1"/>
        <v>Consultoria</v>
      </c>
      <c r="Z16" t="s">
        <v>2019</v>
      </c>
      <c r="AA16" t="s">
        <v>2593</v>
      </c>
      <c r="AK16" t="s">
        <v>646</v>
      </c>
    </row>
    <row r="17" spans="11:37" hidden="1">
      <c r="K17" t="s">
        <v>96</v>
      </c>
      <c r="L17" t="s">
        <v>1085</v>
      </c>
      <c r="M17" s="163">
        <v>45680</v>
      </c>
      <c r="N17">
        <f t="shared" si="0"/>
        <v>2025</v>
      </c>
      <c r="O17" t="s">
        <v>1079</v>
      </c>
      <c r="P17" t="s">
        <v>403</v>
      </c>
      <c r="Q17" t="str">
        <f t="shared" si="1"/>
        <v>Consultoria</v>
      </c>
      <c r="Z17" t="s">
        <v>2194</v>
      </c>
      <c r="AA17" t="s">
        <v>2593</v>
      </c>
      <c r="AK17" t="s">
        <v>987</v>
      </c>
    </row>
    <row r="18" spans="11:37" hidden="1">
      <c r="K18" t="s">
        <v>96</v>
      </c>
      <c r="L18" t="s">
        <v>1087</v>
      </c>
      <c r="M18" s="163">
        <v>45680</v>
      </c>
      <c r="N18">
        <f t="shared" si="0"/>
        <v>2025</v>
      </c>
      <c r="O18" t="s">
        <v>1079</v>
      </c>
      <c r="P18" t="s">
        <v>403</v>
      </c>
      <c r="Q18" t="str">
        <f t="shared" si="1"/>
        <v>Consultoria</v>
      </c>
      <c r="Z18" t="s">
        <v>2422</v>
      </c>
      <c r="AA18" t="s">
        <v>872</v>
      </c>
      <c r="AK18" t="s">
        <v>1319</v>
      </c>
    </row>
    <row r="19" spans="11:37" hidden="1">
      <c r="K19" t="s">
        <v>1089</v>
      </c>
      <c r="M19" s="163">
        <v>45688</v>
      </c>
      <c r="N19">
        <f t="shared" si="0"/>
        <v>2025</v>
      </c>
      <c r="Q19" t="s">
        <v>1918</v>
      </c>
      <c r="Z19" t="s">
        <v>2510</v>
      </c>
      <c r="AA19" t="s">
        <v>1193</v>
      </c>
      <c r="AK19" t="s">
        <v>1344</v>
      </c>
    </row>
    <row r="20" spans="11:37" hidden="1">
      <c r="K20" t="s">
        <v>96</v>
      </c>
      <c r="L20" t="s">
        <v>1093</v>
      </c>
      <c r="M20" s="163">
        <v>45679</v>
      </c>
      <c r="N20">
        <f t="shared" si="0"/>
        <v>2025</v>
      </c>
      <c r="O20" t="s">
        <v>1094</v>
      </c>
      <c r="P20" t="s">
        <v>226</v>
      </c>
      <c r="Q20" t="str">
        <f>+INDEX($AA$3:$AA$19,MATCH(P20,$Z$3:$Z$19,0))</f>
        <v>Broker</v>
      </c>
      <c r="AK20" t="s">
        <v>1480</v>
      </c>
    </row>
    <row r="21" spans="11:37" hidden="1">
      <c r="K21" t="s">
        <v>96</v>
      </c>
      <c r="L21" t="s">
        <v>174</v>
      </c>
      <c r="M21" s="163">
        <v>45679</v>
      </c>
      <c r="N21">
        <f t="shared" si="0"/>
        <v>2025</v>
      </c>
      <c r="O21" t="s">
        <v>425</v>
      </c>
      <c r="P21" t="s">
        <v>403</v>
      </c>
      <c r="Q21" t="str">
        <f>+INDEX($AA$3:$AA$19,MATCH(P21,$Z$3:$Z$19,0))</f>
        <v>Consultoria</v>
      </c>
      <c r="AK21" t="s">
        <v>1489</v>
      </c>
    </row>
    <row r="22" spans="11:37" hidden="1">
      <c r="K22" t="s">
        <v>86</v>
      </c>
      <c r="L22" t="s">
        <v>1098</v>
      </c>
      <c r="M22" s="163">
        <v>45679</v>
      </c>
      <c r="N22">
        <f t="shared" si="0"/>
        <v>2025</v>
      </c>
      <c r="O22" t="s">
        <v>608</v>
      </c>
      <c r="P22" t="s">
        <v>226</v>
      </c>
      <c r="Q22" t="str">
        <f>+INDEX($AA$3:$AA$19,MATCH(P22,$Z$3:$Z$19,0))</f>
        <v>Broker</v>
      </c>
      <c r="AK22" t="s">
        <v>1548</v>
      </c>
    </row>
    <row r="23" spans="11:37" hidden="1">
      <c r="K23" t="s">
        <v>86</v>
      </c>
      <c r="L23" t="s">
        <v>1099</v>
      </c>
      <c r="M23" s="163">
        <v>45679</v>
      </c>
      <c r="N23">
        <f t="shared" si="0"/>
        <v>2025</v>
      </c>
      <c r="O23" t="s">
        <v>994</v>
      </c>
      <c r="P23" t="s">
        <v>226</v>
      </c>
      <c r="Q23" t="str">
        <f>+INDEX($AA$3:$AA$19,MATCH(P23,$Z$3:$Z$19,0))</f>
        <v>Broker</v>
      </c>
    </row>
    <row r="24" spans="11:37" hidden="1">
      <c r="K24" t="s">
        <v>884</v>
      </c>
      <c r="M24" s="163">
        <v>45688</v>
      </c>
      <c r="N24">
        <f t="shared" si="0"/>
        <v>2025</v>
      </c>
      <c r="O24" t="s">
        <v>1102</v>
      </c>
      <c r="Q24" t="s">
        <v>226</v>
      </c>
    </row>
    <row r="25" spans="11:37" hidden="1">
      <c r="K25" t="s">
        <v>96</v>
      </c>
      <c r="L25" t="s">
        <v>1103</v>
      </c>
      <c r="M25" s="163">
        <v>45679</v>
      </c>
      <c r="N25">
        <f t="shared" si="0"/>
        <v>2025</v>
      </c>
      <c r="O25" t="s">
        <v>1079</v>
      </c>
      <c r="P25" t="s">
        <v>403</v>
      </c>
      <c r="Q25" t="str">
        <f>+INDEX($AA$3:$AA$19,MATCH(P25,$Z$3:$Z$19,0))</f>
        <v>Consultoria</v>
      </c>
      <c r="AK25" t="s">
        <v>1595</v>
      </c>
    </row>
    <row r="26" spans="11:37" hidden="1">
      <c r="K26" t="s">
        <v>1105</v>
      </c>
      <c r="L26" t="s">
        <v>1106</v>
      </c>
      <c r="M26" s="163">
        <v>45684</v>
      </c>
      <c r="N26">
        <f t="shared" si="0"/>
        <v>2025</v>
      </c>
      <c r="O26" t="s">
        <v>425</v>
      </c>
      <c r="P26" t="s">
        <v>403</v>
      </c>
      <c r="Q26" t="str">
        <f>+INDEX($AA$3:$AA$19,MATCH(P26,$Z$3:$Z$19,0))</f>
        <v>Consultoria</v>
      </c>
      <c r="AK26" t="s">
        <v>1622</v>
      </c>
    </row>
    <row r="27" spans="11:37" hidden="1">
      <c r="K27" t="s">
        <v>1108</v>
      </c>
      <c r="L27" t="s">
        <v>234</v>
      </c>
      <c r="M27" s="163">
        <v>45684</v>
      </c>
      <c r="N27">
        <f t="shared" si="0"/>
        <v>2025</v>
      </c>
      <c r="O27" t="s">
        <v>1234</v>
      </c>
      <c r="P27" t="s">
        <v>802</v>
      </c>
      <c r="Q27" t="str">
        <f>+INDEX($AA$3:$AA$19,MATCH(P27,$Z$3:$Z$19,0))</f>
        <v>Empresários / Executivo</v>
      </c>
    </row>
    <row r="28" spans="11:37" hidden="1">
      <c r="K28" t="s">
        <v>96</v>
      </c>
      <c r="L28" t="s">
        <v>1110</v>
      </c>
      <c r="M28" s="163">
        <v>45684</v>
      </c>
      <c r="N28">
        <f t="shared" si="0"/>
        <v>2025</v>
      </c>
      <c r="Q28" t="s">
        <v>1261</v>
      </c>
      <c r="AK28" t="s">
        <v>1989</v>
      </c>
    </row>
    <row r="29" spans="11:37" hidden="1">
      <c r="K29" t="s">
        <v>329</v>
      </c>
      <c r="L29" t="s">
        <v>1114</v>
      </c>
      <c r="M29" s="163">
        <v>45687</v>
      </c>
      <c r="N29">
        <f t="shared" si="0"/>
        <v>2025</v>
      </c>
      <c r="O29" t="s">
        <v>1115</v>
      </c>
      <c r="P29" t="s">
        <v>403</v>
      </c>
      <c r="Q29" t="str">
        <f t="shared" ref="Q29:Q66" si="4">+INDEX($AA$3:$AA$19,MATCH(P29,$Z$3:$Z$19,0))</f>
        <v>Consultoria</v>
      </c>
      <c r="AK29" t="s">
        <v>2057</v>
      </c>
    </row>
    <row r="30" spans="11:37" hidden="1">
      <c r="K30" t="s">
        <v>612</v>
      </c>
      <c r="L30" t="s">
        <v>543</v>
      </c>
      <c r="M30" s="163">
        <v>45686</v>
      </c>
      <c r="N30">
        <f t="shared" si="0"/>
        <v>2025</v>
      </c>
      <c r="O30" t="s">
        <v>1118</v>
      </c>
      <c r="P30" t="s">
        <v>403</v>
      </c>
      <c r="Q30" t="str">
        <f t="shared" si="4"/>
        <v>Consultoria</v>
      </c>
      <c r="AK30" t="s">
        <v>2067</v>
      </c>
    </row>
    <row r="31" spans="11:37" hidden="1">
      <c r="K31" t="s">
        <v>612</v>
      </c>
      <c r="L31" t="s">
        <v>1121</v>
      </c>
      <c r="M31" s="163">
        <v>45686</v>
      </c>
      <c r="N31">
        <f t="shared" si="0"/>
        <v>2025</v>
      </c>
      <c r="O31" t="s">
        <v>1118</v>
      </c>
      <c r="P31" t="s">
        <v>403</v>
      </c>
      <c r="Q31" t="str">
        <f t="shared" si="4"/>
        <v>Consultoria</v>
      </c>
      <c r="AK31" t="s">
        <v>1625</v>
      </c>
    </row>
    <row r="32" spans="11:37" hidden="1">
      <c r="K32" t="s">
        <v>320</v>
      </c>
      <c r="L32" t="s">
        <v>1125</v>
      </c>
      <c r="M32" s="163">
        <v>45685</v>
      </c>
      <c r="N32">
        <f t="shared" si="0"/>
        <v>2025</v>
      </c>
      <c r="O32" t="s">
        <v>650</v>
      </c>
      <c r="P32" t="s">
        <v>226</v>
      </c>
      <c r="Q32" t="str">
        <f t="shared" si="4"/>
        <v>Broker</v>
      </c>
    </row>
    <row r="33" spans="11:37" hidden="1">
      <c r="K33" t="s">
        <v>1128</v>
      </c>
      <c r="L33" t="s">
        <v>1129</v>
      </c>
      <c r="M33" s="163">
        <v>45685</v>
      </c>
      <c r="N33">
        <f t="shared" si="0"/>
        <v>2025</v>
      </c>
      <c r="O33" t="s">
        <v>425</v>
      </c>
      <c r="P33" t="s">
        <v>403</v>
      </c>
      <c r="Q33" t="str">
        <f t="shared" si="4"/>
        <v>Consultoria</v>
      </c>
      <c r="AK33" t="s">
        <v>2103</v>
      </c>
    </row>
    <row r="34" spans="11:37" hidden="1">
      <c r="K34" t="s">
        <v>1128</v>
      </c>
      <c r="L34" t="s">
        <v>1131</v>
      </c>
      <c r="M34" s="163">
        <v>45685</v>
      </c>
      <c r="N34">
        <f t="shared" si="0"/>
        <v>2025</v>
      </c>
      <c r="O34" t="s">
        <v>630</v>
      </c>
      <c r="P34" t="s">
        <v>403</v>
      </c>
      <c r="Q34" t="str">
        <f t="shared" si="4"/>
        <v>Consultoria</v>
      </c>
      <c r="AK34" t="s">
        <v>2117</v>
      </c>
    </row>
    <row r="35" spans="11:37" hidden="1">
      <c r="K35" t="s">
        <v>1128</v>
      </c>
      <c r="L35" t="s">
        <v>1134</v>
      </c>
      <c r="M35" s="163">
        <v>45685</v>
      </c>
      <c r="N35">
        <f t="shared" si="0"/>
        <v>2025</v>
      </c>
      <c r="O35" t="s">
        <v>630</v>
      </c>
      <c r="P35" t="s">
        <v>403</v>
      </c>
      <c r="Q35" t="str">
        <f t="shared" si="4"/>
        <v>Consultoria</v>
      </c>
      <c r="AK35" t="s">
        <v>2159</v>
      </c>
    </row>
    <row r="36" spans="11:37" hidden="1">
      <c r="K36" t="s">
        <v>86</v>
      </c>
      <c r="L36" t="s">
        <v>1137</v>
      </c>
      <c r="M36" s="163">
        <v>45685</v>
      </c>
      <c r="N36">
        <f t="shared" si="0"/>
        <v>2025</v>
      </c>
      <c r="O36" t="s">
        <v>1138</v>
      </c>
      <c r="P36" t="s">
        <v>226</v>
      </c>
      <c r="Q36" t="str">
        <f t="shared" si="4"/>
        <v>Broker</v>
      </c>
      <c r="AK36" t="s">
        <v>2183</v>
      </c>
    </row>
    <row r="37" spans="11:37" hidden="1">
      <c r="K37" t="s">
        <v>86</v>
      </c>
      <c r="L37" t="s">
        <v>1141</v>
      </c>
      <c r="M37" s="163">
        <v>45685</v>
      </c>
      <c r="N37">
        <f t="shared" si="0"/>
        <v>2025</v>
      </c>
      <c r="O37" t="s">
        <v>1138</v>
      </c>
      <c r="P37" t="s">
        <v>226</v>
      </c>
      <c r="Q37" t="str">
        <f t="shared" si="4"/>
        <v>Broker</v>
      </c>
    </row>
    <row r="38" spans="11:37" hidden="1">
      <c r="K38" t="s">
        <v>1045</v>
      </c>
      <c r="L38" t="s">
        <v>1142</v>
      </c>
      <c r="M38" s="163">
        <v>45686</v>
      </c>
      <c r="N38">
        <f t="shared" si="0"/>
        <v>2025</v>
      </c>
      <c r="O38" t="s">
        <v>1143</v>
      </c>
      <c r="P38" t="s">
        <v>872</v>
      </c>
      <c r="Q38" t="str">
        <f t="shared" si="4"/>
        <v>Asset</v>
      </c>
    </row>
    <row r="39" spans="11:37" hidden="1">
      <c r="K39" t="s">
        <v>1146</v>
      </c>
      <c r="L39" t="s">
        <v>1147</v>
      </c>
      <c r="M39" s="163">
        <v>45685</v>
      </c>
      <c r="N39">
        <f t="shared" si="0"/>
        <v>2025</v>
      </c>
      <c r="O39" t="s">
        <v>33</v>
      </c>
      <c r="P39" t="s">
        <v>226</v>
      </c>
      <c r="Q39" t="str">
        <f t="shared" si="4"/>
        <v>Broker</v>
      </c>
      <c r="AK39" t="s">
        <v>2279</v>
      </c>
    </row>
    <row r="40" spans="11:37" hidden="1">
      <c r="K40" t="s">
        <v>1146</v>
      </c>
      <c r="L40" t="s">
        <v>1150</v>
      </c>
      <c r="M40" s="163">
        <v>45685</v>
      </c>
      <c r="N40">
        <f t="shared" si="0"/>
        <v>2025</v>
      </c>
      <c r="O40" t="s">
        <v>1050</v>
      </c>
      <c r="P40" t="s">
        <v>226</v>
      </c>
      <c r="Q40" t="str">
        <f t="shared" si="4"/>
        <v>Broker</v>
      </c>
      <c r="AK40" t="s">
        <v>2283</v>
      </c>
    </row>
    <row r="41" spans="11:37" hidden="1">
      <c r="K41" t="s">
        <v>1146</v>
      </c>
      <c r="L41" t="s">
        <v>1153</v>
      </c>
      <c r="M41" s="163">
        <v>45688</v>
      </c>
      <c r="N41">
        <f t="shared" si="0"/>
        <v>2025</v>
      </c>
      <c r="O41" t="s">
        <v>832</v>
      </c>
      <c r="P41" t="s">
        <v>226</v>
      </c>
      <c r="Q41" t="str">
        <f t="shared" si="4"/>
        <v>Broker</v>
      </c>
      <c r="AK41" t="s">
        <v>2312</v>
      </c>
    </row>
    <row r="42" spans="11:37" hidden="1">
      <c r="K42" t="s">
        <v>695</v>
      </c>
      <c r="L42" t="s">
        <v>1156</v>
      </c>
      <c r="M42" s="163">
        <v>45688</v>
      </c>
      <c r="N42">
        <f t="shared" si="0"/>
        <v>2025</v>
      </c>
      <c r="O42" t="s">
        <v>1157</v>
      </c>
      <c r="P42" t="s">
        <v>130</v>
      </c>
      <c r="Q42" t="str">
        <f t="shared" si="4"/>
        <v>Escritório Adv.</v>
      </c>
    </row>
    <row r="43" spans="11:37" hidden="1">
      <c r="K43" t="s">
        <v>1159</v>
      </c>
      <c r="M43" s="163">
        <v>45688</v>
      </c>
      <c r="N43">
        <f t="shared" si="0"/>
        <v>2025</v>
      </c>
      <c r="P43" t="s">
        <v>130</v>
      </c>
      <c r="Q43" t="str">
        <f t="shared" si="4"/>
        <v>Escritório Adv.</v>
      </c>
      <c r="AK43" t="s">
        <v>2318</v>
      </c>
    </row>
    <row r="44" spans="11:37" hidden="1">
      <c r="K44" t="s">
        <v>1161</v>
      </c>
      <c r="M44" s="163">
        <v>45688</v>
      </c>
      <c r="N44">
        <f t="shared" si="0"/>
        <v>2025</v>
      </c>
      <c r="P44" t="s">
        <v>130</v>
      </c>
      <c r="Q44" t="str">
        <f t="shared" si="4"/>
        <v>Escritório Adv.</v>
      </c>
      <c r="AK44" t="s">
        <v>2337</v>
      </c>
    </row>
    <row r="45" spans="11:37" hidden="1">
      <c r="K45" t="s">
        <v>1128</v>
      </c>
      <c r="L45" t="s">
        <v>1163</v>
      </c>
      <c r="M45" s="163">
        <v>45693</v>
      </c>
      <c r="N45">
        <f t="shared" si="0"/>
        <v>2025</v>
      </c>
      <c r="O45" t="s">
        <v>1164</v>
      </c>
      <c r="P45" t="s">
        <v>403</v>
      </c>
      <c r="Q45" t="str">
        <f t="shared" si="4"/>
        <v>Consultoria</v>
      </c>
      <c r="AK45" t="s">
        <v>2380</v>
      </c>
    </row>
    <row r="46" spans="11:37" hidden="1">
      <c r="K46" t="s">
        <v>1045</v>
      </c>
      <c r="L46" t="s">
        <v>1167</v>
      </c>
      <c r="M46" s="163">
        <v>45693</v>
      </c>
      <c r="N46">
        <f t="shared" si="0"/>
        <v>2025</v>
      </c>
      <c r="O46" t="s">
        <v>1168</v>
      </c>
      <c r="P46" t="s">
        <v>130</v>
      </c>
      <c r="Q46" t="str">
        <f t="shared" si="4"/>
        <v>Escritório Adv.</v>
      </c>
      <c r="AK46" t="s">
        <v>2434</v>
      </c>
    </row>
    <row r="47" spans="11:37" hidden="1">
      <c r="K47" t="s">
        <v>96</v>
      </c>
      <c r="L47" t="s">
        <v>1171</v>
      </c>
      <c r="M47" s="163">
        <v>45693</v>
      </c>
      <c r="N47">
        <f t="shared" si="0"/>
        <v>2025</v>
      </c>
      <c r="O47" t="s">
        <v>1234</v>
      </c>
      <c r="P47" t="s">
        <v>802</v>
      </c>
      <c r="Q47" t="str">
        <f t="shared" si="4"/>
        <v>Empresários / Executivo</v>
      </c>
      <c r="AK47" t="s">
        <v>2468</v>
      </c>
    </row>
    <row r="48" spans="11:37" hidden="1">
      <c r="K48" t="s">
        <v>320</v>
      </c>
      <c r="L48" t="s">
        <v>1174</v>
      </c>
      <c r="M48" s="163">
        <v>45693</v>
      </c>
      <c r="N48">
        <f t="shared" si="0"/>
        <v>2025</v>
      </c>
      <c r="O48" t="s">
        <v>1115</v>
      </c>
      <c r="P48" t="s">
        <v>403</v>
      </c>
      <c r="Q48" t="str">
        <f t="shared" si="4"/>
        <v>Consultoria</v>
      </c>
      <c r="AK48" t="s">
        <v>2459</v>
      </c>
    </row>
    <row r="49" spans="11:37" hidden="1">
      <c r="K49" t="s">
        <v>1146</v>
      </c>
      <c r="L49" t="s">
        <v>1176</v>
      </c>
      <c r="M49" s="163">
        <v>45685</v>
      </c>
      <c r="N49">
        <f t="shared" si="0"/>
        <v>2025</v>
      </c>
      <c r="O49" t="s">
        <v>1050</v>
      </c>
      <c r="P49" t="s">
        <v>226</v>
      </c>
      <c r="Q49" t="str">
        <f t="shared" si="4"/>
        <v>Broker</v>
      </c>
      <c r="AK49" t="s">
        <v>2466</v>
      </c>
    </row>
    <row r="50" spans="11:37" hidden="1">
      <c r="K50" t="s">
        <v>1178</v>
      </c>
      <c r="L50" t="s">
        <v>1179</v>
      </c>
      <c r="M50" s="163">
        <v>45696</v>
      </c>
      <c r="N50">
        <f t="shared" si="0"/>
        <v>2025</v>
      </c>
      <c r="O50" t="s">
        <v>1180</v>
      </c>
      <c r="P50" t="s">
        <v>130</v>
      </c>
      <c r="Q50" t="str">
        <f t="shared" si="4"/>
        <v>Escritório Adv.</v>
      </c>
      <c r="AK50" t="s">
        <v>2475</v>
      </c>
    </row>
    <row r="51" spans="11:37" hidden="1">
      <c r="K51" t="s">
        <v>1146</v>
      </c>
      <c r="L51" t="s">
        <v>1184</v>
      </c>
      <c r="M51" s="163">
        <v>45698</v>
      </c>
      <c r="N51">
        <f t="shared" si="0"/>
        <v>2025</v>
      </c>
      <c r="O51" t="s">
        <v>33</v>
      </c>
      <c r="P51" t="s">
        <v>226</v>
      </c>
      <c r="Q51" t="str">
        <f t="shared" si="4"/>
        <v>Broker</v>
      </c>
      <c r="AK51" t="s">
        <v>2507</v>
      </c>
    </row>
    <row r="52" spans="11:37" hidden="1">
      <c r="K52" t="s">
        <v>86</v>
      </c>
      <c r="L52" t="s">
        <v>1187</v>
      </c>
      <c r="M52" s="163">
        <v>45698</v>
      </c>
      <c r="N52">
        <f t="shared" si="0"/>
        <v>2025</v>
      </c>
      <c r="O52" t="s">
        <v>1188</v>
      </c>
      <c r="P52" t="s">
        <v>226</v>
      </c>
      <c r="Q52" t="str">
        <f t="shared" si="4"/>
        <v>Broker</v>
      </c>
      <c r="AK52" t="s">
        <v>2573</v>
      </c>
    </row>
    <row r="53" spans="11:37" hidden="1">
      <c r="K53" t="s">
        <v>1178</v>
      </c>
      <c r="L53" t="s">
        <v>1191</v>
      </c>
      <c r="M53" s="163">
        <v>45700</v>
      </c>
      <c r="N53">
        <f t="shared" si="0"/>
        <v>2025</v>
      </c>
      <c r="O53" t="s">
        <v>1192</v>
      </c>
      <c r="P53" t="s">
        <v>1193</v>
      </c>
      <c r="Q53" t="str">
        <f t="shared" si="4"/>
        <v>Banco</v>
      </c>
    </row>
    <row r="54" spans="11:37" hidden="1">
      <c r="K54" t="s">
        <v>1196</v>
      </c>
      <c r="L54" t="s">
        <v>1197</v>
      </c>
      <c r="M54" s="163">
        <v>45700</v>
      </c>
      <c r="N54">
        <f t="shared" si="0"/>
        <v>2025</v>
      </c>
      <c r="O54" t="s">
        <v>929</v>
      </c>
      <c r="P54" t="s">
        <v>226</v>
      </c>
      <c r="Q54" t="str">
        <f t="shared" si="4"/>
        <v>Broker</v>
      </c>
    </row>
    <row r="55" spans="11:37" hidden="1">
      <c r="K55" t="s">
        <v>1045</v>
      </c>
      <c r="L55" t="s">
        <v>1201</v>
      </c>
      <c r="M55" s="163">
        <v>45701</v>
      </c>
      <c r="N55">
        <f t="shared" si="0"/>
        <v>2025</v>
      </c>
      <c r="O55" t="s">
        <v>76</v>
      </c>
      <c r="P55" t="s">
        <v>403</v>
      </c>
      <c r="Q55" t="str">
        <f t="shared" si="4"/>
        <v>Consultoria</v>
      </c>
    </row>
    <row r="56" spans="11:37" hidden="1">
      <c r="K56" t="s">
        <v>1045</v>
      </c>
      <c r="L56" t="s">
        <v>1205</v>
      </c>
      <c r="M56" s="163">
        <v>45701</v>
      </c>
      <c r="N56">
        <f t="shared" si="0"/>
        <v>2025</v>
      </c>
      <c r="O56" t="s">
        <v>933</v>
      </c>
      <c r="P56" t="s">
        <v>1206</v>
      </c>
      <c r="Q56" t="str">
        <f t="shared" si="4"/>
        <v>Asset</v>
      </c>
    </row>
    <row r="57" spans="11:37" hidden="1">
      <c r="K57" t="s">
        <v>1045</v>
      </c>
      <c r="L57" t="s">
        <v>1210</v>
      </c>
      <c r="M57" s="163">
        <v>45700</v>
      </c>
      <c r="N57">
        <f t="shared" si="0"/>
        <v>2025</v>
      </c>
      <c r="O57" t="s">
        <v>1211</v>
      </c>
      <c r="P57" t="s">
        <v>403</v>
      </c>
      <c r="Q57" t="str">
        <f t="shared" si="4"/>
        <v>Consultoria</v>
      </c>
    </row>
    <row r="58" spans="11:37" hidden="1">
      <c r="K58" t="s">
        <v>1212</v>
      </c>
      <c r="L58" t="s">
        <v>431</v>
      </c>
      <c r="M58" s="163">
        <v>45705</v>
      </c>
      <c r="N58">
        <f t="shared" si="0"/>
        <v>2025</v>
      </c>
      <c r="O58" t="s">
        <v>1213</v>
      </c>
      <c r="P58" t="s">
        <v>130</v>
      </c>
      <c r="Q58" t="str">
        <f t="shared" si="4"/>
        <v>Escritório Adv.</v>
      </c>
    </row>
    <row r="59" spans="11:37" hidden="1">
      <c r="K59" t="s">
        <v>1045</v>
      </c>
      <c r="L59" t="s">
        <v>1217</v>
      </c>
      <c r="M59" s="163">
        <v>45705</v>
      </c>
      <c r="N59">
        <f t="shared" si="0"/>
        <v>2025</v>
      </c>
      <c r="O59" t="s">
        <v>1168</v>
      </c>
      <c r="P59" t="s">
        <v>130</v>
      </c>
      <c r="Q59" t="str">
        <f t="shared" si="4"/>
        <v>Escritório Adv.</v>
      </c>
    </row>
    <row r="60" spans="11:37" hidden="1">
      <c r="K60" t="s">
        <v>297</v>
      </c>
      <c r="L60" t="s">
        <v>1219</v>
      </c>
      <c r="M60" s="163">
        <v>45706</v>
      </c>
      <c r="N60">
        <f t="shared" si="0"/>
        <v>2025</v>
      </c>
      <c r="O60" t="s">
        <v>1220</v>
      </c>
      <c r="P60" t="s">
        <v>130</v>
      </c>
      <c r="Q60" t="str">
        <f t="shared" si="4"/>
        <v>Escritório Adv.</v>
      </c>
    </row>
    <row r="61" spans="11:37" hidden="1">
      <c r="K61" t="s">
        <v>1045</v>
      </c>
      <c r="L61" t="s">
        <v>1223</v>
      </c>
      <c r="M61" s="163">
        <v>45706</v>
      </c>
      <c r="N61">
        <f t="shared" si="0"/>
        <v>2025</v>
      </c>
      <c r="O61" t="s">
        <v>1224</v>
      </c>
      <c r="P61" t="s">
        <v>226</v>
      </c>
      <c r="Q61" t="str">
        <f t="shared" si="4"/>
        <v>Broker</v>
      </c>
    </row>
    <row r="62" spans="11:37" hidden="1">
      <c r="K62" t="s">
        <v>20</v>
      </c>
      <c r="L62" t="s">
        <v>1227</v>
      </c>
      <c r="M62" s="163">
        <v>45706</v>
      </c>
      <c r="N62">
        <f t="shared" si="0"/>
        <v>2025</v>
      </c>
      <c r="O62" t="s">
        <v>1094</v>
      </c>
      <c r="P62" t="s">
        <v>226</v>
      </c>
      <c r="Q62" t="str">
        <f t="shared" si="4"/>
        <v>Broker</v>
      </c>
    </row>
    <row r="63" spans="11:37" hidden="1">
      <c r="K63" t="s">
        <v>320</v>
      </c>
      <c r="L63" t="s">
        <v>1229</v>
      </c>
      <c r="M63" s="163">
        <v>45706</v>
      </c>
      <c r="N63">
        <f t="shared" si="0"/>
        <v>2025</v>
      </c>
      <c r="O63" t="s">
        <v>1230</v>
      </c>
      <c r="P63" t="s">
        <v>226</v>
      </c>
      <c r="Q63" t="str">
        <f t="shared" si="4"/>
        <v>Broker</v>
      </c>
    </row>
    <row r="64" spans="11:37" hidden="1">
      <c r="K64" t="s">
        <v>1045</v>
      </c>
      <c r="L64" t="s">
        <v>1233</v>
      </c>
      <c r="M64" s="163">
        <v>45709</v>
      </c>
      <c r="N64">
        <f t="shared" si="0"/>
        <v>2025</v>
      </c>
      <c r="O64" t="s">
        <v>1234</v>
      </c>
      <c r="P64" t="s">
        <v>802</v>
      </c>
      <c r="Q64" t="str">
        <f t="shared" si="4"/>
        <v>Empresários / Executivo</v>
      </c>
    </row>
    <row r="65" spans="11:17" hidden="1">
      <c r="K65" t="s">
        <v>695</v>
      </c>
      <c r="L65" t="s">
        <v>1236</v>
      </c>
      <c r="M65" s="163">
        <v>45712</v>
      </c>
      <c r="N65">
        <f t="shared" si="0"/>
        <v>2025</v>
      </c>
      <c r="O65" t="s">
        <v>1237</v>
      </c>
      <c r="P65" t="s">
        <v>130</v>
      </c>
      <c r="Q65" t="str">
        <f t="shared" si="4"/>
        <v>Escritório Adv.</v>
      </c>
    </row>
    <row r="66" spans="11:17" hidden="1">
      <c r="K66" t="s">
        <v>1045</v>
      </c>
      <c r="L66" t="s">
        <v>1241</v>
      </c>
      <c r="M66" s="163">
        <v>45712</v>
      </c>
      <c r="N66">
        <f t="shared" si="0"/>
        <v>2025</v>
      </c>
      <c r="O66" t="s">
        <v>1237</v>
      </c>
      <c r="P66" t="s">
        <v>130</v>
      </c>
      <c r="Q66" t="str">
        <f t="shared" si="4"/>
        <v>Escritório Adv.</v>
      </c>
    </row>
    <row r="67" spans="11:17" hidden="1">
      <c r="K67" t="s">
        <v>47</v>
      </c>
      <c r="L67" t="s">
        <v>1244</v>
      </c>
      <c r="M67" s="163">
        <v>45712</v>
      </c>
      <c r="N67">
        <f t="shared" ref="N67:N130" si="5">YEAR(M67)</f>
        <v>2025</v>
      </c>
      <c r="O67" t="s">
        <v>1237</v>
      </c>
      <c r="P67" t="s">
        <v>130</v>
      </c>
      <c r="Q67" t="str">
        <f t="shared" ref="Q67:Q130" si="6">+INDEX($AA$3:$AA$19,MATCH(P67,$Z$3:$Z$19,0))</f>
        <v>Escritório Adv.</v>
      </c>
    </row>
    <row r="68" spans="11:17" hidden="1">
      <c r="K68" t="s">
        <v>270</v>
      </c>
      <c r="L68" t="s">
        <v>1247</v>
      </c>
      <c r="M68" s="163">
        <v>45712</v>
      </c>
      <c r="N68">
        <f t="shared" si="5"/>
        <v>2025</v>
      </c>
      <c r="O68" t="s">
        <v>1248</v>
      </c>
      <c r="P68" t="s">
        <v>226</v>
      </c>
      <c r="Q68" t="str">
        <f t="shared" si="6"/>
        <v>Broker</v>
      </c>
    </row>
    <row r="69" spans="11:17">
      <c r="K69" t="s">
        <v>329</v>
      </c>
      <c r="L69" t="s">
        <v>1251</v>
      </c>
      <c r="M69" s="163">
        <v>45713</v>
      </c>
      <c r="N69">
        <f t="shared" si="5"/>
        <v>2025</v>
      </c>
      <c r="O69" t="s">
        <v>646</v>
      </c>
      <c r="P69" t="s">
        <v>1252</v>
      </c>
      <c r="Q69" t="str">
        <f t="shared" si="6"/>
        <v>Consultoria</v>
      </c>
    </row>
    <row r="70" spans="11:17" hidden="1">
      <c r="K70" t="s">
        <v>96</v>
      </c>
      <c r="L70" t="s">
        <v>1071</v>
      </c>
      <c r="M70" s="163">
        <v>45713</v>
      </c>
      <c r="N70">
        <f t="shared" si="5"/>
        <v>2025</v>
      </c>
      <c r="O70" t="s">
        <v>1071</v>
      </c>
      <c r="P70" t="s">
        <v>1072</v>
      </c>
      <c r="Q70" t="str">
        <f t="shared" si="6"/>
        <v>Empresários / Executivo</v>
      </c>
    </row>
    <row r="71" spans="11:17" hidden="1">
      <c r="K71" t="s">
        <v>1259</v>
      </c>
      <c r="L71" t="s">
        <v>1260</v>
      </c>
      <c r="M71" s="163">
        <v>45715</v>
      </c>
      <c r="N71">
        <f t="shared" si="5"/>
        <v>2025</v>
      </c>
      <c r="O71" t="s">
        <v>987</v>
      </c>
      <c r="P71" t="s">
        <v>1261</v>
      </c>
      <c r="Q71" t="str">
        <f t="shared" si="6"/>
        <v>Consultoria</v>
      </c>
    </row>
    <row r="72" spans="11:17" hidden="1">
      <c r="K72" t="s">
        <v>297</v>
      </c>
      <c r="L72" t="s">
        <v>1263</v>
      </c>
      <c r="M72" s="163">
        <v>45715</v>
      </c>
      <c r="N72">
        <f t="shared" si="5"/>
        <v>2025</v>
      </c>
      <c r="O72" t="s">
        <v>1234</v>
      </c>
      <c r="P72" t="s">
        <v>802</v>
      </c>
      <c r="Q72" t="str">
        <f t="shared" si="6"/>
        <v>Empresários / Executivo</v>
      </c>
    </row>
    <row r="73" spans="11:17" hidden="1">
      <c r="K73" t="s">
        <v>204</v>
      </c>
      <c r="L73" t="s">
        <v>1265</v>
      </c>
      <c r="M73" s="163">
        <v>45715</v>
      </c>
      <c r="N73">
        <f t="shared" si="5"/>
        <v>2025</v>
      </c>
      <c r="O73" t="s">
        <v>200</v>
      </c>
      <c r="P73" t="s">
        <v>130</v>
      </c>
      <c r="Q73" t="str">
        <f t="shared" si="6"/>
        <v>Escritório Adv.</v>
      </c>
    </row>
    <row r="74" spans="11:17" hidden="1">
      <c r="K74" t="s">
        <v>304</v>
      </c>
      <c r="L74" t="s">
        <v>1269</v>
      </c>
      <c r="M74" s="163">
        <v>45715</v>
      </c>
      <c r="N74">
        <f t="shared" si="5"/>
        <v>2025</v>
      </c>
      <c r="O74" t="s">
        <v>76</v>
      </c>
      <c r="P74" t="s">
        <v>76</v>
      </c>
      <c r="Q74" t="str">
        <f t="shared" si="6"/>
        <v>Consultoria</v>
      </c>
    </row>
    <row r="75" spans="11:17" hidden="1">
      <c r="K75" t="s">
        <v>467</v>
      </c>
      <c r="L75" t="s">
        <v>1272</v>
      </c>
      <c r="M75" s="163">
        <v>45715</v>
      </c>
      <c r="N75">
        <f t="shared" si="5"/>
        <v>2025</v>
      </c>
      <c r="O75" t="s">
        <v>1273</v>
      </c>
      <c r="P75" t="s">
        <v>802</v>
      </c>
      <c r="Q75" t="str">
        <f t="shared" si="6"/>
        <v>Empresários / Executivo</v>
      </c>
    </row>
    <row r="76" spans="11:17" hidden="1">
      <c r="K76" t="s">
        <v>270</v>
      </c>
      <c r="L76" t="s">
        <v>1276</v>
      </c>
      <c r="M76" s="163">
        <v>45716</v>
      </c>
      <c r="N76">
        <f t="shared" si="5"/>
        <v>2025</v>
      </c>
      <c r="O76" t="s">
        <v>76</v>
      </c>
      <c r="P76" t="s">
        <v>76</v>
      </c>
      <c r="Q76" t="str">
        <f t="shared" si="6"/>
        <v>Consultoria</v>
      </c>
    </row>
    <row r="77" spans="11:17" hidden="1">
      <c r="K77" t="s">
        <v>204</v>
      </c>
      <c r="L77" t="s">
        <v>1280</v>
      </c>
      <c r="M77" s="163">
        <v>45716</v>
      </c>
      <c r="N77">
        <f t="shared" si="5"/>
        <v>2025</v>
      </c>
      <c r="O77" t="s">
        <v>1234</v>
      </c>
      <c r="P77" t="s">
        <v>802</v>
      </c>
      <c r="Q77" t="str">
        <f t="shared" si="6"/>
        <v>Empresários / Executivo</v>
      </c>
    </row>
    <row r="78" spans="11:17" hidden="1">
      <c r="K78" t="s">
        <v>1212</v>
      </c>
      <c r="L78" t="s">
        <v>1283</v>
      </c>
      <c r="M78" s="163">
        <v>45716</v>
      </c>
      <c r="N78">
        <f t="shared" si="5"/>
        <v>2025</v>
      </c>
      <c r="O78" t="s">
        <v>1234</v>
      </c>
      <c r="P78" t="s">
        <v>802</v>
      </c>
      <c r="Q78" t="str">
        <f t="shared" si="6"/>
        <v>Empresários / Executivo</v>
      </c>
    </row>
    <row r="79" spans="11:17">
      <c r="K79" t="s">
        <v>1285</v>
      </c>
      <c r="L79" t="s">
        <v>1286</v>
      </c>
      <c r="M79" s="163">
        <v>45726</v>
      </c>
      <c r="N79">
        <f t="shared" si="5"/>
        <v>2025</v>
      </c>
      <c r="O79" t="s">
        <v>2599</v>
      </c>
      <c r="P79" t="s">
        <v>1918</v>
      </c>
      <c r="Q79" t="s">
        <v>1918</v>
      </c>
    </row>
    <row r="80" spans="11:17" hidden="1">
      <c r="K80" t="s">
        <v>1045</v>
      </c>
      <c r="L80" t="s">
        <v>1290</v>
      </c>
      <c r="M80" s="163">
        <v>45726</v>
      </c>
      <c r="N80">
        <f t="shared" si="5"/>
        <v>2025</v>
      </c>
      <c r="O80" t="s">
        <v>1291</v>
      </c>
      <c r="P80" t="s">
        <v>226</v>
      </c>
      <c r="Q80" t="str">
        <f t="shared" si="6"/>
        <v>Broker</v>
      </c>
    </row>
    <row r="81" spans="11:17" hidden="1">
      <c r="K81" t="s">
        <v>329</v>
      </c>
      <c r="L81" t="s">
        <v>1293</v>
      </c>
      <c r="M81" s="163">
        <v>45726</v>
      </c>
      <c r="N81">
        <f t="shared" si="5"/>
        <v>2025</v>
      </c>
      <c r="O81" t="s">
        <v>1294</v>
      </c>
      <c r="P81" t="s">
        <v>872</v>
      </c>
      <c r="Q81" t="str">
        <f t="shared" si="6"/>
        <v>Asset</v>
      </c>
    </row>
    <row r="82" spans="11:17" hidden="1">
      <c r="K82" t="s">
        <v>204</v>
      </c>
      <c r="L82" t="s">
        <v>1298</v>
      </c>
      <c r="M82" s="163">
        <v>45726</v>
      </c>
      <c r="N82">
        <f t="shared" si="5"/>
        <v>2025</v>
      </c>
      <c r="O82" t="s">
        <v>1299</v>
      </c>
      <c r="P82" t="s">
        <v>130</v>
      </c>
      <c r="Q82" t="str">
        <f t="shared" si="6"/>
        <v>Escritório Adv.</v>
      </c>
    </row>
    <row r="83" spans="11:17" hidden="1">
      <c r="K83" t="s">
        <v>204</v>
      </c>
      <c r="L83" t="s">
        <v>464</v>
      </c>
      <c r="M83" s="163">
        <v>45726</v>
      </c>
      <c r="N83">
        <f t="shared" si="5"/>
        <v>2025</v>
      </c>
      <c r="O83" t="s">
        <v>206</v>
      </c>
      <c r="P83" t="s">
        <v>1193</v>
      </c>
      <c r="Q83" t="str">
        <f t="shared" si="6"/>
        <v>Banco</v>
      </c>
    </row>
    <row r="84" spans="11:17" hidden="1">
      <c r="K84" t="s">
        <v>204</v>
      </c>
      <c r="L84" t="s">
        <v>1303</v>
      </c>
      <c r="M84" s="163">
        <v>45726</v>
      </c>
      <c r="N84">
        <f t="shared" si="5"/>
        <v>2025</v>
      </c>
      <c r="O84" t="s">
        <v>553</v>
      </c>
      <c r="P84" t="s">
        <v>1193</v>
      </c>
      <c r="Q84" t="str">
        <f t="shared" si="6"/>
        <v>Banco</v>
      </c>
    </row>
    <row r="85" spans="11:17" hidden="1">
      <c r="K85" t="s">
        <v>86</v>
      </c>
      <c r="L85" t="s">
        <v>1306</v>
      </c>
      <c r="M85" s="163">
        <v>45729</v>
      </c>
      <c r="N85">
        <f t="shared" si="5"/>
        <v>2025</v>
      </c>
      <c r="O85" t="s">
        <v>76</v>
      </c>
      <c r="P85" t="s">
        <v>76</v>
      </c>
      <c r="Q85" t="str">
        <f t="shared" si="6"/>
        <v>Consultoria</v>
      </c>
    </row>
    <row r="86" spans="11:17" hidden="1">
      <c r="K86" t="s">
        <v>1307</v>
      </c>
      <c r="L86" t="s">
        <v>1308</v>
      </c>
      <c r="M86" s="163">
        <v>45731</v>
      </c>
      <c r="N86">
        <f t="shared" si="5"/>
        <v>2025</v>
      </c>
      <c r="O86" t="s">
        <v>460</v>
      </c>
      <c r="P86" t="s">
        <v>130</v>
      </c>
      <c r="Q86" t="str">
        <f t="shared" si="6"/>
        <v>Escritório Adv.</v>
      </c>
    </row>
    <row r="87" spans="11:17" hidden="1">
      <c r="K87" t="s">
        <v>297</v>
      </c>
      <c r="L87" t="s">
        <v>1312</v>
      </c>
      <c r="M87" s="163">
        <v>45728</v>
      </c>
      <c r="N87">
        <f t="shared" si="5"/>
        <v>2025</v>
      </c>
      <c r="O87" t="s">
        <v>76</v>
      </c>
      <c r="P87" t="s">
        <v>76</v>
      </c>
      <c r="Q87" t="str">
        <f t="shared" si="6"/>
        <v>Consultoria</v>
      </c>
    </row>
    <row r="88" spans="11:17" hidden="1">
      <c r="K88" t="s">
        <v>695</v>
      </c>
      <c r="M88" s="163">
        <v>45733</v>
      </c>
      <c r="N88">
        <f t="shared" si="5"/>
        <v>2025</v>
      </c>
      <c r="O88" t="s">
        <v>1313</v>
      </c>
      <c r="P88" t="s">
        <v>130</v>
      </c>
      <c r="Q88" t="str">
        <f t="shared" si="6"/>
        <v>Escritório Adv.</v>
      </c>
    </row>
    <row r="89" spans="11:17" hidden="1">
      <c r="K89" t="s">
        <v>297</v>
      </c>
      <c r="L89" t="s">
        <v>1315</v>
      </c>
      <c r="M89" s="163">
        <v>45733</v>
      </c>
      <c r="N89">
        <f t="shared" si="5"/>
        <v>2025</v>
      </c>
      <c r="O89" t="s">
        <v>994</v>
      </c>
      <c r="P89" t="s">
        <v>226</v>
      </c>
      <c r="Q89" t="str">
        <f t="shared" si="6"/>
        <v>Broker</v>
      </c>
    </row>
    <row r="90" spans="11:17">
      <c r="K90" t="s">
        <v>329</v>
      </c>
      <c r="L90" t="s">
        <v>1318</v>
      </c>
      <c r="M90" s="163">
        <v>45734</v>
      </c>
      <c r="N90">
        <f t="shared" si="5"/>
        <v>2025</v>
      </c>
      <c r="O90" t="s">
        <v>1319</v>
      </c>
      <c r="P90" t="s">
        <v>1252</v>
      </c>
      <c r="Q90" t="str">
        <f t="shared" si="6"/>
        <v>Consultoria</v>
      </c>
    </row>
    <row r="91" spans="11:17" hidden="1">
      <c r="K91" t="s">
        <v>270</v>
      </c>
      <c r="L91" t="s">
        <v>1323</v>
      </c>
      <c r="M91" s="163">
        <v>45734</v>
      </c>
      <c r="N91">
        <f t="shared" si="5"/>
        <v>2025</v>
      </c>
      <c r="O91" t="s">
        <v>994</v>
      </c>
      <c r="P91" t="s">
        <v>226</v>
      </c>
      <c r="Q91" t="str">
        <f t="shared" si="6"/>
        <v>Broker</v>
      </c>
    </row>
    <row r="92" spans="11:17" hidden="1">
      <c r="K92" t="s">
        <v>1045</v>
      </c>
      <c r="L92" t="s">
        <v>1327</v>
      </c>
      <c r="M92" s="163">
        <v>45734</v>
      </c>
      <c r="N92">
        <f t="shared" si="5"/>
        <v>2025</v>
      </c>
      <c r="O92" t="s">
        <v>1328</v>
      </c>
      <c r="P92" t="s">
        <v>872</v>
      </c>
      <c r="Q92" t="str">
        <f t="shared" si="6"/>
        <v>Asset</v>
      </c>
    </row>
    <row r="93" spans="11:17" hidden="1">
      <c r="K93" t="s">
        <v>1045</v>
      </c>
      <c r="L93" t="s">
        <v>1331</v>
      </c>
      <c r="M93" s="163">
        <v>45737</v>
      </c>
      <c r="N93">
        <f t="shared" si="5"/>
        <v>2025</v>
      </c>
      <c r="O93" t="s">
        <v>1332</v>
      </c>
      <c r="P93" t="s">
        <v>226</v>
      </c>
      <c r="Q93" t="str">
        <f t="shared" si="6"/>
        <v>Broker</v>
      </c>
    </row>
    <row r="94" spans="11:17" hidden="1">
      <c r="K94" t="s">
        <v>270</v>
      </c>
      <c r="L94" t="s">
        <v>1336</v>
      </c>
      <c r="M94" s="163">
        <v>45737</v>
      </c>
      <c r="N94">
        <f t="shared" si="5"/>
        <v>2025</v>
      </c>
      <c r="O94" t="s">
        <v>1234</v>
      </c>
      <c r="P94" t="s">
        <v>802</v>
      </c>
      <c r="Q94" t="str">
        <f t="shared" si="6"/>
        <v>Empresários / Executivo</v>
      </c>
    </row>
    <row r="95" spans="11:17" hidden="1">
      <c r="K95" t="s">
        <v>1045</v>
      </c>
      <c r="L95" t="s">
        <v>1339</v>
      </c>
      <c r="M95" s="163">
        <v>45744</v>
      </c>
      <c r="N95">
        <f t="shared" si="5"/>
        <v>2025</v>
      </c>
      <c r="O95" t="s">
        <v>76</v>
      </c>
      <c r="P95" t="s">
        <v>76</v>
      </c>
      <c r="Q95" t="str">
        <f t="shared" si="6"/>
        <v>Consultoria</v>
      </c>
    </row>
    <row r="96" spans="11:17">
      <c r="K96" t="s">
        <v>329</v>
      </c>
      <c r="L96" t="s">
        <v>1343</v>
      </c>
      <c r="M96" s="163">
        <v>45747</v>
      </c>
      <c r="N96">
        <f t="shared" si="5"/>
        <v>2025</v>
      </c>
      <c r="O96" t="s">
        <v>1344</v>
      </c>
      <c r="P96" t="s">
        <v>1252</v>
      </c>
      <c r="Q96" t="str">
        <f t="shared" si="6"/>
        <v>Consultoria</v>
      </c>
    </row>
    <row r="97" spans="11:17" hidden="1">
      <c r="K97" t="s">
        <v>1307</v>
      </c>
      <c r="L97" t="s">
        <v>239</v>
      </c>
      <c r="M97" s="163">
        <v>45742</v>
      </c>
      <c r="N97">
        <f t="shared" si="5"/>
        <v>2025</v>
      </c>
      <c r="O97" t="s">
        <v>1348</v>
      </c>
      <c r="P97" t="s">
        <v>226</v>
      </c>
      <c r="Q97" t="str">
        <f t="shared" si="6"/>
        <v>Broker</v>
      </c>
    </row>
    <row r="98" spans="11:17" hidden="1">
      <c r="K98" t="s">
        <v>270</v>
      </c>
      <c r="L98" t="s">
        <v>1352</v>
      </c>
      <c r="M98" s="163">
        <v>45742</v>
      </c>
      <c r="N98">
        <f t="shared" si="5"/>
        <v>2025</v>
      </c>
      <c r="O98" t="s">
        <v>1353</v>
      </c>
      <c r="P98" t="s">
        <v>226</v>
      </c>
      <c r="Q98" t="str">
        <f t="shared" si="6"/>
        <v>Broker</v>
      </c>
    </row>
    <row r="99" spans="11:17" hidden="1">
      <c r="K99" t="s">
        <v>807</v>
      </c>
      <c r="L99" t="s">
        <v>931</v>
      </c>
      <c r="M99" s="163">
        <v>45742</v>
      </c>
      <c r="N99">
        <f t="shared" si="5"/>
        <v>2025</v>
      </c>
      <c r="O99" t="s">
        <v>994</v>
      </c>
      <c r="P99" t="s">
        <v>226</v>
      </c>
      <c r="Q99" t="str">
        <f t="shared" si="6"/>
        <v>Broker</v>
      </c>
    </row>
    <row r="100" spans="11:17" hidden="1">
      <c r="K100" t="s">
        <v>86</v>
      </c>
      <c r="L100" t="s">
        <v>1358</v>
      </c>
      <c r="M100" s="163">
        <v>45744</v>
      </c>
      <c r="N100">
        <f t="shared" si="5"/>
        <v>2025</v>
      </c>
      <c r="O100" t="s">
        <v>994</v>
      </c>
      <c r="P100" t="s">
        <v>226</v>
      </c>
      <c r="Q100" t="str">
        <f t="shared" si="6"/>
        <v>Broker</v>
      </c>
    </row>
    <row r="101" spans="11:17" hidden="1">
      <c r="K101" t="s">
        <v>270</v>
      </c>
      <c r="L101" t="s">
        <v>1360</v>
      </c>
      <c r="M101" s="163">
        <v>45747</v>
      </c>
      <c r="N101">
        <f t="shared" si="5"/>
        <v>2025</v>
      </c>
      <c r="O101" t="s">
        <v>82</v>
      </c>
      <c r="P101" t="s">
        <v>802</v>
      </c>
      <c r="Q101" t="str">
        <f t="shared" si="6"/>
        <v>Empresários / Executivo</v>
      </c>
    </row>
    <row r="102" spans="11:17">
      <c r="K102" t="s">
        <v>329</v>
      </c>
      <c r="L102" t="s">
        <v>1362</v>
      </c>
      <c r="M102" s="163">
        <v>45751</v>
      </c>
      <c r="N102">
        <f t="shared" si="5"/>
        <v>2025</v>
      </c>
      <c r="O102" t="s">
        <v>2599</v>
      </c>
      <c r="P102" t="s">
        <v>1918</v>
      </c>
      <c r="Q102" t="s">
        <v>1918</v>
      </c>
    </row>
    <row r="103" spans="11:17" hidden="1">
      <c r="K103" t="s">
        <v>329</v>
      </c>
      <c r="L103" t="s">
        <v>1364</v>
      </c>
      <c r="M103" s="163">
        <v>45751</v>
      </c>
      <c r="N103">
        <f t="shared" si="5"/>
        <v>2025</v>
      </c>
      <c r="O103" t="s">
        <v>76</v>
      </c>
      <c r="P103" t="s">
        <v>76</v>
      </c>
      <c r="Q103" t="str">
        <f t="shared" si="6"/>
        <v>Consultoria</v>
      </c>
    </row>
    <row r="104" spans="11:17" hidden="1">
      <c r="K104" t="s">
        <v>1045</v>
      </c>
      <c r="L104" t="s">
        <v>1368</v>
      </c>
      <c r="M104" s="163">
        <v>45751</v>
      </c>
      <c r="N104">
        <f t="shared" si="5"/>
        <v>2025</v>
      </c>
      <c r="O104" t="s">
        <v>76</v>
      </c>
      <c r="P104" t="s">
        <v>76</v>
      </c>
      <c r="Q104" t="str">
        <f t="shared" si="6"/>
        <v>Consultoria</v>
      </c>
    </row>
    <row r="105" spans="11:17" hidden="1">
      <c r="K105" t="s">
        <v>204</v>
      </c>
      <c r="L105" t="s">
        <v>1372</v>
      </c>
      <c r="M105" s="163">
        <v>45751</v>
      </c>
      <c r="N105">
        <f t="shared" si="5"/>
        <v>2025</v>
      </c>
      <c r="P105" t="s">
        <v>1193</v>
      </c>
      <c r="Q105" t="str">
        <f t="shared" si="6"/>
        <v>Banco</v>
      </c>
    </row>
    <row r="106" spans="11:17" hidden="1">
      <c r="K106" t="s">
        <v>1045</v>
      </c>
      <c r="L106" t="s">
        <v>1376</v>
      </c>
      <c r="M106" s="163">
        <v>45751</v>
      </c>
      <c r="N106">
        <f t="shared" si="5"/>
        <v>2025</v>
      </c>
      <c r="O106" t="s">
        <v>1328</v>
      </c>
      <c r="P106" t="s">
        <v>872</v>
      </c>
      <c r="Q106" t="str">
        <f t="shared" si="6"/>
        <v>Asset</v>
      </c>
    </row>
    <row r="107" spans="11:17" hidden="1">
      <c r="K107" t="s">
        <v>1045</v>
      </c>
      <c r="L107" t="s">
        <v>1380</v>
      </c>
      <c r="M107" s="163">
        <v>45748</v>
      </c>
      <c r="N107">
        <f t="shared" si="5"/>
        <v>2025</v>
      </c>
      <c r="P107" t="s">
        <v>1261</v>
      </c>
      <c r="Q107" t="str">
        <f t="shared" si="6"/>
        <v>Consultoria</v>
      </c>
    </row>
    <row r="108" spans="11:17" hidden="1">
      <c r="K108" t="s">
        <v>204</v>
      </c>
      <c r="L108" t="s">
        <v>1383</v>
      </c>
      <c r="M108" s="163">
        <v>45748</v>
      </c>
      <c r="N108">
        <f t="shared" si="5"/>
        <v>2025</v>
      </c>
      <c r="P108" t="s">
        <v>1193</v>
      </c>
      <c r="Q108" t="str">
        <f t="shared" si="6"/>
        <v>Banco</v>
      </c>
    </row>
    <row r="109" spans="11:17" hidden="1">
      <c r="K109" t="s">
        <v>1387</v>
      </c>
      <c r="L109" t="s">
        <v>1388</v>
      </c>
      <c r="M109" s="163">
        <v>45751</v>
      </c>
      <c r="N109">
        <f t="shared" si="5"/>
        <v>2025</v>
      </c>
      <c r="O109" t="s">
        <v>226</v>
      </c>
      <c r="P109" t="s">
        <v>226</v>
      </c>
      <c r="Q109" t="str">
        <f t="shared" si="6"/>
        <v>Broker</v>
      </c>
    </row>
    <row r="110" spans="11:17" hidden="1">
      <c r="K110" t="s">
        <v>86</v>
      </c>
      <c r="L110" t="s">
        <v>1390</v>
      </c>
      <c r="M110" s="163">
        <v>45751</v>
      </c>
      <c r="N110">
        <f t="shared" si="5"/>
        <v>2025</v>
      </c>
      <c r="O110" t="s">
        <v>1391</v>
      </c>
      <c r="P110" t="s">
        <v>130</v>
      </c>
      <c r="Q110" t="str">
        <f t="shared" si="6"/>
        <v>Escritório Adv.</v>
      </c>
    </row>
    <row r="111" spans="11:17" hidden="1">
      <c r="K111" t="s">
        <v>270</v>
      </c>
      <c r="L111" t="s">
        <v>1393</v>
      </c>
      <c r="M111" s="163">
        <v>45754</v>
      </c>
      <c r="N111">
        <f t="shared" si="5"/>
        <v>2025</v>
      </c>
      <c r="O111" t="s">
        <v>1394</v>
      </c>
      <c r="P111" t="s">
        <v>226</v>
      </c>
      <c r="Q111" t="str">
        <f t="shared" si="6"/>
        <v>Broker</v>
      </c>
    </row>
    <row r="112" spans="11:17" hidden="1">
      <c r="K112" t="s">
        <v>96</v>
      </c>
      <c r="L112" t="s">
        <v>1397</v>
      </c>
      <c r="M112" s="163">
        <v>45754</v>
      </c>
      <c r="N112">
        <f t="shared" si="5"/>
        <v>2025</v>
      </c>
      <c r="O112" t="s">
        <v>1328</v>
      </c>
      <c r="P112" t="s">
        <v>872</v>
      </c>
      <c r="Q112" t="str">
        <f t="shared" si="6"/>
        <v>Asset</v>
      </c>
    </row>
    <row r="113" spans="11:17">
      <c r="K113" t="s">
        <v>96</v>
      </c>
      <c r="L113" t="s">
        <v>1400</v>
      </c>
      <c r="M113" s="163">
        <v>45754</v>
      </c>
      <c r="N113">
        <f t="shared" si="5"/>
        <v>2025</v>
      </c>
      <c r="O113" t="s">
        <v>1401</v>
      </c>
      <c r="P113" t="s">
        <v>1918</v>
      </c>
      <c r="Q113" t="s">
        <v>1918</v>
      </c>
    </row>
    <row r="114" spans="11:17">
      <c r="K114" t="s">
        <v>1403</v>
      </c>
      <c r="L114" t="s">
        <v>378</v>
      </c>
      <c r="M114" s="163">
        <v>45754</v>
      </c>
      <c r="N114">
        <f t="shared" si="5"/>
        <v>2025</v>
      </c>
      <c r="O114" t="s">
        <v>2598</v>
      </c>
      <c r="P114" t="s">
        <v>1918</v>
      </c>
      <c r="Q114" t="s">
        <v>1918</v>
      </c>
    </row>
    <row r="115" spans="11:17" hidden="1">
      <c r="K115" t="s">
        <v>297</v>
      </c>
      <c r="L115" t="s">
        <v>1405</v>
      </c>
      <c r="M115" s="163">
        <v>45757</v>
      </c>
      <c r="N115">
        <f t="shared" si="5"/>
        <v>2025</v>
      </c>
      <c r="O115" t="s">
        <v>1406</v>
      </c>
      <c r="P115" t="s">
        <v>802</v>
      </c>
      <c r="Q115" t="str">
        <f t="shared" si="6"/>
        <v>Empresários / Executivo</v>
      </c>
    </row>
    <row r="116" spans="11:17" hidden="1">
      <c r="K116" t="s">
        <v>270</v>
      </c>
      <c r="L116" t="s">
        <v>1408</v>
      </c>
      <c r="M116" s="163">
        <v>45757</v>
      </c>
      <c r="N116">
        <f t="shared" si="5"/>
        <v>2025</v>
      </c>
      <c r="O116" t="s">
        <v>1409</v>
      </c>
      <c r="P116" t="s">
        <v>130</v>
      </c>
      <c r="Q116" t="str">
        <f t="shared" si="6"/>
        <v>Escritório Adv.</v>
      </c>
    </row>
    <row r="117" spans="11:17" hidden="1">
      <c r="K117" t="s">
        <v>297</v>
      </c>
      <c r="L117" t="s">
        <v>1412</v>
      </c>
      <c r="M117" s="163">
        <v>45757</v>
      </c>
      <c r="N117">
        <f t="shared" si="5"/>
        <v>2025</v>
      </c>
      <c r="O117" t="s">
        <v>144</v>
      </c>
      <c r="P117" t="s">
        <v>130</v>
      </c>
      <c r="Q117" t="str">
        <f t="shared" si="6"/>
        <v>Escritório Adv.</v>
      </c>
    </row>
    <row r="118" spans="11:17" hidden="1">
      <c r="K118" t="s">
        <v>1045</v>
      </c>
      <c r="L118" t="s">
        <v>1414</v>
      </c>
      <c r="M118" s="163">
        <v>45764</v>
      </c>
      <c r="N118">
        <f t="shared" si="5"/>
        <v>2025</v>
      </c>
      <c r="O118" t="s">
        <v>1313</v>
      </c>
      <c r="P118" t="s">
        <v>130</v>
      </c>
      <c r="Q118" t="str">
        <f t="shared" si="6"/>
        <v>Escritório Adv.</v>
      </c>
    </row>
    <row r="119" spans="11:17" hidden="1">
      <c r="K119" t="s">
        <v>1418</v>
      </c>
      <c r="L119" t="s">
        <v>1419</v>
      </c>
      <c r="M119" s="163">
        <v>45764</v>
      </c>
      <c r="N119">
        <f t="shared" si="5"/>
        <v>2025</v>
      </c>
      <c r="O119" t="s">
        <v>608</v>
      </c>
      <c r="P119" t="s">
        <v>226</v>
      </c>
      <c r="Q119" t="str">
        <f t="shared" si="6"/>
        <v>Broker</v>
      </c>
    </row>
    <row r="120" spans="11:17" hidden="1">
      <c r="K120" t="s">
        <v>1045</v>
      </c>
      <c r="L120" t="s">
        <v>1421</v>
      </c>
      <c r="M120" s="163">
        <v>45764</v>
      </c>
      <c r="N120">
        <f t="shared" si="5"/>
        <v>2025</v>
      </c>
      <c r="O120" t="s">
        <v>608</v>
      </c>
      <c r="P120" t="s">
        <v>226</v>
      </c>
      <c r="Q120" t="str">
        <f t="shared" si="6"/>
        <v>Broker</v>
      </c>
    </row>
    <row r="121" spans="11:17" hidden="1">
      <c r="K121" t="s">
        <v>304</v>
      </c>
      <c r="L121" t="s">
        <v>1424</v>
      </c>
      <c r="M121" s="163">
        <v>45764</v>
      </c>
      <c r="N121">
        <f t="shared" si="5"/>
        <v>2025</v>
      </c>
      <c r="O121" t="s">
        <v>76</v>
      </c>
      <c r="P121" t="s">
        <v>76</v>
      </c>
      <c r="Q121" t="str">
        <f t="shared" si="6"/>
        <v>Consultoria</v>
      </c>
    </row>
    <row r="122" spans="11:17" hidden="1">
      <c r="K122" t="s">
        <v>320</v>
      </c>
      <c r="L122" t="s">
        <v>1426</v>
      </c>
      <c r="M122" s="163">
        <v>45763</v>
      </c>
      <c r="N122">
        <f t="shared" si="5"/>
        <v>2025</v>
      </c>
      <c r="O122" t="s">
        <v>76</v>
      </c>
      <c r="P122" t="s">
        <v>76</v>
      </c>
      <c r="Q122" t="str">
        <f t="shared" si="6"/>
        <v>Consultoria</v>
      </c>
    </row>
    <row r="123" spans="11:17" hidden="1">
      <c r="K123" t="s">
        <v>304</v>
      </c>
      <c r="L123" t="s">
        <v>1428</v>
      </c>
      <c r="M123" s="163">
        <v>45764</v>
      </c>
      <c r="N123">
        <f t="shared" si="5"/>
        <v>2025</v>
      </c>
      <c r="O123" t="s">
        <v>76</v>
      </c>
      <c r="P123" t="s">
        <v>76</v>
      </c>
      <c r="Q123" t="str">
        <f t="shared" si="6"/>
        <v>Consultoria</v>
      </c>
    </row>
    <row r="124" spans="11:17" hidden="1">
      <c r="K124" t="s">
        <v>807</v>
      </c>
      <c r="L124" t="s">
        <v>1431</v>
      </c>
      <c r="M124" s="163">
        <v>45769</v>
      </c>
      <c r="N124">
        <f t="shared" si="5"/>
        <v>2025</v>
      </c>
      <c r="O124" t="s">
        <v>1432</v>
      </c>
      <c r="P124" t="s">
        <v>130</v>
      </c>
      <c r="Q124" t="str">
        <f t="shared" si="6"/>
        <v>Escritório Adv.</v>
      </c>
    </row>
    <row r="125" spans="11:17" hidden="1">
      <c r="K125" t="s">
        <v>320</v>
      </c>
      <c r="L125" t="s">
        <v>1434</v>
      </c>
      <c r="M125" s="163">
        <v>45771</v>
      </c>
      <c r="N125">
        <f t="shared" si="5"/>
        <v>2025</v>
      </c>
      <c r="O125" t="s">
        <v>1050</v>
      </c>
      <c r="P125" t="s">
        <v>226</v>
      </c>
      <c r="Q125" t="str">
        <f t="shared" si="6"/>
        <v>Broker</v>
      </c>
    </row>
    <row r="126" spans="11:17" hidden="1">
      <c r="K126" t="s">
        <v>320</v>
      </c>
      <c r="L126" t="s">
        <v>1436</v>
      </c>
      <c r="M126" s="163">
        <v>45771</v>
      </c>
      <c r="N126">
        <f t="shared" si="5"/>
        <v>2025</v>
      </c>
      <c r="O126" t="s">
        <v>76</v>
      </c>
      <c r="P126" t="s">
        <v>76</v>
      </c>
      <c r="Q126" t="str">
        <f t="shared" si="6"/>
        <v>Consultoria</v>
      </c>
    </row>
    <row r="127" spans="11:17" hidden="1">
      <c r="K127" t="s">
        <v>320</v>
      </c>
      <c r="L127" t="s">
        <v>458</v>
      </c>
      <c r="M127" s="163">
        <v>45771</v>
      </c>
      <c r="N127">
        <f t="shared" si="5"/>
        <v>2025</v>
      </c>
      <c r="O127" t="s">
        <v>76</v>
      </c>
      <c r="P127" t="s">
        <v>76</v>
      </c>
      <c r="Q127" t="str">
        <f t="shared" si="6"/>
        <v>Consultoria</v>
      </c>
    </row>
    <row r="128" spans="11:17" hidden="1">
      <c r="K128" t="s">
        <v>304</v>
      </c>
      <c r="L128" t="s">
        <v>1440</v>
      </c>
      <c r="M128" s="163">
        <v>45771</v>
      </c>
      <c r="N128">
        <f t="shared" si="5"/>
        <v>2025</v>
      </c>
      <c r="O128" t="s">
        <v>306</v>
      </c>
      <c r="P128" t="s">
        <v>226</v>
      </c>
      <c r="Q128" t="str">
        <f t="shared" si="6"/>
        <v>Broker</v>
      </c>
    </row>
    <row r="129" spans="11:17" hidden="1">
      <c r="K129" t="s">
        <v>807</v>
      </c>
      <c r="L129" t="s">
        <v>1443</v>
      </c>
      <c r="M129" s="163">
        <v>45771</v>
      </c>
      <c r="N129">
        <f t="shared" si="5"/>
        <v>2025</v>
      </c>
      <c r="O129" t="s">
        <v>76</v>
      </c>
      <c r="P129" t="s">
        <v>76</v>
      </c>
      <c r="Q129" t="str">
        <f t="shared" si="6"/>
        <v>Consultoria</v>
      </c>
    </row>
    <row r="130" spans="11:17" hidden="1">
      <c r="K130" t="s">
        <v>1045</v>
      </c>
      <c r="L130" t="s">
        <v>1447</v>
      </c>
      <c r="M130" s="163">
        <v>45771</v>
      </c>
      <c r="N130">
        <f t="shared" si="5"/>
        <v>2025</v>
      </c>
      <c r="O130" t="s">
        <v>2597</v>
      </c>
      <c r="P130" t="s">
        <v>1193</v>
      </c>
      <c r="Q130" t="str">
        <f t="shared" si="6"/>
        <v>Banco</v>
      </c>
    </row>
    <row r="131" spans="11:17" hidden="1">
      <c r="K131" t="s">
        <v>329</v>
      </c>
      <c r="L131" t="s">
        <v>1449</v>
      </c>
      <c r="M131" s="163">
        <v>45775</v>
      </c>
      <c r="N131">
        <f t="shared" ref="N131:N194" si="7">YEAR(M131)</f>
        <v>2025</v>
      </c>
      <c r="O131" t="s">
        <v>76</v>
      </c>
      <c r="P131" t="s">
        <v>76</v>
      </c>
      <c r="Q131" t="str">
        <f t="shared" ref="Q131:Q194" si="8">+INDEX($AA$3:$AA$19,MATCH(P131,$Z$3:$Z$19,0))</f>
        <v>Consultoria</v>
      </c>
    </row>
    <row r="132" spans="11:17" hidden="1">
      <c r="K132" t="s">
        <v>1387</v>
      </c>
      <c r="L132" t="s">
        <v>1453</v>
      </c>
      <c r="M132" s="163">
        <v>45757</v>
      </c>
      <c r="N132">
        <f t="shared" si="7"/>
        <v>2025</v>
      </c>
      <c r="O132" t="s">
        <v>33</v>
      </c>
      <c r="P132" t="s">
        <v>226</v>
      </c>
      <c r="Q132" t="str">
        <f t="shared" si="8"/>
        <v>Broker</v>
      </c>
    </row>
    <row r="133" spans="11:17" hidden="1">
      <c r="K133" t="s">
        <v>204</v>
      </c>
      <c r="L133" t="s">
        <v>1454</v>
      </c>
      <c r="M133" s="163">
        <v>45782</v>
      </c>
      <c r="N133">
        <f t="shared" si="7"/>
        <v>2025</v>
      </c>
      <c r="O133" t="s">
        <v>1455</v>
      </c>
      <c r="P133" t="s">
        <v>872</v>
      </c>
      <c r="Q133" t="str">
        <f t="shared" si="8"/>
        <v>Asset</v>
      </c>
    </row>
    <row r="134" spans="11:17" hidden="1">
      <c r="K134" t="s">
        <v>304</v>
      </c>
      <c r="L134" t="s">
        <v>1458</v>
      </c>
      <c r="M134" s="163">
        <v>45778</v>
      </c>
      <c r="N134">
        <f t="shared" si="7"/>
        <v>2025</v>
      </c>
      <c r="O134" t="s">
        <v>1050</v>
      </c>
      <c r="P134" t="s">
        <v>226</v>
      </c>
      <c r="Q134" t="str">
        <f t="shared" si="8"/>
        <v>Broker</v>
      </c>
    </row>
    <row r="135" spans="11:17" hidden="1">
      <c r="K135" t="s">
        <v>320</v>
      </c>
      <c r="L135" t="s">
        <v>1461</v>
      </c>
      <c r="M135" s="163">
        <v>45783</v>
      </c>
      <c r="N135">
        <f t="shared" si="7"/>
        <v>2025</v>
      </c>
      <c r="O135" t="s">
        <v>76</v>
      </c>
      <c r="P135" t="s">
        <v>76</v>
      </c>
      <c r="Q135" t="str">
        <f t="shared" si="8"/>
        <v>Consultoria</v>
      </c>
    </row>
    <row r="136" spans="11:17" hidden="1">
      <c r="K136" t="s">
        <v>320</v>
      </c>
      <c r="L136" t="s">
        <v>1463</v>
      </c>
      <c r="M136" s="163">
        <v>45784</v>
      </c>
      <c r="N136">
        <f t="shared" si="7"/>
        <v>2025</v>
      </c>
      <c r="O136" t="s">
        <v>1464</v>
      </c>
      <c r="P136" t="s">
        <v>226</v>
      </c>
      <c r="Q136" t="str">
        <f t="shared" si="8"/>
        <v>Broker</v>
      </c>
    </row>
    <row r="137" spans="11:17" hidden="1">
      <c r="K137" t="s">
        <v>1045</v>
      </c>
      <c r="L137" t="s">
        <v>1467</v>
      </c>
      <c r="M137" s="163">
        <v>45785</v>
      </c>
      <c r="N137">
        <f t="shared" si="7"/>
        <v>2025</v>
      </c>
      <c r="O137" t="s">
        <v>76</v>
      </c>
      <c r="P137" t="s">
        <v>76</v>
      </c>
      <c r="Q137" t="str">
        <f t="shared" si="8"/>
        <v>Consultoria</v>
      </c>
    </row>
    <row r="138" spans="11:17" hidden="1">
      <c r="K138" t="s">
        <v>1470</v>
      </c>
      <c r="L138" t="s">
        <v>1471</v>
      </c>
      <c r="M138" s="163">
        <v>45785</v>
      </c>
      <c r="N138">
        <f t="shared" si="7"/>
        <v>2025</v>
      </c>
      <c r="O138" t="s">
        <v>1472</v>
      </c>
      <c r="P138" t="s">
        <v>226</v>
      </c>
      <c r="Q138" t="str">
        <f t="shared" si="8"/>
        <v>Broker</v>
      </c>
    </row>
    <row r="139" spans="11:17" hidden="1">
      <c r="K139" t="s">
        <v>270</v>
      </c>
      <c r="L139" t="s">
        <v>1475</v>
      </c>
      <c r="M139" s="163">
        <v>45789</v>
      </c>
      <c r="N139">
        <f t="shared" si="7"/>
        <v>2025</v>
      </c>
      <c r="O139" t="s">
        <v>1143</v>
      </c>
      <c r="P139" t="s">
        <v>872</v>
      </c>
      <c r="Q139" t="str">
        <f t="shared" si="8"/>
        <v>Asset</v>
      </c>
    </row>
    <row r="140" spans="11:17" hidden="1">
      <c r="K140" t="s">
        <v>1045</v>
      </c>
      <c r="L140" t="s">
        <v>1479</v>
      </c>
      <c r="M140" s="163">
        <v>45789</v>
      </c>
      <c r="N140">
        <f t="shared" si="7"/>
        <v>2025</v>
      </c>
      <c r="O140" t="s">
        <v>1480</v>
      </c>
      <c r="P140" t="s">
        <v>1261</v>
      </c>
      <c r="Q140" t="str">
        <f t="shared" si="8"/>
        <v>Consultoria</v>
      </c>
    </row>
    <row r="141" spans="11:17" hidden="1">
      <c r="K141" t="s">
        <v>1045</v>
      </c>
      <c r="L141" t="s">
        <v>1484</v>
      </c>
      <c r="M141" s="163">
        <v>45792</v>
      </c>
      <c r="N141">
        <f t="shared" si="7"/>
        <v>2025</v>
      </c>
      <c r="O141" t="s">
        <v>425</v>
      </c>
      <c r="P141" t="s">
        <v>1261</v>
      </c>
      <c r="Q141" t="str">
        <f t="shared" si="8"/>
        <v>Consultoria</v>
      </c>
    </row>
    <row r="142" spans="11:17" hidden="1">
      <c r="K142" t="s">
        <v>1045</v>
      </c>
      <c r="L142" t="s">
        <v>1486</v>
      </c>
      <c r="M142" s="163">
        <v>45792</v>
      </c>
      <c r="N142">
        <f t="shared" si="7"/>
        <v>2025</v>
      </c>
      <c r="O142" t="s">
        <v>425</v>
      </c>
      <c r="P142" t="s">
        <v>1261</v>
      </c>
      <c r="Q142" t="str">
        <f t="shared" si="8"/>
        <v>Consultoria</v>
      </c>
    </row>
    <row r="143" spans="11:17" hidden="1">
      <c r="K143" t="s">
        <v>1045</v>
      </c>
      <c r="L143" t="s">
        <v>1488</v>
      </c>
      <c r="M143" s="163">
        <v>45792</v>
      </c>
      <c r="N143">
        <f t="shared" si="7"/>
        <v>2025</v>
      </c>
      <c r="O143" t="s">
        <v>1489</v>
      </c>
      <c r="P143" t="s">
        <v>1261</v>
      </c>
      <c r="Q143" t="str">
        <f t="shared" si="8"/>
        <v>Consultoria</v>
      </c>
    </row>
    <row r="144" spans="11:17" hidden="1">
      <c r="K144" t="s">
        <v>86</v>
      </c>
      <c r="L144" t="s">
        <v>1491</v>
      </c>
      <c r="M144" s="163">
        <v>45792</v>
      </c>
      <c r="N144">
        <f t="shared" si="7"/>
        <v>2025</v>
      </c>
      <c r="P144" t="s">
        <v>226</v>
      </c>
      <c r="Q144" t="str">
        <f t="shared" si="8"/>
        <v>Broker</v>
      </c>
    </row>
    <row r="145" spans="11:17" hidden="1">
      <c r="K145" t="s">
        <v>329</v>
      </c>
      <c r="L145" t="s">
        <v>1494</v>
      </c>
      <c r="M145" s="163">
        <v>45792</v>
      </c>
      <c r="N145">
        <f t="shared" si="7"/>
        <v>2025</v>
      </c>
      <c r="O145" t="s">
        <v>1464</v>
      </c>
      <c r="P145" t="s">
        <v>226</v>
      </c>
      <c r="Q145" t="str">
        <f t="shared" si="8"/>
        <v>Broker</v>
      </c>
    </row>
    <row r="146" spans="11:17" hidden="1">
      <c r="K146" t="s">
        <v>320</v>
      </c>
      <c r="L146" t="s">
        <v>1497</v>
      </c>
      <c r="M146" s="163">
        <v>45792</v>
      </c>
      <c r="N146">
        <f t="shared" si="7"/>
        <v>2025</v>
      </c>
      <c r="O146" t="s">
        <v>1498</v>
      </c>
      <c r="P146" t="s">
        <v>226</v>
      </c>
      <c r="Q146" t="str">
        <f t="shared" si="8"/>
        <v>Broker</v>
      </c>
    </row>
    <row r="147" spans="11:17" hidden="1">
      <c r="K147" t="s">
        <v>1045</v>
      </c>
      <c r="L147" t="s">
        <v>1500</v>
      </c>
      <c r="M147" s="163">
        <v>45792</v>
      </c>
      <c r="N147">
        <f t="shared" si="7"/>
        <v>2025</v>
      </c>
      <c r="O147" t="s">
        <v>1501</v>
      </c>
      <c r="P147" t="s">
        <v>226</v>
      </c>
      <c r="Q147" t="str">
        <f t="shared" si="8"/>
        <v>Broker</v>
      </c>
    </row>
    <row r="148" spans="11:17" hidden="1">
      <c r="K148" t="s">
        <v>1045</v>
      </c>
      <c r="L148" t="s">
        <v>1503</v>
      </c>
      <c r="M148" s="163">
        <v>45792</v>
      </c>
      <c r="N148">
        <f t="shared" si="7"/>
        <v>2025</v>
      </c>
      <c r="O148" t="s">
        <v>1504</v>
      </c>
      <c r="P148" t="s">
        <v>226</v>
      </c>
      <c r="Q148" t="str">
        <f t="shared" si="8"/>
        <v>Broker</v>
      </c>
    </row>
    <row r="149" spans="11:17" hidden="1">
      <c r="K149" t="s">
        <v>1045</v>
      </c>
      <c r="L149" t="s">
        <v>1505</v>
      </c>
      <c r="M149" s="163">
        <v>45792</v>
      </c>
      <c r="N149">
        <f t="shared" si="7"/>
        <v>2025</v>
      </c>
      <c r="O149" t="s">
        <v>1472</v>
      </c>
      <c r="P149" t="s">
        <v>226</v>
      </c>
      <c r="Q149" t="str">
        <f t="shared" si="8"/>
        <v>Broker</v>
      </c>
    </row>
    <row r="150" spans="11:17" hidden="1">
      <c r="K150" t="s">
        <v>1045</v>
      </c>
      <c r="L150" t="s">
        <v>1509</v>
      </c>
      <c r="M150" s="163">
        <v>45792</v>
      </c>
      <c r="N150">
        <f t="shared" si="7"/>
        <v>2025</v>
      </c>
      <c r="O150" t="s">
        <v>76</v>
      </c>
      <c r="P150" t="s">
        <v>76</v>
      </c>
      <c r="Q150" t="str">
        <f t="shared" si="8"/>
        <v>Consultoria</v>
      </c>
    </row>
    <row r="151" spans="11:17" hidden="1">
      <c r="K151" t="s">
        <v>86</v>
      </c>
      <c r="L151" t="s">
        <v>1510</v>
      </c>
      <c r="M151" s="163">
        <v>45792</v>
      </c>
      <c r="N151">
        <f t="shared" si="7"/>
        <v>2025</v>
      </c>
      <c r="O151" t="s">
        <v>76</v>
      </c>
      <c r="P151" t="s">
        <v>76</v>
      </c>
      <c r="Q151" t="str">
        <f t="shared" si="8"/>
        <v>Consultoria</v>
      </c>
    </row>
    <row r="152" spans="11:17" hidden="1">
      <c r="K152" t="s">
        <v>20</v>
      </c>
      <c r="L152" t="s">
        <v>1514</v>
      </c>
      <c r="M152" s="163">
        <v>45792</v>
      </c>
      <c r="N152">
        <f t="shared" si="7"/>
        <v>2025</v>
      </c>
      <c r="O152" t="s">
        <v>1515</v>
      </c>
      <c r="P152" t="s">
        <v>226</v>
      </c>
      <c r="Q152" t="str">
        <f t="shared" si="8"/>
        <v>Broker</v>
      </c>
    </row>
    <row r="153" spans="11:17" hidden="1">
      <c r="K153" t="s">
        <v>320</v>
      </c>
      <c r="L153" t="s">
        <v>1518</v>
      </c>
      <c r="M153" s="163">
        <v>45798</v>
      </c>
      <c r="N153">
        <f t="shared" si="7"/>
        <v>2025</v>
      </c>
      <c r="O153" t="s">
        <v>1230</v>
      </c>
      <c r="P153" t="s">
        <v>226</v>
      </c>
      <c r="Q153" t="str">
        <f t="shared" si="8"/>
        <v>Broker</v>
      </c>
    </row>
    <row r="154" spans="11:17" hidden="1">
      <c r="K154" t="s">
        <v>1045</v>
      </c>
      <c r="L154" t="s">
        <v>407</v>
      </c>
      <c r="M154" s="163">
        <v>45798</v>
      </c>
      <c r="N154">
        <f t="shared" si="7"/>
        <v>2025</v>
      </c>
      <c r="O154" t="s">
        <v>1520</v>
      </c>
      <c r="P154" t="s">
        <v>226</v>
      </c>
      <c r="Q154" t="str">
        <f t="shared" si="8"/>
        <v>Broker</v>
      </c>
    </row>
    <row r="155" spans="11:17" hidden="1">
      <c r="K155" t="s">
        <v>329</v>
      </c>
      <c r="L155" t="s">
        <v>1524</v>
      </c>
      <c r="M155" s="163">
        <v>45798</v>
      </c>
      <c r="N155">
        <f t="shared" si="7"/>
        <v>2025</v>
      </c>
      <c r="O155" t="s">
        <v>1464</v>
      </c>
      <c r="P155" t="s">
        <v>226</v>
      </c>
      <c r="Q155" t="str">
        <f t="shared" si="8"/>
        <v>Broker</v>
      </c>
    </row>
    <row r="156" spans="11:17" hidden="1">
      <c r="K156" t="s">
        <v>807</v>
      </c>
      <c r="L156" t="s">
        <v>1526</v>
      </c>
      <c r="M156" s="163">
        <v>45798</v>
      </c>
      <c r="N156">
        <f t="shared" si="7"/>
        <v>2025</v>
      </c>
      <c r="O156" t="s">
        <v>994</v>
      </c>
      <c r="P156" t="s">
        <v>226</v>
      </c>
      <c r="Q156" t="str">
        <f t="shared" si="8"/>
        <v>Broker</v>
      </c>
    </row>
    <row r="157" spans="11:17" hidden="1">
      <c r="K157" t="s">
        <v>1045</v>
      </c>
      <c r="L157" t="s">
        <v>1527</v>
      </c>
      <c r="M157" s="163">
        <v>45798</v>
      </c>
      <c r="N157">
        <f t="shared" si="7"/>
        <v>2025</v>
      </c>
      <c r="O157" t="s">
        <v>1291</v>
      </c>
      <c r="P157" t="s">
        <v>226</v>
      </c>
      <c r="Q157" t="str">
        <f t="shared" si="8"/>
        <v>Broker</v>
      </c>
    </row>
    <row r="158" spans="11:17" hidden="1">
      <c r="K158" t="s">
        <v>715</v>
      </c>
      <c r="L158" t="s">
        <v>1530</v>
      </c>
      <c r="M158" s="163">
        <v>45798</v>
      </c>
      <c r="N158">
        <f t="shared" si="7"/>
        <v>2025</v>
      </c>
      <c r="O158" t="s">
        <v>206</v>
      </c>
      <c r="P158" t="s">
        <v>1193</v>
      </c>
      <c r="Q158" t="str">
        <f t="shared" si="8"/>
        <v>Banco</v>
      </c>
    </row>
    <row r="159" spans="11:17" hidden="1">
      <c r="K159" t="s">
        <v>270</v>
      </c>
      <c r="L159" t="s">
        <v>1534</v>
      </c>
      <c r="M159" s="163">
        <v>45798</v>
      </c>
      <c r="N159">
        <f t="shared" si="7"/>
        <v>2025</v>
      </c>
      <c r="O159" t="s">
        <v>1535</v>
      </c>
      <c r="P159" t="s">
        <v>130</v>
      </c>
      <c r="Q159" t="str">
        <f t="shared" si="8"/>
        <v>Escritório Adv.</v>
      </c>
    </row>
    <row r="160" spans="11:17" hidden="1">
      <c r="K160" t="s">
        <v>807</v>
      </c>
      <c r="L160" t="s">
        <v>1537</v>
      </c>
      <c r="M160" s="163">
        <v>45798</v>
      </c>
      <c r="N160">
        <f t="shared" si="7"/>
        <v>2025</v>
      </c>
      <c r="O160" t="s">
        <v>622</v>
      </c>
      <c r="P160" t="s">
        <v>226</v>
      </c>
      <c r="Q160" t="str">
        <f t="shared" si="8"/>
        <v>Broker</v>
      </c>
    </row>
    <row r="161" spans="11:17">
      <c r="K161" t="s">
        <v>1045</v>
      </c>
      <c r="L161" t="s">
        <v>1538</v>
      </c>
      <c r="M161" s="163">
        <v>45798</v>
      </c>
      <c r="N161">
        <f t="shared" si="7"/>
        <v>2025</v>
      </c>
      <c r="O161" t="s">
        <v>2596</v>
      </c>
      <c r="P161" t="s">
        <v>1918</v>
      </c>
      <c r="Q161" t="s">
        <v>1918</v>
      </c>
    </row>
    <row r="162" spans="11:17" hidden="1">
      <c r="K162" t="s">
        <v>444</v>
      </c>
      <c r="L162" t="s">
        <v>1540</v>
      </c>
      <c r="M162" s="163">
        <v>45798</v>
      </c>
      <c r="N162">
        <f t="shared" si="7"/>
        <v>2025</v>
      </c>
      <c r="O162" t="s">
        <v>1515</v>
      </c>
      <c r="P162" t="s">
        <v>226</v>
      </c>
      <c r="Q162" t="str">
        <f t="shared" si="8"/>
        <v>Broker</v>
      </c>
    </row>
    <row r="163" spans="11:17" hidden="1">
      <c r="K163" t="s">
        <v>1045</v>
      </c>
      <c r="L163" t="s">
        <v>1542</v>
      </c>
      <c r="M163" s="163">
        <v>45798</v>
      </c>
      <c r="N163">
        <f t="shared" si="7"/>
        <v>2025</v>
      </c>
      <c r="O163" t="s">
        <v>344</v>
      </c>
      <c r="P163" t="s">
        <v>872</v>
      </c>
      <c r="Q163" t="str">
        <f t="shared" si="8"/>
        <v>Asset</v>
      </c>
    </row>
    <row r="164" spans="11:17" hidden="1">
      <c r="K164" t="s">
        <v>304</v>
      </c>
      <c r="L164" t="s">
        <v>1544</v>
      </c>
      <c r="M164" s="163">
        <v>45804</v>
      </c>
      <c r="N164">
        <f t="shared" si="7"/>
        <v>2025</v>
      </c>
      <c r="O164" t="s">
        <v>1545</v>
      </c>
      <c r="P164" t="s">
        <v>226</v>
      </c>
      <c r="Q164" t="str">
        <f t="shared" si="8"/>
        <v>Broker</v>
      </c>
    </row>
    <row r="165" spans="11:17" hidden="1">
      <c r="K165" t="s">
        <v>1045</v>
      </c>
      <c r="L165" t="s">
        <v>1547</v>
      </c>
      <c r="M165" s="163">
        <v>45806</v>
      </c>
      <c r="N165">
        <f t="shared" si="7"/>
        <v>2025</v>
      </c>
      <c r="O165" t="s">
        <v>1548</v>
      </c>
      <c r="P165" t="s">
        <v>1261</v>
      </c>
      <c r="Q165" t="str">
        <f t="shared" si="8"/>
        <v>Consultoria</v>
      </c>
    </row>
    <row r="166" spans="11:17" hidden="1">
      <c r="K166" t="s">
        <v>1551</v>
      </c>
      <c r="L166" t="s">
        <v>1552</v>
      </c>
      <c r="M166" s="163">
        <v>45810</v>
      </c>
      <c r="N166">
        <f t="shared" si="7"/>
        <v>2025</v>
      </c>
      <c r="O166" t="s">
        <v>1553</v>
      </c>
      <c r="P166" t="s">
        <v>130</v>
      </c>
      <c r="Q166" t="str">
        <f t="shared" si="8"/>
        <v>Escritório Adv.</v>
      </c>
    </row>
    <row r="167" spans="11:17" hidden="1">
      <c r="K167" t="s">
        <v>320</v>
      </c>
      <c r="L167" t="s">
        <v>1556</v>
      </c>
      <c r="M167" s="163">
        <v>45803</v>
      </c>
      <c r="N167">
        <f t="shared" si="7"/>
        <v>2025</v>
      </c>
      <c r="O167" t="s">
        <v>460</v>
      </c>
      <c r="P167" t="s">
        <v>130</v>
      </c>
      <c r="Q167" t="str">
        <f t="shared" si="8"/>
        <v>Escritório Adv.</v>
      </c>
    </row>
    <row r="168" spans="11:17" hidden="1">
      <c r="K168" t="s">
        <v>320</v>
      </c>
      <c r="L168" t="s">
        <v>1558</v>
      </c>
      <c r="M168" s="163">
        <v>45805</v>
      </c>
      <c r="N168">
        <f t="shared" si="7"/>
        <v>2025</v>
      </c>
      <c r="O168" t="s">
        <v>1559</v>
      </c>
      <c r="P168" t="s">
        <v>226</v>
      </c>
      <c r="Q168" t="str">
        <f t="shared" si="8"/>
        <v>Broker</v>
      </c>
    </row>
    <row r="169" spans="11:17" hidden="1">
      <c r="K169" t="s">
        <v>320</v>
      </c>
      <c r="L169" t="s">
        <v>1561</v>
      </c>
      <c r="M169" s="163">
        <v>45805</v>
      </c>
      <c r="N169">
        <f t="shared" si="7"/>
        <v>2025</v>
      </c>
      <c r="O169" t="s">
        <v>1559</v>
      </c>
      <c r="P169" t="s">
        <v>226</v>
      </c>
      <c r="Q169" t="str">
        <f t="shared" si="8"/>
        <v>Broker</v>
      </c>
    </row>
    <row r="170" spans="11:17" hidden="1">
      <c r="K170" t="s">
        <v>1563</v>
      </c>
      <c r="L170" t="s">
        <v>1564</v>
      </c>
      <c r="M170" s="163">
        <v>45805</v>
      </c>
      <c r="N170">
        <f t="shared" si="7"/>
        <v>2025</v>
      </c>
      <c r="O170" t="s">
        <v>1565</v>
      </c>
      <c r="P170" t="s">
        <v>226</v>
      </c>
      <c r="Q170" t="str">
        <f t="shared" si="8"/>
        <v>Broker</v>
      </c>
    </row>
    <row r="171" spans="11:17" hidden="1">
      <c r="K171" t="s">
        <v>86</v>
      </c>
      <c r="L171" t="s">
        <v>1568</v>
      </c>
      <c r="M171" s="163">
        <v>45810</v>
      </c>
      <c r="N171">
        <f t="shared" si="7"/>
        <v>2025</v>
      </c>
      <c r="O171" t="s">
        <v>1409</v>
      </c>
      <c r="P171" t="s">
        <v>130</v>
      </c>
      <c r="Q171" t="str">
        <f t="shared" si="8"/>
        <v>Escritório Adv.</v>
      </c>
    </row>
    <row r="172" spans="11:17">
      <c r="K172" t="s">
        <v>1045</v>
      </c>
      <c r="L172" t="s">
        <v>1570</v>
      </c>
      <c r="M172" s="163">
        <v>45797</v>
      </c>
      <c r="N172">
        <f t="shared" si="7"/>
        <v>2025</v>
      </c>
      <c r="O172" t="s">
        <v>1211</v>
      </c>
      <c r="P172" t="s">
        <v>1252</v>
      </c>
      <c r="Q172" t="str">
        <f t="shared" si="8"/>
        <v>Consultoria</v>
      </c>
    </row>
    <row r="173" spans="11:17" hidden="1">
      <c r="K173" t="s">
        <v>1045</v>
      </c>
      <c r="L173" t="s">
        <v>1572</v>
      </c>
      <c r="M173" s="163">
        <v>45813</v>
      </c>
      <c r="N173">
        <f t="shared" si="7"/>
        <v>2025</v>
      </c>
      <c r="O173" t="s">
        <v>1573</v>
      </c>
      <c r="P173" t="s">
        <v>872</v>
      </c>
      <c r="Q173" t="str">
        <f t="shared" si="8"/>
        <v>Asset</v>
      </c>
    </row>
    <row r="174" spans="11:17" hidden="1">
      <c r="K174" t="s">
        <v>807</v>
      </c>
      <c r="L174" t="s">
        <v>1574</v>
      </c>
      <c r="M174" s="163">
        <v>45813</v>
      </c>
      <c r="N174">
        <f t="shared" si="7"/>
        <v>2025</v>
      </c>
      <c r="O174" t="s">
        <v>76</v>
      </c>
      <c r="P174" t="s">
        <v>76</v>
      </c>
      <c r="Q174" t="str">
        <f t="shared" si="8"/>
        <v>Consultoria</v>
      </c>
    </row>
    <row r="175" spans="11:17" hidden="1">
      <c r="K175" t="s">
        <v>270</v>
      </c>
      <c r="L175" t="s">
        <v>1576</v>
      </c>
      <c r="M175" s="163">
        <v>45813</v>
      </c>
      <c r="N175">
        <f t="shared" si="7"/>
        <v>2025</v>
      </c>
      <c r="O175" t="s">
        <v>1577</v>
      </c>
      <c r="P175" t="s">
        <v>130</v>
      </c>
      <c r="Q175" t="str">
        <f t="shared" si="8"/>
        <v>Escritório Adv.</v>
      </c>
    </row>
    <row r="176" spans="11:17" hidden="1">
      <c r="K176" t="s">
        <v>320</v>
      </c>
      <c r="L176" t="s">
        <v>1578</v>
      </c>
      <c r="M176" s="163">
        <v>45814</v>
      </c>
      <c r="N176">
        <f t="shared" si="7"/>
        <v>2025</v>
      </c>
      <c r="O176" t="s">
        <v>1579</v>
      </c>
      <c r="P176" t="s">
        <v>226</v>
      </c>
      <c r="Q176" t="str">
        <f t="shared" si="8"/>
        <v>Broker</v>
      </c>
    </row>
    <row r="177" spans="11:17" hidden="1">
      <c r="K177" t="s">
        <v>270</v>
      </c>
      <c r="L177" t="s">
        <v>1580</v>
      </c>
      <c r="M177" s="163">
        <v>45814</v>
      </c>
      <c r="N177">
        <f t="shared" si="7"/>
        <v>2025</v>
      </c>
      <c r="O177" t="s">
        <v>1581</v>
      </c>
      <c r="P177" t="s">
        <v>130</v>
      </c>
      <c r="Q177" t="str">
        <f t="shared" si="8"/>
        <v>Escritório Adv.</v>
      </c>
    </row>
    <row r="178" spans="11:17" hidden="1">
      <c r="K178" t="s">
        <v>270</v>
      </c>
      <c r="L178" t="s">
        <v>1583</v>
      </c>
      <c r="M178" s="163">
        <v>45819</v>
      </c>
      <c r="N178">
        <f t="shared" si="7"/>
        <v>2025</v>
      </c>
      <c r="O178" t="s">
        <v>1584</v>
      </c>
      <c r="P178" t="s">
        <v>76</v>
      </c>
      <c r="Q178" t="str">
        <f t="shared" si="8"/>
        <v>Consultoria</v>
      </c>
    </row>
    <row r="179" spans="11:17" hidden="1">
      <c r="K179" t="s">
        <v>270</v>
      </c>
      <c r="L179" t="s">
        <v>1587</v>
      </c>
      <c r="M179" s="163">
        <v>45819</v>
      </c>
      <c r="N179">
        <f t="shared" si="7"/>
        <v>2025</v>
      </c>
      <c r="O179" t="s">
        <v>76</v>
      </c>
      <c r="P179" t="s">
        <v>76</v>
      </c>
      <c r="Q179" t="str">
        <f t="shared" si="8"/>
        <v>Consultoria</v>
      </c>
    </row>
    <row r="180" spans="11:17" hidden="1">
      <c r="K180" t="s">
        <v>695</v>
      </c>
      <c r="L180" t="s">
        <v>1590</v>
      </c>
      <c r="M180" s="163">
        <v>45821</v>
      </c>
      <c r="N180">
        <f t="shared" si="7"/>
        <v>2025</v>
      </c>
      <c r="O180" t="s">
        <v>76</v>
      </c>
      <c r="P180" t="s">
        <v>76</v>
      </c>
      <c r="Q180" t="str">
        <f t="shared" si="8"/>
        <v>Consultoria</v>
      </c>
    </row>
    <row r="181" spans="11:17" hidden="1">
      <c r="K181" t="s">
        <v>1045</v>
      </c>
      <c r="L181" t="s">
        <v>1593</v>
      </c>
      <c r="M181" s="163">
        <v>45821</v>
      </c>
      <c r="N181">
        <f t="shared" si="7"/>
        <v>2025</v>
      </c>
      <c r="O181" t="s">
        <v>408</v>
      </c>
      <c r="P181" t="s">
        <v>226</v>
      </c>
      <c r="Q181" t="str">
        <f t="shared" si="8"/>
        <v>Broker</v>
      </c>
    </row>
    <row r="182" spans="11:17" hidden="1">
      <c r="K182" t="s">
        <v>329</v>
      </c>
      <c r="L182" t="s">
        <v>1594</v>
      </c>
      <c r="M182" s="163">
        <v>45821</v>
      </c>
      <c r="N182">
        <f t="shared" si="7"/>
        <v>2025</v>
      </c>
      <c r="O182" t="s">
        <v>1595</v>
      </c>
      <c r="P182" t="s">
        <v>226</v>
      </c>
      <c r="Q182" t="str">
        <f t="shared" si="8"/>
        <v>Broker</v>
      </c>
    </row>
    <row r="183" spans="11:17" hidden="1">
      <c r="K183" t="s">
        <v>1596</v>
      </c>
      <c r="L183" t="s">
        <v>1597</v>
      </c>
      <c r="M183" s="163">
        <v>45821</v>
      </c>
      <c r="N183">
        <f t="shared" si="7"/>
        <v>2025</v>
      </c>
      <c r="P183" t="s">
        <v>226</v>
      </c>
      <c r="Q183" t="str">
        <f t="shared" si="8"/>
        <v>Broker</v>
      </c>
    </row>
    <row r="184" spans="11:17" hidden="1">
      <c r="K184" t="s">
        <v>1045</v>
      </c>
      <c r="L184" t="s">
        <v>1600</v>
      </c>
      <c r="M184" s="163">
        <v>45821</v>
      </c>
      <c r="N184">
        <f t="shared" si="7"/>
        <v>2025</v>
      </c>
      <c r="O184" t="s">
        <v>206</v>
      </c>
      <c r="P184" t="s">
        <v>1193</v>
      </c>
      <c r="Q184" t="str">
        <f t="shared" si="8"/>
        <v>Banco</v>
      </c>
    </row>
    <row r="185" spans="11:17" hidden="1">
      <c r="K185" t="s">
        <v>1045</v>
      </c>
      <c r="L185" t="s">
        <v>1601</v>
      </c>
      <c r="M185" s="163">
        <v>45821</v>
      </c>
      <c r="N185">
        <f t="shared" si="7"/>
        <v>2025</v>
      </c>
      <c r="O185" t="s">
        <v>1602</v>
      </c>
      <c r="P185" t="s">
        <v>226</v>
      </c>
      <c r="Q185" t="str">
        <f t="shared" si="8"/>
        <v>Broker</v>
      </c>
    </row>
    <row r="186" spans="11:17" hidden="1">
      <c r="K186" t="s">
        <v>1596</v>
      </c>
      <c r="L186" t="s">
        <v>1604</v>
      </c>
      <c r="M186" s="163">
        <v>45821</v>
      </c>
      <c r="N186">
        <f t="shared" si="7"/>
        <v>2025</v>
      </c>
      <c r="O186" t="s">
        <v>1579</v>
      </c>
      <c r="P186" t="s">
        <v>226</v>
      </c>
      <c r="Q186" t="str">
        <f t="shared" si="8"/>
        <v>Broker</v>
      </c>
    </row>
    <row r="187" spans="11:17" hidden="1">
      <c r="K187" t="s">
        <v>440</v>
      </c>
      <c r="L187" t="s">
        <v>1607</v>
      </c>
      <c r="M187" s="163">
        <v>45821</v>
      </c>
      <c r="N187">
        <f t="shared" si="7"/>
        <v>2025</v>
      </c>
      <c r="O187" t="s">
        <v>76</v>
      </c>
      <c r="P187" t="s">
        <v>76</v>
      </c>
      <c r="Q187" t="str">
        <f t="shared" si="8"/>
        <v>Consultoria</v>
      </c>
    </row>
    <row r="188" spans="11:17" hidden="1">
      <c r="K188" t="s">
        <v>1596</v>
      </c>
      <c r="L188" t="s">
        <v>1610</v>
      </c>
      <c r="M188" s="163">
        <v>45821</v>
      </c>
      <c r="N188">
        <f t="shared" si="7"/>
        <v>2025</v>
      </c>
      <c r="O188" t="s">
        <v>1579</v>
      </c>
      <c r="P188" t="s">
        <v>226</v>
      </c>
      <c r="Q188" t="str">
        <f t="shared" si="8"/>
        <v>Broker</v>
      </c>
    </row>
    <row r="189" spans="11:17" hidden="1">
      <c r="K189" t="s">
        <v>1045</v>
      </c>
      <c r="L189" t="s">
        <v>973</v>
      </c>
      <c r="M189" s="163">
        <v>45831</v>
      </c>
      <c r="N189">
        <f t="shared" si="7"/>
        <v>2025</v>
      </c>
      <c r="O189" t="s">
        <v>206</v>
      </c>
      <c r="P189" t="s">
        <v>1193</v>
      </c>
      <c r="Q189" t="str">
        <f t="shared" si="8"/>
        <v>Banco</v>
      </c>
    </row>
    <row r="190" spans="11:17" hidden="1">
      <c r="K190" t="s">
        <v>440</v>
      </c>
      <c r="L190" t="s">
        <v>1611</v>
      </c>
      <c r="M190" s="163">
        <v>45826</v>
      </c>
      <c r="N190">
        <f t="shared" si="7"/>
        <v>2025</v>
      </c>
      <c r="O190" t="s">
        <v>1050</v>
      </c>
      <c r="P190" t="s">
        <v>226</v>
      </c>
      <c r="Q190" t="str">
        <f t="shared" si="8"/>
        <v>Broker</v>
      </c>
    </row>
    <row r="191" spans="11:17" hidden="1">
      <c r="K191" t="s">
        <v>440</v>
      </c>
      <c r="L191" t="s">
        <v>1612</v>
      </c>
      <c r="M191" s="163">
        <v>45824</v>
      </c>
      <c r="N191">
        <f t="shared" si="7"/>
        <v>2025</v>
      </c>
      <c r="O191" t="s">
        <v>994</v>
      </c>
      <c r="P191" t="s">
        <v>226</v>
      </c>
      <c r="Q191" t="str">
        <f t="shared" si="8"/>
        <v>Broker</v>
      </c>
    </row>
    <row r="192" spans="11:17" hidden="1">
      <c r="K192" t="s">
        <v>1045</v>
      </c>
      <c r="L192" t="s">
        <v>1614</v>
      </c>
      <c r="M192" s="163">
        <v>45831</v>
      </c>
      <c r="N192">
        <f t="shared" si="7"/>
        <v>2025</v>
      </c>
      <c r="O192" t="s">
        <v>1615</v>
      </c>
      <c r="P192" t="s">
        <v>1193</v>
      </c>
      <c r="Q192" t="str">
        <f t="shared" si="8"/>
        <v>Banco</v>
      </c>
    </row>
    <row r="193" spans="11:17">
      <c r="K193" t="s">
        <v>1045</v>
      </c>
      <c r="L193" t="s">
        <v>1616</v>
      </c>
      <c r="M193" s="163">
        <v>45824</v>
      </c>
      <c r="N193">
        <f t="shared" si="7"/>
        <v>2025</v>
      </c>
      <c r="O193" t="s">
        <v>1931</v>
      </c>
      <c r="P193" t="s">
        <v>1252</v>
      </c>
      <c r="Q193" t="str">
        <f t="shared" si="8"/>
        <v>Consultoria</v>
      </c>
    </row>
    <row r="194" spans="11:17">
      <c r="K194" t="s">
        <v>1045</v>
      </c>
      <c r="L194" t="s">
        <v>1617</v>
      </c>
      <c r="M194" s="163">
        <v>45824</v>
      </c>
      <c r="N194">
        <f t="shared" si="7"/>
        <v>2025</v>
      </c>
      <c r="O194" t="s">
        <v>1931</v>
      </c>
      <c r="P194" t="s">
        <v>1252</v>
      </c>
      <c r="Q194" t="str">
        <f t="shared" si="8"/>
        <v>Consultoria</v>
      </c>
    </row>
    <row r="195" spans="11:17" hidden="1">
      <c r="K195" t="s">
        <v>444</v>
      </c>
      <c r="L195" t="s">
        <v>1619</v>
      </c>
      <c r="M195" s="163">
        <v>45824</v>
      </c>
      <c r="N195">
        <f t="shared" ref="N195:N258" si="9">YEAR(M195)</f>
        <v>2025</v>
      </c>
      <c r="O195" t="s">
        <v>1577</v>
      </c>
      <c r="P195" t="s">
        <v>130</v>
      </c>
      <c r="Q195" t="str">
        <f t="shared" ref="Q195:Q258" si="10">+INDEX($AA$3:$AA$19,MATCH(P195,$Z$3:$Z$19,0))</f>
        <v>Escritório Adv.</v>
      </c>
    </row>
    <row r="196" spans="11:17" hidden="1">
      <c r="K196" t="s">
        <v>1045</v>
      </c>
      <c r="L196" t="s">
        <v>1620</v>
      </c>
      <c r="M196" s="163">
        <v>45831</v>
      </c>
      <c r="N196">
        <f t="shared" si="9"/>
        <v>2025</v>
      </c>
      <c r="O196" t="s">
        <v>1595</v>
      </c>
      <c r="P196" t="s">
        <v>1261</v>
      </c>
      <c r="Q196" t="str">
        <f t="shared" si="10"/>
        <v>Consultoria</v>
      </c>
    </row>
    <row r="197" spans="11:17">
      <c r="K197" t="s">
        <v>1045</v>
      </c>
      <c r="L197" t="s">
        <v>1621</v>
      </c>
      <c r="M197" s="163">
        <v>45831</v>
      </c>
      <c r="N197">
        <f t="shared" si="9"/>
        <v>2025</v>
      </c>
      <c r="O197" t="s">
        <v>1622</v>
      </c>
      <c r="P197" t="s">
        <v>1252</v>
      </c>
      <c r="Q197" t="str">
        <f t="shared" si="10"/>
        <v>Consultoria</v>
      </c>
    </row>
    <row r="198" spans="11:17" hidden="1">
      <c r="K198" t="s">
        <v>1623</v>
      </c>
      <c r="L198" t="s">
        <v>1624</v>
      </c>
      <c r="M198" s="163">
        <v>45833</v>
      </c>
      <c r="N198">
        <f t="shared" si="9"/>
        <v>2025</v>
      </c>
      <c r="O198" t="s">
        <v>1625</v>
      </c>
      <c r="P198" t="s">
        <v>226</v>
      </c>
      <c r="Q198" t="str">
        <f t="shared" si="10"/>
        <v>Broker</v>
      </c>
    </row>
    <row r="199" spans="11:17" hidden="1">
      <c r="K199" t="s">
        <v>1623</v>
      </c>
      <c r="L199" t="s">
        <v>1627</v>
      </c>
      <c r="M199" s="163">
        <v>45833</v>
      </c>
      <c r="N199">
        <f t="shared" si="9"/>
        <v>2025</v>
      </c>
      <c r="O199" t="s">
        <v>1625</v>
      </c>
      <c r="P199" t="s">
        <v>226</v>
      </c>
      <c r="Q199" t="str">
        <f t="shared" si="10"/>
        <v>Broker</v>
      </c>
    </row>
    <row r="200" spans="11:17" hidden="1">
      <c r="K200" t="s">
        <v>320</v>
      </c>
      <c r="L200" t="s">
        <v>1630</v>
      </c>
      <c r="M200" s="163">
        <v>45833</v>
      </c>
      <c r="N200">
        <f t="shared" si="9"/>
        <v>2025</v>
      </c>
      <c r="O200" t="s">
        <v>1631</v>
      </c>
      <c r="P200" t="s">
        <v>130</v>
      </c>
      <c r="Q200" t="str">
        <f t="shared" si="10"/>
        <v>Escritório Adv.</v>
      </c>
    </row>
    <row r="201" spans="11:17" hidden="1">
      <c r="K201" t="s">
        <v>1045</v>
      </c>
      <c r="L201" t="s">
        <v>1633</v>
      </c>
      <c r="M201" s="163">
        <v>45833</v>
      </c>
      <c r="N201">
        <f t="shared" si="9"/>
        <v>2025</v>
      </c>
      <c r="O201" t="s">
        <v>1634</v>
      </c>
      <c r="P201" t="s">
        <v>802</v>
      </c>
      <c r="Q201" t="str">
        <f t="shared" si="10"/>
        <v>Empresários / Executivo</v>
      </c>
    </row>
    <row r="202" spans="11:17" hidden="1">
      <c r="K202" t="s">
        <v>270</v>
      </c>
      <c r="L202" t="s">
        <v>1636</v>
      </c>
      <c r="M202" s="163">
        <v>45833</v>
      </c>
      <c r="N202">
        <f t="shared" si="9"/>
        <v>2025</v>
      </c>
      <c r="O202" t="s">
        <v>1637</v>
      </c>
      <c r="P202" t="s">
        <v>226</v>
      </c>
      <c r="Q202" t="str">
        <f t="shared" si="10"/>
        <v>Broker</v>
      </c>
    </row>
    <row r="203" spans="11:17" hidden="1">
      <c r="K203" t="s">
        <v>1623</v>
      </c>
      <c r="L203" t="s">
        <v>1638</v>
      </c>
      <c r="M203" s="163">
        <v>45833</v>
      </c>
      <c r="N203">
        <f t="shared" si="9"/>
        <v>2025</v>
      </c>
      <c r="O203" t="s">
        <v>1639</v>
      </c>
      <c r="P203" t="s">
        <v>226</v>
      </c>
      <c r="Q203" t="str">
        <f t="shared" si="10"/>
        <v>Broker</v>
      </c>
    </row>
    <row r="204" spans="11:17" hidden="1">
      <c r="K204" t="s">
        <v>1623</v>
      </c>
      <c r="L204" t="s">
        <v>1640</v>
      </c>
      <c r="M204" s="163">
        <v>45833</v>
      </c>
      <c r="N204">
        <f t="shared" si="9"/>
        <v>2025</v>
      </c>
      <c r="O204" t="s">
        <v>1639</v>
      </c>
      <c r="P204" t="s">
        <v>226</v>
      </c>
      <c r="Q204" t="str">
        <f t="shared" si="10"/>
        <v>Broker</v>
      </c>
    </row>
    <row r="205" spans="11:17" hidden="1">
      <c r="K205" t="s">
        <v>1623</v>
      </c>
      <c r="L205" t="s">
        <v>1641</v>
      </c>
      <c r="M205" s="163">
        <v>45833</v>
      </c>
      <c r="N205">
        <f t="shared" si="9"/>
        <v>2025</v>
      </c>
      <c r="O205" t="s">
        <v>1639</v>
      </c>
      <c r="P205" t="s">
        <v>226</v>
      </c>
      <c r="Q205" t="str">
        <f t="shared" si="10"/>
        <v>Broker</v>
      </c>
    </row>
    <row r="206" spans="11:17" hidden="1">
      <c r="K206" t="s">
        <v>1623</v>
      </c>
      <c r="L206" t="s">
        <v>1642</v>
      </c>
      <c r="M206" s="163">
        <v>45833</v>
      </c>
      <c r="N206">
        <f t="shared" si="9"/>
        <v>2025</v>
      </c>
      <c r="O206" t="s">
        <v>1639</v>
      </c>
      <c r="P206" t="s">
        <v>226</v>
      </c>
      <c r="Q206" t="str">
        <f t="shared" si="10"/>
        <v>Broker</v>
      </c>
    </row>
    <row r="207" spans="11:17" hidden="1">
      <c r="K207" t="s">
        <v>204</v>
      </c>
      <c r="L207" t="s">
        <v>1643</v>
      </c>
      <c r="M207" s="163">
        <v>45833</v>
      </c>
      <c r="N207">
        <f t="shared" si="9"/>
        <v>2025</v>
      </c>
      <c r="O207" t="s">
        <v>206</v>
      </c>
      <c r="P207" t="s">
        <v>1193</v>
      </c>
      <c r="Q207" t="str">
        <f t="shared" si="10"/>
        <v>Banco</v>
      </c>
    </row>
    <row r="208" spans="11:17" hidden="1">
      <c r="K208" t="s">
        <v>270</v>
      </c>
      <c r="L208" t="s">
        <v>1644</v>
      </c>
      <c r="M208" s="163">
        <v>45833</v>
      </c>
      <c r="N208">
        <f t="shared" si="9"/>
        <v>2025</v>
      </c>
      <c r="O208" t="s">
        <v>1645</v>
      </c>
      <c r="P208" t="s">
        <v>872</v>
      </c>
      <c r="Q208" t="str">
        <f t="shared" si="10"/>
        <v>Asset</v>
      </c>
    </row>
    <row r="209" spans="11:17" hidden="1">
      <c r="K209" t="s">
        <v>1596</v>
      </c>
      <c r="L209" t="s">
        <v>1646</v>
      </c>
      <c r="M209" s="163">
        <v>45833</v>
      </c>
      <c r="N209">
        <f t="shared" si="9"/>
        <v>2025</v>
      </c>
      <c r="O209" t="s">
        <v>622</v>
      </c>
      <c r="P209" t="s">
        <v>226</v>
      </c>
      <c r="Q209" t="str">
        <f t="shared" si="10"/>
        <v>Broker</v>
      </c>
    </row>
    <row r="210" spans="11:17" hidden="1">
      <c r="K210" t="s">
        <v>204</v>
      </c>
      <c r="L210" t="s">
        <v>1648</v>
      </c>
      <c r="M210" s="163">
        <v>45833</v>
      </c>
      <c r="N210">
        <f t="shared" si="9"/>
        <v>2025</v>
      </c>
      <c r="O210" t="s">
        <v>1649</v>
      </c>
      <c r="P210" t="s">
        <v>130</v>
      </c>
      <c r="Q210" t="str">
        <f t="shared" si="10"/>
        <v>Escritório Adv.</v>
      </c>
    </row>
    <row r="211" spans="11:17" hidden="1">
      <c r="K211" t="s">
        <v>329</v>
      </c>
      <c r="L211" t="s">
        <v>1653</v>
      </c>
      <c r="M211" s="163">
        <v>45838</v>
      </c>
      <c r="N211">
        <f t="shared" si="9"/>
        <v>2025</v>
      </c>
      <c r="O211" t="s">
        <v>1654</v>
      </c>
      <c r="P211" t="s">
        <v>403</v>
      </c>
      <c r="Q211" t="str">
        <f t="shared" si="10"/>
        <v>Consultoria</v>
      </c>
    </row>
    <row r="212" spans="11:17" hidden="1">
      <c r="K212" t="s">
        <v>86</v>
      </c>
      <c r="L212" t="s">
        <v>1921</v>
      </c>
      <c r="M212" s="163">
        <v>45840</v>
      </c>
      <c r="N212">
        <f t="shared" si="9"/>
        <v>2025</v>
      </c>
      <c r="O212" t="s">
        <v>76</v>
      </c>
      <c r="P212" t="s">
        <v>76</v>
      </c>
      <c r="Q212" t="str">
        <f t="shared" si="10"/>
        <v>Consultoria</v>
      </c>
    </row>
    <row r="213" spans="11:17" hidden="1">
      <c r="K213" t="s">
        <v>86</v>
      </c>
      <c r="L213" t="s">
        <v>1923</v>
      </c>
      <c r="M213" s="163">
        <v>45840</v>
      </c>
      <c r="N213">
        <f t="shared" si="9"/>
        <v>2025</v>
      </c>
      <c r="O213" t="s">
        <v>76</v>
      </c>
      <c r="P213" t="s">
        <v>76</v>
      </c>
      <c r="Q213" t="str">
        <f t="shared" si="10"/>
        <v>Consultoria</v>
      </c>
    </row>
    <row r="214" spans="11:17" hidden="1">
      <c r="K214" t="s">
        <v>1045</v>
      </c>
      <c r="L214" t="s">
        <v>1932</v>
      </c>
      <c r="M214" s="163">
        <v>45846</v>
      </c>
      <c r="N214">
        <f t="shared" si="9"/>
        <v>2025</v>
      </c>
      <c r="O214" t="s">
        <v>1933</v>
      </c>
      <c r="P214" t="s">
        <v>1767</v>
      </c>
      <c r="Q214" t="str">
        <f t="shared" si="10"/>
        <v>Empresários / Executivo</v>
      </c>
    </row>
    <row r="215" spans="11:17" hidden="1">
      <c r="K215" t="s">
        <v>695</v>
      </c>
      <c r="L215" t="s">
        <v>1935</v>
      </c>
      <c r="M215" s="163">
        <v>45846</v>
      </c>
      <c r="N215">
        <f t="shared" si="9"/>
        <v>2025</v>
      </c>
      <c r="O215" t="s">
        <v>1637</v>
      </c>
      <c r="P215" t="s">
        <v>226</v>
      </c>
      <c r="Q215" t="str">
        <f t="shared" si="10"/>
        <v>Broker</v>
      </c>
    </row>
    <row r="216" spans="11:17" hidden="1">
      <c r="K216" t="s">
        <v>1596</v>
      </c>
      <c r="L216" t="s">
        <v>1936</v>
      </c>
      <c r="M216" s="163">
        <v>45846</v>
      </c>
      <c r="N216">
        <f t="shared" si="9"/>
        <v>2025</v>
      </c>
      <c r="O216" t="s">
        <v>1937</v>
      </c>
      <c r="P216" t="s">
        <v>226</v>
      </c>
      <c r="Q216" t="str">
        <f t="shared" si="10"/>
        <v>Broker</v>
      </c>
    </row>
    <row r="217" spans="11:17" hidden="1">
      <c r="K217" t="s">
        <v>1387</v>
      </c>
      <c r="L217" t="s">
        <v>1938</v>
      </c>
      <c r="M217" s="163">
        <v>45848</v>
      </c>
      <c r="N217">
        <f t="shared" si="9"/>
        <v>2025</v>
      </c>
      <c r="O217" t="s">
        <v>1948</v>
      </c>
      <c r="P217" t="s">
        <v>130</v>
      </c>
      <c r="Q217" t="str">
        <f t="shared" si="10"/>
        <v>Escritório Adv.</v>
      </c>
    </row>
    <row r="218" spans="11:17" hidden="1">
      <c r="K218" t="s">
        <v>204</v>
      </c>
      <c r="L218" t="s">
        <v>1939</v>
      </c>
      <c r="M218" s="163">
        <v>45848</v>
      </c>
      <c r="N218">
        <f t="shared" si="9"/>
        <v>2025</v>
      </c>
      <c r="O218" t="s">
        <v>425</v>
      </c>
      <c r="P218" t="s">
        <v>1261</v>
      </c>
      <c r="Q218" t="str">
        <f t="shared" si="10"/>
        <v>Consultoria</v>
      </c>
    </row>
    <row r="219" spans="11:17" hidden="1">
      <c r="K219" t="s">
        <v>440</v>
      </c>
      <c r="L219" t="s">
        <v>1940</v>
      </c>
      <c r="M219" s="163">
        <v>45849</v>
      </c>
      <c r="N219">
        <f t="shared" si="9"/>
        <v>2025</v>
      </c>
      <c r="O219" t="s">
        <v>832</v>
      </c>
      <c r="P219" t="s">
        <v>226</v>
      </c>
      <c r="Q219" t="str">
        <f t="shared" si="10"/>
        <v>Broker</v>
      </c>
    </row>
    <row r="220" spans="11:17" hidden="1">
      <c r="K220" t="s">
        <v>1418</v>
      </c>
      <c r="L220" t="s">
        <v>1941</v>
      </c>
      <c r="M220" s="163">
        <v>45852</v>
      </c>
      <c r="N220">
        <f t="shared" si="9"/>
        <v>2025</v>
      </c>
      <c r="O220" t="s">
        <v>119</v>
      </c>
      <c r="P220" t="s">
        <v>1261</v>
      </c>
      <c r="Q220" t="str">
        <f t="shared" si="10"/>
        <v>Consultoria</v>
      </c>
    </row>
    <row r="221" spans="11:17" hidden="1">
      <c r="K221" t="s">
        <v>1942</v>
      </c>
      <c r="L221" t="s">
        <v>1943</v>
      </c>
      <c r="M221" s="163">
        <v>45852</v>
      </c>
      <c r="N221">
        <f t="shared" si="9"/>
        <v>2025</v>
      </c>
      <c r="O221" t="s">
        <v>76</v>
      </c>
      <c r="P221" t="s">
        <v>76</v>
      </c>
      <c r="Q221" t="str">
        <f t="shared" si="10"/>
        <v>Consultoria</v>
      </c>
    </row>
    <row r="222" spans="11:17" hidden="1">
      <c r="K222" t="s">
        <v>807</v>
      </c>
      <c r="L222" t="s">
        <v>1987</v>
      </c>
      <c r="M222" s="163">
        <v>45853</v>
      </c>
      <c r="N222">
        <f t="shared" si="9"/>
        <v>2025</v>
      </c>
      <c r="O222" t="s">
        <v>994</v>
      </c>
      <c r="P222" t="s">
        <v>226</v>
      </c>
      <c r="Q222" t="str">
        <f t="shared" si="10"/>
        <v>Broker</v>
      </c>
    </row>
    <row r="223" spans="11:17" hidden="1">
      <c r="K223" t="s">
        <v>320</v>
      </c>
      <c r="L223" t="s">
        <v>1988</v>
      </c>
      <c r="M223" s="163">
        <v>45853</v>
      </c>
      <c r="N223">
        <f t="shared" si="9"/>
        <v>2025</v>
      </c>
      <c r="O223" t="s">
        <v>1989</v>
      </c>
      <c r="P223" t="s">
        <v>1261</v>
      </c>
      <c r="Q223" t="str">
        <f t="shared" si="10"/>
        <v>Consultoria</v>
      </c>
    </row>
    <row r="224" spans="11:17" hidden="1">
      <c r="K224" t="s">
        <v>320</v>
      </c>
      <c r="L224" t="s">
        <v>1990</v>
      </c>
      <c r="M224" s="163">
        <v>45853</v>
      </c>
      <c r="N224">
        <f t="shared" si="9"/>
        <v>2025</v>
      </c>
      <c r="O224" t="s">
        <v>1989</v>
      </c>
      <c r="P224" t="s">
        <v>1261</v>
      </c>
      <c r="Q224" t="str">
        <f t="shared" si="10"/>
        <v>Consultoria</v>
      </c>
    </row>
    <row r="225" spans="11:17" hidden="1">
      <c r="K225" t="s">
        <v>807</v>
      </c>
      <c r="L225" t="s">
        <v>1991</v>
      </c>
      <c r="M225" s="163">
        <v>45853</v>
      </c>
      <c r="N225">
        <f t="shared" si="9"/>
        <v>2025</v>
      </c>
      <c r="O225" t="s">
        <v>994</v>
      </c>
      <c r="P225" t="s">
        <v>226</v>
      </c>
      <c r="Q225" t="str">
        <f t="shared" si="10"/>
        <v>Broker</v>
      </c>
    </row>
    <row r="226" spans="11:17" hidden="1">
      <c r="K226" t="s">
        <v>270</v>
      </c>
      <c r="L226" t="s">
        <v>1994</v>
      </c>
      <c r="M226" s="163">
        <v>45853</v>
      </c>
      <c r="N226">
        <f t="shared" si="9"/>
        <v>2025</v>
      </c>
      <c r="O226" t="s">
        <v>1637</v>
      </c>
      <c r="P226" t="s">
        <v>226</v>
      </c>
      <c r="Q226" t="str">
        <f t="shared" si="10"/>
        <v>Broker</v>
      </c>
    </row>
    <row r="227" spans="11:17" hidden="1">
      <c r="K227" t="s">
        <v>320</v>
      </c>
      <c r="L227" t="s">
        <v>1995</v>
      </c>
      <c r="M227" s="163">
        <v>45854</v>
      </c>
      <c r="N227">
        <f t="shared" si="9"/>
        <v>2025</v>
      </c>
      <c r="O227" t="s">
        <v>994</v>
      </c>
      <c r="P227" t="s">
        <v>226</v>
      </c>
      <c r="Q227" t="str">
        <f t="shared" si="10"/>
        <v>Broker</v>
      </c>
    </row>
    <row r="228" spans="11:17" hidden="1">
      <c r="K228" t="s">
        <v>320</v>
      </c>
      <c r="L228" t="s">
        <v>1996</v>
      </c>
      <c r="M228" s="163">
        <v>45854</v>
      </c>
      <c r="N228">
        <f t="shared" si="9"/>
        <v>2025</v>
      </c>
      <c r="O228" t="s">
        <v>994</v>
      </c>
      <c r="P228" t="s">
        <v>226</v>
      </c>
      <c r="Q228" t="str">
        <f t="shared" si="10"/>
        <v>Broker</v>
      </c>
    </row>
    <row r="229" spans="11:17" hidden="1">
      <c r="K229" t="s">
        <v>1418</v>
      </c>
      <c r="L229" t="s">
        <v>1997</v>
      </c>
      <c r="M229" s="163">
        <v>45854</v>
      </c>
      <c r="N229">
        <f t="shared" si="9"/>
        <v>2025</v>
      </c>
      <c r="O229" t="s">
        <v>994</v>
      </c>
      <c r="P229" t="s">
        <v>226</v>
      </c>
      <c r="Q229" t="str">
        <f t="shared" si="10"/>
        <v>Broker</v>
      </c>
    </row>
    <row r="230" spans="11:17" hidden="1">
      <c r="K230" t="s">
        <v>270</v>
      </c>
      <c r="L230" t="s">
        <v>2000</v>
      </c>
      <c r="M230" s="163">
        <v>45854</v>
      </c>
      <c r="N230">
        <f t="shared" si="9"/>
        <v>2025</v>
      </c>
      <c r="O230" t="s">
        <v>994</v>
      </c>
      <c r="P230" t="s">
        <v>226</v>
      </c>
      <c r="Q230" t="str">
        <f t="shared" si="10"/>
        <v>Broker</v>
      </c>
    </row>
    <row r="231" spans="11:17" hidden="1">
      <c r="K231" t="s">
        <v>2025</v>
      </c>
      <c r="L231" t="s">
        <v>2017</v>
      </c>
      <c r="M231" s="163">
        <v>45859</v>
      </c>
      <c r="N231">
        <f t="shared" si="9"/>
        <v>2025</v>
      </c>
      <c r="O231" t="s">
        <v>76</v>
      </c>
      <c r="P231" t="s">
        <v>1261</v>
      </c>
      <c r="Q231" t="str">
        <f t="shared" si="10"/>
        <v>Consultoria</v>
      </c>
    </row>
    <row r="232" spans="11:17" hidden="1">
      <c r="K232" t="s">
        <v>1045</v>
      </c>
      <c r="L232" t="s">
        <v>2018</v>
      </c>
      <c r="M232" s="163">
        <v>45859</v>
      </c>
      <c r="N232">
        <f t="shared" si="9"/>
        <v>2025</v>
      </c>
      <c r="O232" t="s">
        <v>1234</v>
      </c>
      <c r="P232" t="s">
        <v>2019</v>
      </c>
      <c r="Q232" t="str">
        <f t="shared" si="10"/>
        <v>Empresários / Executivo</v>
      </c>
    </row>
    <row r="233" spans="11:17" hidden="1">
      <c r="L233" t="s">
        <v>2020</v>
      </c>
      <c r="M233" s="163">
        <v>45859</v>
      </c>
      <c r="N233">
        <f t="shared" si="9"/>
        <v>2025</v>
      </c>
      <c r="O233" t="s">
        <v>76</v>
      </c>
      <c r="P233" t="s">
        <v>76</v>
      </c>
      <c r="Q233" t="str">
        <f t="shared" si="10"/>
        <v>Consultoria</v>
      </c>
    </row>
    <row r="234" spans="11:17" hidden="1">
      <c r="K234" t="s">
        <v>270</v>
      </c>
      <c r="L234" t="s">
        <v>2021</v>
      </c>
      <c r="M234" s="163">
        <v>45861</v>
      </c>
      <c r="N234">
        <f t="shared" si="9"/>
        <v>2025</v>
      </c>
      <c r="O234" t="s">
        <v>76</v>
      </c>
      <c r="P234" t="s">
        <v>76</v>
      </c>
      <c r="Q234" t="str">
        <f t="shared" si="10"/>
        <v>Consultoria</v>
      </c>
    </row>
    <row r="235" spans="11:17" hidden="1">
      <c r="K235" t="s">
        <v>463</v>
      </c>
      <c r="L235" t="s">
        <v>2022</v>
      </c>
      <c r="M235" s="163">
        <v>45861</v>
      </c>
      <c r="N235">
        <f t="shared" si="9"/>
        <v>2025</v>
      </c>
      <c r="O235" t="s">
        <v>206</v>
      </c>
      <c r="P235" t="s">
        <v>1193</v>
      </c>
      <c r="Q235" t="str">
        <f t="shared" si="10"/>
        <v>Banco</v>
      </c>
    </row>
    <row r="236" spans="11:17" hidden="1">
      <c r="K236" t="s">
        <v>1045</v>
      </c>
      <c r="L236" t="s">
        <v>2024</v>
      </c>
      <c r="M236" s="163">
        <v>45861</v>
      </c>
      <c r="N236">
        <f t="shared" si="9"/>
        <v>2025</v>
      </c>
      <c r="O236" t="s">
        <v>1211</v>
      </c>
      <c r="P236" t="s">
        <v>1261</v>
      </c>
      <c r="Q236" t="str">
        <f t="shared" si="10"/>
        <v>Consultoria</v>
      </c>
    </row>
    <row r="237" spans="11:17" hidden="1">
      <c r="K237" t="s">
        <v>2035</v>
      </c>
      <c r="L237" t="s">
        <v>2036</v>
      </c>
      <c r="M237" s="163">
        <v>45868</v>
      </c>
      <c r="N237">
        <f t="shared" si="9"/>
        <v>2025</v>
      </c>
      <c r="O237" t="s">
        <v>2037</v>
      </c>
      <c r="P237" t="s">
        <v>130</v>
      </c>
      <c r="Q237" t="str">
        <f t="shared" si="10"/>
        <v>Escritório Adv.</v>
      </c>
    </row>
    <row r="238" spans="11:17" hidden="1">
      <c r="K238" t="s">
        <v>329</v>
      </c>
      <c r="L238" t="s">
        <v>2038</v>
      </c>
      <c r="M238" s="163">
        <v>45868</v>
      </c>
      <c r="N238">
        <f t="shared" si="9"/>
        <v>2025</v>
      </c>
      <c r="O238" t="s">
        <v>1595</v>
      </c>
      <c r="P238" t="s">
        <v>1261</v>
      </c>
      <c r="Q238" t="str">
        <f t="shared" si="10"/>
        <v>Consultoria</v>
      </c>
    </row>
    <row r="239" spans="11:17" hidden="1">
      <c r="K239" t="s">
        <v>1045</v>
      </c>
      <c r="L239" t="s">
        <v>2039</v>
      </c>
      <c r="M239" s="163">
        <v>45868</v>
      </c>
      <c r="N239">
        <f t="shared" si="9"/>
        <v>2025</v>
      </c>
      <c r="O239" t="s">
        <v>1595</v>
      </c>
      <c r="P239" t="s">
        <v>1261</v>
      </c>
      <c r="Q239" t="str">
        <f t="shared" si="10"/>
        <v>Consultoria</v>
      </c>
    </row>
    <row r="240" spans="11:17" hidden="1">
      <c r="K240" t="s">
        <v>2040</v>
      </c>
      <c r="L240" t="s">
        <v>2041</v>
      </c>
      <c r="M240" s="163">
        <v>45868</v>
      </c>
      <c r="N240">
        <f t="shared" si="9"/>
        <v>2025</v>
      </c>
      <c r="O240" t="s">
        <v>76</v>
      </c>
      <c r="P240" t="s">
        <v>76</v>
      </c>
      <c r="Q240" t="str">
        <f t="shared" si="10"/>
        <v>Consultoria</v>
      </c>
    </row>
    <row r="241" spans="11:17" hidden="1">
      <c r="K241" t="s">
        <v>320</v>
      </c>
      <c r="L241" t="s">
        <v>2043</v>
      </c>
      <c r="M241" s="163">
        <v>45868</v>
      </c>
      <c r="N241">
        <f t="shared" si="9"/>
        <v>2025</v>
      </c>
      <c r="O241" t="s">
        <v>2042</v>
      </c>
      <c r="P241" t="s">
        <v>226</v>
      </c>
      <c r="Q241" t="str">
        <f t="shared" si="10"/>
        <v>Broker</v>
      </c>
    </row>
    <row r="242" spans="11:17" hidden="1">
      <c r="K242" t="s">
        <v>270</v>
      </c>
      <c r="L242" t="s">
        <v>2046</v>
      </c>
      <c r="M242" s="163">
        <v>45868</v>
      </c>
      <c r="N242">
        <f t="shared" si="9"/>
        <v>2025</v>
      </c>
      <c r="O242" t="s">
        <v>76</v>
      </c>
      <c r="P242" t="s">
        <v>76</v>
      </c>
      <c r="Q242" t="str">
        <f t="shared" si="10"/>
        <v>Consultoria</v>
      </c>
    </row>
    <row r="243" spans="11:17" hidden="1">
      <c r="K243" t="s">
        <v>270</v>
      </c>
      <c r="L243" t="s">
        <v>2045</v>
      </c>
      <c r="M243" s="163">
        <v>45868</v>
      </c>
      <c r="N243">
        <f t="shared" si="9"/>
        <v>2025</v>
      </c>
      <c r="O243" t="s">
        <v>1234</v>
      </c>
      <c r="P243" t="s">
        <v>1767</v>
      </c>
      <c r="Q243" t="str">
        <f t="shared" si="10"/>
        <v>Empresários / Executivo</v>
      </c>
    </row>
    <row r="244" spans="11:17" hidden="1">
      <c r="K244" t="s">
        <v>270</v>
      </c>
      <c r="L244" t="s">
        <v>2048</v>
      </c>
      <c r="M244" s="163">
        <v>45868</v>
      </c>
      <c r="N244">
        <f t="shared" si="9"/>
        <v>2025</v>
      </c>
      <c r="O244" t="s">
        <v>2049</v>
      </c>
      <c r="P244" t="s">
        <v>130</v>
      </c>
      <c r="Q244" t="str">
        <f t="shared" si="10"/>
        <v>Escritório Adv.</v>
      </c>
    </row>
    <row r="245" spans="11:17" hidden="1">
      <c r="K245" t="s">
        <v>270</v>
      </c>
      <c r="L245" t="s">
        <v>2052</v>
      </c>
      <c r="M245" s="163">
        <v>45868</v>
      </c>
      <c r="N245">
        <f t="shared" si="9"/>
        <v>2025</v>
      </c>
      <c r="O245" t="s">
        <v>2049</v>
      </c>
      <c r="P245" t="s">
        <v>130</v>
      </c>
      <c r="Q245" t="str">
        <f t="shared" si="10"/>
        <v>Escritório Adv.</v>
      </c>
    </row>
    <row r="246" spans="11:17" hidden="1">
      <c r="K246" t="s">
        <v>304</v>
      </c>
      <c r="L246" t="s">
        <v>2055</v>
      </c>
      <c r="M246" s="163">
        <v>45868</v>
      </c>
      <c r="N246">
        <f t="shared" si="9"/>
        <v>2025</v>
      </c>
      <c r="O246" t="s">
        <v>994</v>
      </c>
      <c r="P246" t="s">
        <v>226</v>
      </c>
      <c r="Q246" t="str">
        <f t="shared" si="10"/>
        <v>Broker</v>
      </c>
    </row>
    <row r="247" spans="11:17" hidden="1">
      <c r="K247" t="s">
        <v>329</v>
      </c>
      <c r="L247" t="s">
        <v>2058</v>
      </c>
      <c r="M247" s="163">
        <v>45868</v>
      </c>
      <c r="N247">
        <f t="shared" si="9"/>
        <v>2025</v>
      </c>
      <c r="O247" t="s">
        <v>2057</v>
      </c>
      <c r="P247" t="s">
        <v>1261</v>
      </c>
      <c r="Q247" t="str">
        <f t="shared" si="10"/>
        <v>Consultoria</v>
      </c>
    </row>
    <row r="248" spans="11:17" hidden="1">
      <c r="K248" t="s">
        <v>204</v>
      </c>
      <c r="L248" t="s">
        <v>2061</v>
      </c>
      <c r="M248" s="163">
        <v>45873</v>
      </c>
      <c r="N248">
        <f t="shared" si="9"/>
        <v>2025</v>
      </c>
      <c r="O248" t="s">
        <v>375</v>
      </c>
      <c r="P248" t="s">
        <v>1193</v>
      </c>
      <c r="Q248" t="str">
        <f t="shared" si="10"/>
        <v>Banco</v>
      </c>
    </row>
    <row r="249" spans="11:17" hidden="1">
      <c r="K249" t="s">
        <v>204</v>
      </c>
      <c r="L249" t="s">
        <v>2062</v>
      </c>
      <c r="M249" s="163">
        <v>45873</v>
      </c>
      <c r="N249">
        <f t="shared" si="9"/>
        <v>2025</v>
      </c>
      <c r="O249" t="s">
        <v>1234</v>
      </c>
      <c r="P249" t="s">
        <v>1767</v>
      </c>
      <c r="Q249" t="str">
        <f t="shared" si="10"/>
        <v>Empresários / Executivo</v>
      </c>
    </row>
    <row r="250" spans="11:17" hidden="1">
      <c r="K250" t="s">
        <v>1045</v>
      </c>
      <c r="L250" t="s">
        <v>2064</v>
      </c>
      <c r="M250" s="163">
        <v>45873</v>
      </c>
      <c r="N250">
        <f t="shared" si="9"/>
        <v>2025</v>
      </c>
      <c r="O250" t="s">
        <v>76</v>
      </c>
      <c r="P250" t="s">
        <v>76</v>
      </c>
      <c r="Q250" t="str">
        <f t="shared" si="10"/>
        <v>Consultoria</v>
      </c>
    </row>
    <row r="251" spans="11:17" hidden="1">
      <c r="K251" t="s">
        <v>204</v>
      </c>
      <c r="L251" t="s">
        <v>2066</v>
      </c>
      <c r="M251" s="163">
        <v>45881</v>
      </c>
      <c r="N251">
        <f t="shared" si="9"/>
        <v>2025</v>
      </c>
      <c r="O251" t="s">
        <v>206</v>
      </c>
      <c r="P251" t="s">
        <v>1193</v>
      </c>
      <c r="Q251" t="str">
        <f t="shared" si="10"/>
        <v>Banco</v>
      </c>
    </row>
    <row r="252" spans="11:17">
      <c r="K252" t="s">
        <v>2068</v>
      </c>
      <c r="L252" t="s">
        <v>2069</v>
      </c>
      <c r="M252" s="163">
        <v>45881</v>
      </c>
      <c r="N252">
        <f t="shared" si="9"/>
        <v>2025</v>
      </c>
      <c r="O252" t="s">
        <v>2067</v>
      </c>
      <c r="P252" t="s">
        <v>1252</v>
      </c>
      <c r="Q252" t="str">
        <f t="shared" si="10"/>
        <v>Consultoria</v>
      </c>
    </row>
    <row r="253" spans="11:17" hidden="1">
      <c r="K253" t="s">
        <v>304</v>
      </c>
      <c r="L253" t="s">
        <v>2088</v>
      </c>
      <c r="M253" s="163">
        <v>45881</v>
      </c>
      <c r="N253">
        <f t="shared" si="9"/>
        <v>2025</v>
      </c>
      <c r="O253" t="s">
        <v>2072</v>
      </c>
      <c r="P253" t="s">
        <v>130</v>
      </c>
      <c r="Q253" t="str">
        <f t="shared" si="10"/>
        <v>Escritório Adv.</v>
      </c>
    </row>
    <row r="254" spans="11:17" hidden="1">
      <c r="K254" t="s">
        <v>304</v>
      </c>
      <c r="L254" t="s">
        <v>2088</v>
      </c>
      <c r="M254" s="163">
        <v>45881</v>
      </c>
      <c r="N254">
        <f t="shared" si="9"/>
        <v>2025</v>
      </c>
      <c r="O254" t="s">
        <v>2072</v>
      </c>
      <c r="P254" t="s">
        <v>130</v>
      </c>
      <c r="Q254" t="str">
        <f t="shared" si="10"/>
        <v>Escritório Adv.</v>
      </c>
    </row>
    <row r="255" spans="11:17">
      <c r="K255" t="s">
        <v>1045</v>
      </c>
      <c r="L255" t="s">
        <v>2075</v>
      </c>
      <c r="M255" s="163">
        <v>45881</v>
      </c>
      <c r="N255">
        <f t="shared" si="9"/>
        <v>2025</v>
      </c>
      <c r="O255" t="s">
        <v>1622</v>
      </c>
      <c r="P255" t="s">
        <v>1252</v>
      </c>
      <c r="Q255" t="str">
        <f t="shared" si="10"/>
        <v>Consultoria</v>
      </c>
    </row>
    <row r="256" spans="11:17">
      <c r="K256" t="s">
        <v>86</v>
      </c>
      <c r="M256" s="163">
        <v>45881</v>
      </c>
      <c r="N256">
        <f t="shared" si="9"/>
        <v>2025</v>
      </c>
      <c r="O256" t="s">
        <v>1625</v>
      </c>
      <c r="P256" t="s">
        <v>1252</v>
      </c>
      <c r="Q256" t="str">
        <f t="shared" si="10"/>
        <v>Consultoria</v>
      </c>
    </row>
    <row r="257" spans="11:17" hidden="1">
      <c r="K257" t="s">
        <v>1045</v>
      </c>
      <c r="L257" t="s">
        <v>2076</v>
      </c>
      <c r="M257" s="163">
        <v>45881</v>
      </c>
      <c r="N257">
        <f t="shared" si="9"/>
        <v>2025</v>
      </c>
      <c r="O257" t="s">
        <v>76</v>
      </c>
      <c r="P257" t="s">
        <v>76</v>
      </c>
      <c r="Q257" t="str">
        <f t="shared" si="10"/>
        <v>Consultoria</v>
      </c>
    </row>
    <row r="258" spans="11:17" hidden="1">
      <c r="K258" t="s">
        <v>1045</v>
      </c>
      <c r="L258" t="s">
        <v>2077</v>
      </c>
      <c r="M258" s="163">
        <v>45881</v>
      </c>
      <c r="N258">
        <f t="shared" si="9"/>
        <v>2025</v>
      </c>
      <c r="O258" t="s">
        <v>2078</v>
      </c>
      <c r="P258" t="s">
        <v>1767</v>
      </c>
      <c r="Q258" t="str">
        <f t="shared" si="10"/>
        <v>Empresários / Executivo</v>
      </c>
    </row>
    <row r="259" spans="11:17" hidden="1">
      <c r="K259" t="s">
        <v>329</v>
      </c>
      <c r="L259" t="s">
        <v>2079</v>
      </c>
      <c r="M259" s="163">
        <v>45881</v>
      </c>
      <c r="N259">
        <f t="shared" ref="N259:N322" si="11">YEAR(M259)</f>
        <v>2025</v>
      </c>
      <c r="O259" t="s">
        <v>839</v>
      </c>
      <c r="P259" t="s">
        <v>1261</v>
      </c>
      <c r="Q259" t="str">
        <f t="shared" ref="Q259:Q322" si="12">+INDEX($AA$3:$AA$19,MATCH(P259,$Z$3:$Z$19,0))</f>
        <v>Consultoria</v>
      </c>
    </row>
    <row r="260" spans="11:17" hidden="1">
      <c r="K260" t="s">
        <v>270</v>
      </c>
      <c r="L260" t="s">
        <v>2092</v>
      </c>
      <c r="M260" s="163">
        <v>45881</v>
      </c>
      <c r="N260">
        <f t="shared" si="11"/>
        <v>2025</v>
      </c>
      <c r="O260" t="s">
        <v>2093</v>
      </c>
      <c r="P260" t="s">
        <v>130</v>
      </c>
      <c r="Q260" t="str">
        <f t="shared" si="12"/>
        <v>Escritório Adv.</v>
      </c>
    </row>
    <row r="261" spans="11:17" hidden="1">
      <c r="K261" t="s">
        <v>270</v>
      </c>
      <c r="L261" t="s">
        <v>2094</v>
      </c>
      <c r="M261" s="163">
        <v>45882</v>
      </c>
      <c r="N261">
        <f t="shared" si="11"/>
        <v>2025</v>
      </c>
      <c r="O261" t="s">
        <v>630</v>
      </c>
      <c r="P261" t="s">
        <v>226</v>
      </c>
      <c r="Q261" t="str">
        <f t="shared" si="12"/>
        <v>Broker</v>
      </c>
    </row>
    <row r="262" spans="11:17" hidden="1">
      <c r="K262" t="s">
        <v>695</v>
      </c>
      <c r="L262" t="s">
        <v>2099</v>
      </c>
      <c r="M262" s="163">
        <v>45889</v>
      </c>
      <c r="N262">
        <f t="shared" si="11"/>
        <v>2025</v>
      </c>
      <c r="O262" t="s">
        <v>1224</v>
      </c>
      <c r="P262" t="s">
        <v>872</v>
      </c>
      <c r="Q262" t="str">
        <f t="shared" si="12"/>
        <v>Asset</v>
      </c>
    </row>
    <row r="263" spans="11:17" hidden="1">
      <c r="K263" t="s">
        <v>86</v>
      </c>
      <c r="L263" t="s">
        <v>1604</v>
      </c>
      <c r="M263" s="163">
        <v>45889</v>
      </c>
      <c r="N263">
        <f t="shared" si="11"/>
        <v>2025</v>
      </c>
      <c r="O263" t="s">
        <v>994</v>
      </c>
      <c r="P263" t="s">
        <v>226</v>
      </c>
      <c r="Q263" t="str">
        <f t="shared" si="12"/>
        <v>Broker</v>
      </c>
    </row>
    <row r="264" spans="11:17" hidden="1">
      <c r="K264" t="s">
        <v>2101</v>
      </c>
      <c r="L264" t="s">
        <v>2102</v>
      </c>
      <c r="M264" s="163">
        <v>45889</v>
      </c>
      <c r="N264">
        <f t="shared" si="11"/>
        <v>2025</v>
      </c>
      <c r="O264" t="s">
        <v>2103</v>
      </c>
      <c r="P264" t="s">
        <v>1261</v>
      </c>
      <c r="Q264" t="str">
        <f t="shared" si="12"/>
        <v>Consultoria</v>
      </c>
    </row>
    <row r="265" spans="11:17" hidden="1">
      <c r="K265" t="s">
        <v>329</v>
      </c>
      <c r="L265" t="s">
        <v>2105</v>
      </c>
      <c r="M265" s="163">
        <v>45889</v>
      </c>
      <c r="N265">
        <f t="shared" si="11"/>
        <v>2025</v>
      </c>
      <c r="O265" t="s">
        <v>2106</v>
      </c>
      <c r="P265" t="s">
        <v>130</v>
      </c>
      <c r="Q265" t="str">
        <f t="shared" si="12"/>
        <v>Escritório Adv.</v>
      </c>
    </row>
    <row r="266" spans="11:17" hidden="1">
      <c r="K266" t="s">
        <v>270</v>
      </c>
      <c r="L266" t="s">
        <v>2115</v>
      </c>
      <c r="M266" s="163">
        <v>45889</v>
      </c>
      <c r="N266">
        <f t="shared" si="11"/>
        <v>2025</v>
      </c>
      <c r="O266" t="s">
        <v>697</v>
      </c>
      <c r="P266" t="s">
        <v>226</v>
      </c>
      <c r="Q266" t="str">
        <f t="shared" si="12"/>
        <v>Broker</v>
      </c>
    </row>
    <row r="267" spans="11:17" hidden="1">
      <c r="K267" t="s">
        <v>270</v>
      </c>
      <c r="L267" t="s">
        <v>898</v>
      </c>
      <c r="M267" s="163">
        <v>45889</v>
      </c>
      <c r="N267">
        <f t="shared" si="11"/>
        <v>2025</v>
      </c>
      <c r="O267" t="s">
        <v>697</v>
      </c>
      <c r="P267" t="s">
        <v>226</v>
      </c>
      <c r="Q267" t="str">
        <f t="shared" si="12"/>
        <v>Broker</v>
      </c>
    </row>
    <row r="268" spans="11:17" hidden="1">
      <c r="K268" t="s">
        <v>204</v>
      </c>
      <c r="L268" t="s">
        <v>2116</v>
      </c>
      <c r="M268" s="163">
        <v>45889</v>
      </c>
      <c r="N268">
        <f t="shared" si="11"/>
        <v>2025</v>
      </c>
      <c r="O268" t="s">
        <v>2117</v>
      </c>
      <c r="P268" t="s">
        <v>1261</v>
      </c>
      <c r="Q268" t="str">
        <f t="shared" si="12"/>
        <v>Consultoria</v>
      </c>
    </row>
    <row r="269" spans="11:17" hidden="1">
      <c r="K269" t="s">
        <v>1045</v>
      </c>
      <c r="L269" t="s">
        <v>2149</v>
      </c>
      <c r="M269" s="163">
        <v>45895</v>
      </c>
      <c r="N269">
        <f t="shared" si="11"/>
        <v>2025</v>
      </c>
      <c r="O269" t="s">
        <v>425</v>
      </c>
      <c r="P269" t="s">
        <v>1261</v>
      </c>
      <c r="Q269" t="str">
        <f t="shared" si="12"/>
        <v>Consultoria</v>
      </c>
    </row>
    <row r="270" spans="11:17" hidden="1">
      <c r="K270" t="s">
        <v>1045</v>
      </c>
      <c r="L270" t="s">
        <v>2152</v>
      </c>
      <c r="M270" s="163">
        <v>45895</v>
      </c>
      <c r="N270">
        <f t="shared" si="11"/>
        <v>2025</v>
      </c>
      <c r="O270" t="s">
        <v>1234</v>
      </c>
      <c r="P270" t="s">
        <v>2019</v>
      </c>
      <c r="Q270" t="str">
        <f t="shared" si="12"/>
        <v>Empresários / Executivo</v>
      </c>
    </row>
    <row r="271" spans="11:17" hidden="1">
      <c r="K271" t="s">
        <v>1045</v>
      </c>
      <c r="L271" t="s">
        <v>2153</v>
      </c>
      <c r="M271" s="163">
        <v>45895</v>
      </c>
      <c r="N271">
        <f t="shared" si="11"/>
        <v>2025</v>
      </c>
      <c r="O271" t="s">
        <v>2117</v>
      </c>
      <c r="P271" t="s">
        <v>1261</v>
      </c>
      <c r="Q271" t="str">
        <f t="shared" si="12"/>
        <v>Consultoria</v>
      </c>
    </row>
    <row r="272" spans="11:17" hidden="1">
      <c r="K272" t="s">
        <v>1623</v>
      </c>
      <c r="L272" t="s">
        <v>2170</v>
      </c>
      <c r="M272" s="163">
        <v>45895</v>
      </c>
      <c r="N272">
        <f t="shared" si="11"/>
        <v>2025</v>
      </c>
      <c r="O272" t="s">
        <v>2117</v>
      </c>
      <c r="P272" t="s">
        <v>1261</v>
      </c>
      <c r="Q272" t="str">
        <f t="shared" si="12"/>
        <v>Consultoria</v>
      </c>
    </row>
    <row r="273" spans="11:17" hidden="1">
      <c r="K273" t="s">
        <v>1045</v>
      </c>
      <c r="L273" t="s">
        <v>2155</v>
      </c>
      <c r="M273" s="163">
        <v>45895</v>
      </c>
      <c r="N273">
        <f t="shared" si="11"/>
        <v>2025</v>
      </c>
      <c r="O273" t="s">
        <v>76</v>
      </c>
      <c r="P273" t="s">
        <v>76</v>
      </c>
      <c r="Q273" t="str">
        <f t="shared" si="12"/>
        <v>Consultoria</v>
      </c>
    </row>
    <row r="274" spans="11:17" hidden="1">
      <c r="K274" t="s">
        <v>1045</v>
      </c>
      <c r="L274" t="s">
        <v>2157</v>
      </c>
      <c r="M274" s="163">
        <v>45895</v>
      </c>
      <c r="N274">
        <f t="shared" si="11"/>
        <v>2025</v>
      </c>
      <c r="O274" t="s">
        <v>1234</v>
      </c>
      <c r="P274" t="s">
        <v>2019</v>
      </c>
      <c r="Q274" t="str">
        <f t="shared" si="12"/>
        <v>Empresários / Executivo</v>
      </c>
    </row>
    <row r="275" spans="11:17" hidden="1">
      <c r="K275" t="s">
        <v>1045</v>
      </c>
      <c r="L275" t="s">
        <v>2158</v>
      </c>
      <c r="M275" s="163">
        <v>45895</v>
      </c>
      <c r="N275">
        <f t="shared" si="11"/>
        <v>2025</v>
      </c>
      <c r="O275" t="s">
        <v>1234</v>
      </c>
      <c r="P275" t="s">
        <v>2019</v>
      </c>
      <c r="Q275" t="str">
        <f t="shared" si="12"/>
        <v>Empresários / Executivo</v>
      </c>
    </row>
    <row r="276" spans="11:17" hidden="1">
      <c r="K276" t="s">
        <v>270</v>
      </c>
      <c r="L276" t="s">
        <v>2231</v>
      </c>
      <c r="M276" s="163">
        <v>45901</v>
      </c>
      <c r="N276">
        <f t="shared" si="11"/>
        <v>2025</v>
      </c>
      <c r="O276" t="s">
        <v>2159</v>
      </c>
      <c r="P276" t="s">
        <v>1261</v>
      </c>
      <c r="Q276" t="str">
        <f t="shared" si="12"/>
        <v>Consultoria</v>
      </c>
    </row>
    <row r="277" spans="11:17" hidden="1">
      <c r="K277" t="s">
        <v>270</v>
      </c>
      <c r="L277" t="s">
        <v>2176</v>
      </c>
      <c r="M277" s="163">
        <v>45901</v>
      </c>
      <c r="N277">
        <f t="shared" si="11"/>
        <v>2025</v>
      </c>
      <c r="O277" t="s">
        <v>2175</v>
      </c>
      <c r="P277" t="s">
        <v>130</v>
      </c>
      <c r="Q277" t="str">
        <f t="shared" si="12"/>
        <v>Escritório Adv.</v>
      </c>
    </row>
    <row r="278" spans="11:17" hidden="1">
      <c r="K278" t="s">
        <v>2180</v>
      </c>
      <c r="L278" t="s">
        <v>2179</v>
      </c>
      <c r="M278" s="163">
        <v>45901</v>
      </c>
      <c r="N278">
        <f t="shared" si="11"/>
        <v>2025</v>
      </c>
      <c r="O278" t="s">
        <v>2159</v>
      </c>
      <c r="P278" t="s">
        <v>1261</v>
      </c>
      <c r="Q278" t="str">
        <f t="shared" si="12"/>
        <v>Consultoria</v>
      </c>
    </row>
    <row r="279" spans="11:17" hidden="1">
      <c r="K279" t="s">
        <v>1045</v>
      </c>
      <c r="L279" t="s">
        <v>2182</v>
      </c>
      <c r="M279" s="163">
        <v>45901</v>
      </c>
      <c r="N279">
        <f t="shared" si="11"/>
        <v>2025</v>
      </c>
      <c r="O279" t="s">
        <v>2183</v>
      </c>
      <c r="P279" t="s">
        <v>1261</v>
      </c>
      <c r="Q279" t="str">
        <f t="shared" si="12"/>
        <v>Consultoria</v>
      </c>
    </row>
    <row r="280" spans="11:17" hidden="1">
      <c r="K280" t="s">
        <v>320</v>
      </c>
      <c r="L280" t="s">
        <v>2185</v>
      </c>
      <c r="M280" s="163">
        <v>45902</v>
      </c>
      <c r="N280">
        <f t="shared" si="11"/>
        <v>2025</v>
      </c>
      <c r="O280" t="s">
        <v>2196</v>
      </c>
      <c r="P280" t="s">
        <v>226</v>
      </c>
      <c r="Q280" t="str">
        <f t="shared" si="12"/>
        <v>Broker</v>
      </c>
    </row>
    <row r="281" spans="11:17" hidden="1">
      <c r="K281" t="s">
        <v>270</v>
      </c>
      <c r="L281" t="s">
        <v>2233</v>
      </c>
      <c r="M281" s="163">
        <v>45904</v>
      </c>
      <c r="N281">
        <f t="shared" si="11"/>
        <v>2025</v>
      </c>
      <c r="O281" t="s">
        <v>2187</v>
      </c>
      <c r="P281" t="s">
        <v>130</v>
      </c>
      <c r="Q281" t="str">
        <f t="shared" si="12"/>
        <v>Escritório Adv.</v>
      </c>
    </row>
    <row r="282" spans="11:17" hidden="1">
      <c r="K282" t="s">
        <v>270</v>
      </c>
      <c r="L282" t="s">
        <v>2215</v>
      </c>
      <c r="M282" s="163">
        <v>45908</v>
      </c>
      <c r="N282">
        <f t="shared" si="11"/>
        <v>2025</v>
      </c>
      <c r="O282" t="s">
        <v>2197</v>
      </c>
      <c r="P282" t="s">
        <v>226</v>
      </c>
      <c r="Q282" t="str">
        <f t="shared" si="12"/>
        <v>Broker</v>
      </c>
    </row>
    <row r="283" spans="11:17" hidden="1">
      <c r="K283" t="s">
        <v>1045</v>
      </c>
      <c r="L283" t="s">
        <v>2189</v>
      </c>
      <c r="M283" s="163">
        <v>45910</v>
      </c>
      <c r="N283">
        <f t="shared" si="11"/>
        <v>2025</v>
      </c>
      <c r="O283" t="s">
        <v>2190</v>
      </c>
      <c r="P283" t="s">
        <v>226</v>
      </c>
      <c r="Q283" t="str">
        <f t="shared" si="12"/>
        <v>Broker</v>
      </c>
    </row>
    <row r="284" spans="11:17" hidden="1">
      <c r="K284" t="s">
        <v>204</v>
      </c>
      <c r="L284" t="s">
        <v>2192</v>
      </c>
      <c r="M284" s="163">
        <v>45911</v>
      </c>
      <c r="N284">
        <f t="shared" si="11"/>
        <v>2025</v>
      </c>
      <c r="O284" t="s">
        <v>2193</v>
      </c>
      <c r="P284" t="s">
        <v>2194</v>
      </c>
      <c r="Q284" t="str">
        <f t="shared" si="12"/>
        <v>Empresários / Executivo</v>
      </c>
    </row>
    <row r="285" spans="11:17" hidden="1">
      <c r="K285" t="s">
        <v>329</v>
      </c>
      <c r="L285" t="s">
        <v>2198</v>
      </c>
      <c r="M285" s="163">
        <v>45911</v>
      </c>
      <c r="N285">
        <f t="shared" si="11"/>
        <v>2025</v>
      </c>
      <c r="O285" t="s">
        <v>2193</v>
      </c>
      <c r="P285" t="s">
        <v>2194</v>
      </c>
      <c r="Q285" t="str">
        <f t="shared" si="12"/>
        <v>Empresários / Executivo</v>
      </c>
    </row>
    <row r="286" spans="11:17" hidden="1">
      <c r="K286" t="s">
        <v>1045</v>
      </c>
      <c r="L286" t="s">
        <v>2249</v>
      </c>
      <c r="M286" s="163">
        <v>45911</v>
      </c>
      <c r="N286">
        <f t="shared" si="11"/>
        <v>2025</v>
      </c>
      <c r="O286" t="s">
        <v>2200</v>
      </c>
      <c r="P286" t="s">
        <v>76</v>
      </c>
      <c r="Q286" t="str">
        <f t="shared" si="12"/>
        <v>Consultoria</v>
      </c>
    </row>
    <row r="287" spans="11:17" hidden="1">
      <c r="K287" t="s">
        <v>1045</v>
      </c>
      <c r="L287" t="s">
        <v>2203</v>
      </c>
      <c r="M287" s="163">
        <v>45911</v>
      </c>
      <c r="N287">
        <f t="shared" si="11"/>
        <v>2025</v>
      </c>
      <c r="O287" t="s">
        <v>2204</v>
      </c>
      <c r="P287" t="s">
        <v>130</v>
      </c>
      <c r="Q287" t="str">
        <f t="shared" si="12"/>
        <v>Escritório Adv.</v>
      </c>
    </row>
    <row r="288" spans="11:17" hidden="1">
      <c r="K288" t="s">
        <v>1045</v>
      </c>
      <c r="L288" t="s">
        <v>2207</v>
      </c>
      <c r="M288" s="163">
        <v>45911</v>
      </c>
      <c r="N288">
        <f t="shared" si="11"/>
        <v>2025</v>
      </c>
      <c r="O288" t="s">
        <v>2208</v>
      </c>
      <c r="P288" t="s">
        <v>1206</v>
      </c>
      <c r="Q288" t="str">
        <f t="shared" si="12"/>
        <v>Asset</v>
      </c>
    </row>
    <row r="289" spans="11:17">
      <c r="K289" t="s">
        <v>1045</v>
      </c>
      <c r="L289" t="s">
        <v>2210</v>
      </c>
      <c r="M289" s="163">
        <v>45911</v>
      </c>
      <c r="N289">
        <f t="shared" si="11"/>
        <v>2025</v>
      </c>
      <c r="O289" t="s">
        <v>1654</v>
      </c>
      <c r="P289" t="s">
        <v>1252</v>
      </c>
      <c r="Q289" t="str">
        <f t="shared" si="12"/>
        <v>Consultoria</v>
      </c>
    </row>
    <row r="290" spans="11:17" hidden="1">
      <c r="K290" t="s">
        <v>2101</v>
      </c>
      <c r="L290" t="s">
        <v>2213</v>
      </c>
      <c r="M290" s="163">
        <v>45908</v>
      </c>
      <c r="N290">
        <f t="shared" si="11"/>
        <v>2025</v>
      </c>
      <c r="O290" t="s">
        <v>2212</v>
      </c>
      <c r="P290" t="s">
        <v>226</v>
      </c>
      <c r="Q290" t="str">
        <f t="shared" si="12"/>
        <v>Broker</v>
      </c>
    </row>
    <row r="291" spans="11:17" hidden="1">
      <c r="K291" t="s">
        <v>204</v>
      </c>
      <c r="L291" t="s">
        <v>2216</v>
      </c>
      <c r="M291" s="163">
        <v>45911</v>
      </c>
      <c r="N291">
        <f t="shared" si="11"/>
        <v>2025</v>
      </c>
      <c r="O291" t="s">
        <v>2217</v>
      </c>
      <c r="P291" t="s">
        <v>76</v>
      </c>
      <c r="Q291" t="str">
        <f t="shared" si="12"/>
        <v>Consultoria</v>
      </c>
    </row>
    <row r="292" spans="11:17" hidden="1">
      <c r="K292" t="s">
        <v>304</v>
      </c>
      <c r="L292" t="s">
        <v>2219</v>
      </c>
      <c r="M292" s="163">
        <v>45911</v>
      </c>
      <c r="N292">
        <f t="shared" si="11"/>
        <v>2025</v>
      </c>
      <c r="O292" t="s">
        <v>306</v>
      </c>
      <c r="P292" t="s">
        <v>226</v>
      </c>
      <c r="Q292" t="str">
        <f t="shared" si="12"/>
        <v>Broker</v>
      </c>
    </row>
    <row r="293" spans="11:17" hidden="1">
      <c r="K293" t="s">
        <v>807</v>
      </c>
      <c r="L293" t="s">
        <v>2243</v>
      </c>
      <c r="M293" s="163">
        <v>45911</v>
      </c>
      <c r="N293">
        <f t="shared" si="11"/>
        <v>2025</v>
      </c>
      <c r="O293" t="s">
        <v>2245</v>
      </c>
      <c r="P293" t="s">
        <v>226</v>
      </c>
      <c r="Q293" t="str">
        <f t="shared" si="12"/>
        <v>Broker</v>
      </c>
    </row>
    <row r="294" spans="11:17" hidden="1">
      <c r="K294" t="s">
        <v>807</v>
      </c>
      <c r="L294" t="s">
        <v>2244</v>
      </c>
      <c r="M294" s="163">
        <v>45922</v>
      </c>
      <c r="N294">
        <f t="shared" si="11"/>
        <v>2025</v>
      </c>
      <c r="O294" t="s">
        <v>2245</v>
      </c>
      <c r="P294" t="s">
        <v>226</v>
      </c>
      <c r="Q294" t="str">
        <f t="shared" si="12"/>
        <v>Broker</v>
      </c>
    </row>
    <row r="295" spans="11:17" hidden="1">
      <c r="K295" t="s">
        <v>1045</v>
      </c>
      <c r="L295" t="s">
        <v>923</v>
      </c>
      <c r="M295" s="163">
        <v>45922</v>
      </c>
      <c r="N295">
        <f t="shared" si="11"/>
        <v>2025</v>
      </c>
      <c r="O295" t="s">
        <v>2246</v>
      </c>
      <c r="P295" t="s">
        <v>226</v>
      </c>
      <c r="Q295" t="str">
        <f t="shared" si="12"/>
        <v>Broker</v>
      </c>
    </row>
    <row r="296" spans="11:17">
      <c r="K296" t="s">
        <v>2278</v>
      </c>
      <c r="L296" t="s">
        <v>2309</v>
      </c>
      <c r="M296" s="163">
        <v>45933</v>
      </c>
      <c r="N296">
        <f t="shared" si="11"/>
        <v>2025</v>
      </c>
      <c r="O296" t="s">
        <v>2279</v>
      </c>
      <c r="P296" t="s">
        <v>1252</v>
      </c>
      <c r="Q296" t="str">
        <f t="shared" si="12"/>
        <v>Consultoria</v>
      </c>
    </row>
    <row r="297" spans="11:17">
      <c r="K297" t="s">
        <v>270</v>
      </c>
      <c r="L297" t="s">
        <v>2282</v>
      </c>
      <c r="M297" s="163">
        <v>45933</v>
      </c>
      <c r="N297">
        <f t="shared" si="11"/>
        <v>2025</v>
      </c>
      <c r="O297" t="s">
        <v>2283</v>
      </c>
      <c r="P297" t="s">
        <v>1252</v>
      </c>
      <c r="Q297" t="str">
        <f t="shared" si="12"/>
        <v>Consultoria</v>
      </c>
    </row>
    <row r="298" spans="11:17">
      <c r="K298" t="s">
        <v>1285</v>
      </c>
      <c r="L298" t="s">
        <v>2281</v>
      </c>
      <c r="M298" s="163">
        <v>45933</v>
      </c>
      <c r="N298">
        <f t="shared" si="11"/>
        <v>2025</v>
      </c>
      <c r="O298" t="s">
        <v>2599</v>
      </c>
      <c r="P298" t="s">
        <v>1918</v>
      </c>
      <c r="Q298" t="s">
        <v>1918</v>
      </c>
    </row>
    <row r="299" spans="11:17" hidden="1">
      <c r="K299" t="s">
        <v>1045</v>
      </c>
      <c r="L299" t="s">
        <v>2263</v>
      </c>
      <c r="M299" s="163">
        <v>45933</v>
      </c>
      <c r="N299">
        <f t="shared" si="11"/>
        <v>2025</v>
      </c>
      <c r="O299" t="s">
        <v>2312</v>
      </c>
      <c r="P299" t="s">
        <v>1261</v>
      </c>
      <c r="Q299" t="str">
        <f t="shared" si="12"/>
        <v>Consultoria</v>
      </c>
    </row>
    <row r="300" spans="11:17" hidden="1">
      <c r="K300" t="s">
        <v>1045</v>
      </c>
      <c r="L300" t="s">
        <v>2264</v>
      </c>
      <c r="M300" s="163">
        <v>45933</v>
      </c>
      <c r="N300">
        <f t="shared" si="11"/>
        <v>2025</v>
      </c>
      <c r="O300" t="s">
        <v>76</v>
      </c>
      <c r="P300" t="s">
        <v>76</v>
      </c>
      <c r="Q300" t="str">
        <f t="shared" si="12"/>
        <v>Consultoria</v>
      </c>
    </row>
    <row r="301" spans="11:17">
      <c r="K301" t="s">
        <v>1045</v>
      </c>
      <c r="L301" t="s">
        <v>2265</v>
      </c>
      <c r="M301" s="163">
        <v>45933</v>
      </c>
      <c r="N301">
        <f t="shared" si="11"/>
        <v>2025</v>
      </c>
      <c r="O301" t="s">
        <v>2285</v>
      </c>
      <c r="P301" t="s">
        <v>1252</v>
      </c>
      <c r="Q301" t="str">
        <f t="shared" si="12"/>
        <v>Consultoria</v>
      </c>
    </row>
    <row r="302" spans="11:17" hidden="1">
      <c r="K302" t="s">
        <v>2289</v>
      </c>
      <c r="L302" t="s">
        <v>2287</v>
      </c>
      <c r="M302" s="163">
        <v>45933</v>
      </c>
      <c r="N302">
        <f t="shared" si="11"/>
        <v>2025</v>
      </c>
      <c r="O302" t="s">
        <v>2288</v>
      </c>
      <c r="P302" t="s">
        <v>130</v>
      </c>
      <c r="Q302" t="str">
        <f t="shared" si="12"/>
        <v>Escritório Adv.</v>
      </c>
    </row>
    <row r="303" spans="11:17" hidden="1">
      <c r="K303" t="s">
        <v>304</v>
      </c>
      <c r="L303" t="s">
        <v>2304</v>
      </c>
      <c r="M303" s="163">
        <v>45933</v>
      </c>
      <c r="N303">
        <f t="shared" si="11"/>
        <v>2025</v>
      </c>
      <c r="O303" t="s">
        <v>1050</v>
      </c>
      <c r="P303" t="s">
        <v>226</v>
      </c>
      <c r="Q303" t="str">
        <f t="shared" si="12"/>
        <v>Broker</v>
      </c>
    </row>
    <row r="304" spans="11:17" hidden="1">
      <c r="K304" t="s">
        <v>2291</v>
      </c>
      <c r="L304" t="s">
        <v>2292</v>
      </c>
      <c r="M304" s="163">
        <v>45933</v>
      </c>
      <c r="N304">
        <f t="shared" si="11"/>
        <v>2025</v>
      </c>
      <c r="O304" t="s">
        <v>2288</v>
      </c>
      <c r="P304" t="s">
        <v>130</v>
      </c>
      <c r="Q304" t="str">
        <f t="shared" si="12"/>
        <v>Escritório Adv.</v>
      </c>
    </row>
    <row r="305" spans="11:17" hidden="1">
      <c r="K305" t="s">
        <v>2291</v>
      </c>
      <c r="L305" t="s">
        <v>2294</v>
      </c>
      <c r="M305" s="163">
        <v>45933</v>
      </c>
      <c r="N305">
        <f t="shared" si="11"/>
        <v>2025</v>
      </c>
      <c r="O305" t="s">
        <v>2295</v>
      </c>
      <c r="P305" t="s">
        <v>226</v>
      </c>
      <c r="Q305" t="str">
        <f t="shared" si="12"/>
        <v>Broker</v>
      </c>
    </row>
    <row r="306" spans="11:17" hidden="1">
      <c r="K306" t="s">
        <v>1045</v>
      </c>
      <c r="L306" t="s">
        <v>2302</v>
      </c>
      <c r="M306" s="163">
        <v>45933</v>
      </c>
      <c r="N306">
        <f t="shared" si="11"/>
        <v>2025</v>
      </c>
      <c r="O306" t="s">
        <v>408</v>
      </c>
      <c r="P306" t="s">
        <v>226</v>
      </c>
      <c r="Q306" t="str">
        <f t="shared" si="12"/>
        <v>Broker</v>
      </c>
    </row>
    <row r="307" spans="11:17">
      <c r="K307" t="s">
        <v>1045</v>
      </c>
      <c r="L307" t="s">
        <v>2317</v>
      </c>
      <c r="M307" s="163">
        <v>45940</v>
      </c>
      <c r="N307">
        <f t="shared" si="11"/>
        <v>2025</v>
      </c>
      <c r="O307" t="s">
        <v>2318</v>
      </c>
      <c r="P307" t="s">
        <v>1252</v>
      </c>
      <c r="Q307" t="str">
        <f t="shared" si="12"/>
        <v>Consultoria</v>
      </c>
    </row>
    <row r="308" spans="11:17" hidden="1">
      <c r="K308" t="s">
        <v>1045</v>
      </c>
      <c r="L308" t="s">
        <v>2017</v>
      </c>
      <c r="M308" s="163">
        <v>45940</v>
      </c>
      <c r="N308">
        <f t="shared" si="11"/>
        <v>2025</v>
      </c>
      <c r="O308" t="s">
        <v>1234</v>
      </c>
      <c r="P308" t="s">
        <v>2019</v>
      </c>
      <c r="Q308" t="str">
        <f t="shared" si="12"/>
        <v>Empresários / Executivo</v>
      </c>
    </row>
    <row r="309" spans="11:17" hidden="1">
      <c r="K309" t="s">
        <v>329</v>
      </c>
      <c r="L309" t="s">
        <v>2326</v>
      </c>
      <c r="M309" s="163">
        <v>45940</v>
      </c>
      <c r="N309">
        <f t="shared" si="11"/>
        <v>2025</v>
      </c>
      <c r="O309" t="s">
        <v>2117</v>
      </c>
      <c r="P309" t="s">
        <v>1261</v>
      </c>
      <c r="Q309" t="str">
        <f t="shared" si="12"/>
        <v>Consultoria</v>
      </c>
    </row>
    <row r="310" spans="11:17" hidden="1">
      <c r="K310" t="s">
        <v>2329</v>
      </c>
      <c r="L310" t="s">
        <v>2328</v>
      </c>
      <c r="M310" s="163">
        <v>45940</v>
      </c>
      <c r="N310">
        <f t="shared" si="11"/>
        <v>2025</v>
      </c>
      <c r="O310" t="s">
        <v>994</v>
      </c>
      <c r="P310" t="s">
        <v>226</v>
      </c>
      <c r="Q310" t="str">
        <f t="shared" si="12"/>
        <v>Broker</v>
      </c>
    </row>
    <row r="311" spans="11:17" hidden="1">
      <c r="K311" t="s">
        <v>807</v>
      </c>
      <c r="L311" t="s">
        <v>2331</v>
      </c>
      <c r="M311" s="163">
        <v>45940</v>
      </c>
      <c r="N311">
        <f t="shared" si="11"/>
        <v>2025</v>
      </c>
      <c r="O311" t="s">
        <v>994</v>
      </c>
      <c r="P311" t="s">
        <v>226</v>
      </c>
      <c r="Q311" t="str">
        <f t="shared" si="12"/>
        <v>Broker</v>
      </c>
    </row>
    <row r="312" spans="11:17" hidden="1">
      <c r="K312" t="s">
        <v>1045</v>
      </c>
      <c r="L312" t="s">
        <v>2336</v>
      </c>
      <c r="M312" s="163">
        <v>45940</v>
      </c>
      <c r="N312">
        <f t="shared" si="11"/>
        <v>2025</v>
      </c>
      <c r="O312" t="s">
        <v>2337</v>
      </c>
      <c r="P312" t="s">
        <v>1261</v>
      </c>
      <c r="Q312" t="str">
        <f t="shared" si="12"/>
        <v>Consultoria</v>
      </c>
    </row>
    <row r="313" spans="11:17" hidden="1">
      <c r="K313" t="s">
        <v>1045</v>
      </c>
      <c r="L313" t="s">
        <v>2339</v>
      </c>
      <c r="M313" s="163">
        <v>45940</v>
      </c>
      <c r="N313">
        <f t="shared" si="11"/>
        <v>2025</v>
      </c>
      <c r="O313" t="s">
        <v>76</v>
      </c>
      <c r="P313" t="s">
        <v>76</v>
      </c>
      <c r="Q313" t="str">
        <f t="shared" si="12"/>
        <v>Consultoria</v>
      </c>
    </row>
    <row r="314" spans="11:17" hidden="1">
      <c r="K314" t="s">
        <v>1045</v>
      </c>
      <c r="L314" t="s">
        <v>2372</v>
      </c>
      <c r="M314" s="163">
        <v>45947</v>
      </c>
      <c r="N314">
        <f t="shared" si="11"/>
        <v>2025</v>
      </c>
      <c r="O314" t="s">
        <v>76</v>
      </c>
      <c r="P314" t="s">
        <v>76</v>
      </c>
      <c r="Q314" t="str">
        <f t="shared" si="12"/>
        <v>Consultoria</v>
      </c>
    </row>
    <row r="315" spans="11:17" hidden="1">
      <c r="K315" t="s">
        <v>329</v>
      </c>
      <c r="L315" t="s">
        <v>2366</v>
      </c>
      <c r="M315" s="163">
        <v>45947</v>
      </c>
      <c r="N315">
        <f t="shared" si="11"/>
        <v>2025</v>
      </c>
      <c r="O315" t="s">
        <v>2373</v>
      </c>
      <c r="P315" t="s">
        <v>130</v>
      </c>
      <c r="Q315" t="str">
        <f t="shared" si="12"/>
        <v>Escritório Adv.</v>
      </c>
    </row>
    <row r="316" spans="11:17" hidden="1">
      <c r="K316" t="s">
        <v>329</v>
      </c>
      <c r="L316" t="s">
        <v>2369</v>
      </c>
      <c r="M316" s="163">
        <v>45947</v>
      </c>
      <c r="N316">
        <f t="shared" si="11"/>
        <v>2025</v>
      </c>
      <c r="O316" t="s">
        <v>2380</v>
      </c>
      <c r="P316" t="s">
        <v>1261</v>
      </c>
      <c r="Q316" t="str">
        <f t="shared" si="12"/>
        <v>Consultoria</v>
      </c>
    </row>
    <row r="317" spans="11:17" hidden="1">
      <c r="K317" t="s">
        <v>329</v>
      </c>
      <c r="L317" t="s">
        <v>2367</v>
      </c>
      <c r="M317" s="163">
        <v>45943</v>
      </c>
      <c r="N317">
        <f t="shared" si="11"/>
        <v>2025</v>
      </c>
      <c r="O317" t="s">
        <v>1234</v>
      </c>
      <c r="P317" t="s">
        <v>2019</v>
      </c>
      <c r="Q317" t="str">
        <f t="shared" si="12"/>
        <v>Empresários / Executivo</v>
      </c>
    </row>
    <row r="318" spans="11:17" hidden="1">
      <c r="K318" t="s">
        <v>329</v>
      </c>
      <c r="L318" t="s">
        <v>2351</v>
      </c>
      <c r="M318" s="163">
        <v>45943</v>
      </c>
      <c r="N318">
        <f t="shared" si="11"/>
        <v>2025</v>
      </c>
      <c r="O318" t="s">
        <v>76</v>
      </c>
      <c r="P318" t="s">
        <v>76</v>
      </c>
      <c r="Q318" t="str">
        <f t="shared" si="12"/>
        <v>Consultoria</v>
      </c>
    </row>
    <row r="319" spans="11:17" hidden="1">
      <c r="K319" t="s">
        <v>1045</v>
      </c>
      <c r="L319" t="s">
        <v>2383</v>
      </c>
      <c r="M319" s="163">
        <v>45951</v>
      </c>
      <c r="N319">
        <f t="shared" si="11"/>
        <v>2025</v>
      </c>
      <c r="O319" t="s">
        <v>76</v>
      </c>
      <c r="P319" t="s">
        <v>76</v>
      </c>
      <c r="Q319" t="str">
        <f t="shared" si="12"/>
        <v>Consultoria</v>
      </c>
    </row>
    <row r="320" spans="11:17" hidden="1">
      <c r="K320" t="s">
        <v>1045</v>
      </c>
      <c r="L320" t="s">
        <v>2386</v>
      </c>
      <c r="M320" s="163">
        <v>45951</v>
      </c>
      <c r="N320">
        <f t="shared" si="11"/>
        <v>2025</v>
      </c>
      <c r="O320" t="s">
        <v>76</v>
      </c>
      <c r="P320" t="s">
        <v>76</v>
      </c>
      <c r="Q320" t="str">
        <f t="shared" si="12"/>
        <v>Consultoria</v>
      </c>
    </row>
    <row r="321" spans="11:17" hidden="1">
      <c r="K321" t="s">
        <v>1045</v>
      </c>
      <c r="L321" t="s">
        <v>2387</v>
      </c>
      <c r="M321" s="163">
        <v>45951</v>
      </c>
      <c r="N321">
        <f t="shared" si="11"/>
        <v>2025</v>
      </c>
      <c r="O321" t="s">
        <v>1234</v>
      </c>
      <c r="P321" t="s">
        <v>1767</v>
      </c>
      <c r="Q321" t="str">
        <f t="shared" si="12"/>
        <v>Empresários / Executivo</v>
      </c>
    </row>
    <row r="322" spans="11:17" hidden="1">
      <c r="K322" t="s">
        <v>807</v>
      </c>
      <c r="L322" t="s">
        <v>2388</v>
      </c>
      <c r="M322" s="163">
        <v>45951</v>
      </c>
      <c r="N322">
        <f t="shared" si="11"/>
        <v>2025</v>
      </c>
      <c r="O322" t="s">
        <v>1234</v>
      </c>
      <c r="P322" t="s">
        <v>1767</v>
      </c>
      <c r="Q322" t="str">
        <f t="shared" si="12"/>
        <v>Empresários / Executivo</v>
      </c>
    </row>
    <row r="323" spans="11:17" hidden="1">
      <c r="K323" t="s">
        <v>270</v>
      </c>
      <c r="L323" t="s">
        <v>2398</v>
      </c>
      <c r="M323" s="163">
        <v>45951</v>
      </c>
      <c r="N323">
        <f t="shared" ref="N323:N373" si="13">YEAR(M323)</f>
        <v>2025</v>
      </c>
      <c r="O323" t="s">
        <v>2399</v>
      </c>
      <c r="P323" t="s">
        <v>130</v>
      </c>
      <c r="Q323" t="str">
        <f t="shared" ref="Q323:Q373" si="14">+INDEX($AA$3:$AA$19,MATCH(P323,$Z$3:$Z$19,0))</f>
        <v>Escritório Adv.</v>
      </c>
    </row>
    <row r="324" spans="11:17" hidden="1">
      <c r="K324" t="s">
        <v>270</v>
      </c>
      <c r="L324" t="s">
        <v>2400</v>
      </c>
      <c r="M324" s="163">
        <v>45961</v>
      </c>
      <c r="N324">
        <f t="shared" si="13"/>
        <v>2025</v>
      </c>
      <c r="O324" t="s">
        <v>1248</v>
      </c>
      <c r="P324" t="s">
        <v>226</v>
      </c>
      <c r="Q324" t="str">
        <f t="shared" si="14"/>
        <v>Broker</v>
      </c>
    </row>
    <row r="325" spans="11:17" hidden="1">
      <c r="K325" t="s">
        <v>1045</v>
      </c>
      <c r="L325" t="s">
        <v>2403</v>
      </c>
      <c r="M325" s="163">
        <v>45961</v>
      </c>
      <c r="N325">
        <f t="shared" si="13"/>
        <v>2025</v>
      </c>
      <c r="O325" t="s">
        <v>2481</v>
      </c>
      <c r="P325" t="s">
        <v>226</v>
      </c>
      <c r="Q325" t="str">
        <f t="shared" si="14"/>
        <v>Broker</v>
      </c>
    </row>
    <row r="326" spans="11:17" hidden="1">
      <c r="K326" t="s">
        <v>270</v>
      </c>
      <c r="L326" t="s">
        <v>2404</v>
      </c>
      <c r="M326" s="163">
        <v>45961</v>
      </c>
      <c r="N326">
        <f t="shared" si="13"/>
        <v>2025</v>
      </c>
      <c r="O326" t="s">
        <v>1989</v>
      </c>
      <c r="P326" t="s">
        <v>1261</v>
      </c>
      <c r="Q326" t="str">
        <f t="shared" si="14"/>
        <v>Consultoria</v>
      </c>
    </row>
    <row r="327" spans="11:17" hidden="1">
      <c r="K327" t="s">
        <v>1045</v>
      </c>
      <c r="L327" t="s">
        <v>2405</v>
      </c>
      <c r="M327" s="163">
        <v>45961</v>
      </c>
      <c r="N327">
        <f t="shared" si="13"/>
        <v>2025</v>
      </c>
      <c r="O327" t="s">
        <v>76</v>
      </c>
      <c r="P327" t="s">
        <v>76</v>
      </c>
      <c r="Q327" t="str">
        <f t="shared" si="14"/>
        <v>Consultoria</v>
      </c>
    </row>
    <row r="328" spans="11:17" hidden="1">
      <c r="K328" t="s">
        <v>1045</v>
      </c>
      <c r="L328" t="s">
        <v>2407</v>
      </c>
      <c r="M328" s="163">
        <v>45961</v>
      </c>
      <c r="N328">
        <f t="shared" si="13"/>
        <v>2025</v>
      </c>
      <c r="O328" t="s">
        <v>1234</v>
      </c>
      <c r="P328" t="s">
        <v>1767</v>
      </c>
      <c r="Q328" t="str">
        <f t="shared" si="14"/>
        <v>Empresários / Executivo</v>
      </c>
    </row>
    <row r="329" spans="11:17" hidden="1">
      <c r="K329" t="s">
        <v>807</v>
      </c>
      <c r="L329" t="s">
        <v>2412</v>
      </c>
      <c r="M329" s="163">
        <v>45961</v>
      </c>
      <c r="N329">
        <f t="shared" si="13"/>
        <v>2025</v>
      </c>
      <c r="O329" t="s">
        <v>2413</v>
      </c>
      <c r="P329" t="s">
        <v>130</v>
      </c>
      <c r="Q329" t="str">
        <f t="shared" si="14"/>
        <v>Escritório Adv.</v>
      </c>
    </row>
    <row r="330" spans="11:17" hidden="1">
      <c r="K330" t="s">
        <v>270</v>
      </c>
      <c r="L330" t="s">
        <v>2410</v>
      </c>
      <c r="M330" s="163">
        <v>45961</v>
      </c>
      <c r="N330">
        <f t="shared" si="13"/>
        <v>2025</v>
      </c>
      <c r="O330" t="s">
        <v>2411</v>
      </c>
      <c r="P330" t="s">
        <v>226</v>
      </c>
      <c r="Q330" t="str">
        <f t="shared" si="14"/>
        <v>Broker</v>
      </c>
    </row>
    <row r="331" spans="11:17" hidden="1">
      <c r="K331" t="s">
        <v>270</v>
      </c>
      <c r="L331" t="s">
        <v>2414</v>
      </c>
      <c r="M331" s="163">
        <v>45961</v>
      </c>
      <c r="N331">
        <f t="shared" si="13"/>
        <v>2025</v>
      </c>
      <c r="O331" t="s">
        <v>1234</v>
      </c>
      <c r="P331" t="s">
        <v>1767</v>
      </c>
      <c r="Q331" t="str">
        <f t="shared" si="14"/>
        <v>Empresários / Executivo</v>
      </c>
    </row>
    <row r="332" spans="11:17" hidden="1">
      <c r="K332" t="s">
        <v>270</v>
      </c>
      <c r="L332" t="s">
        <v>2420</v>
      </c>
      <c r="M332" s="163">
        <v>45964</v>
      </c>
      <c r="N332">
        <f t="shared" si="13"/>
        <v>2025</v>
      </c>
      <c r="O332" t="s">
        <v>2421</v>
      </c>
      <c r="P332" t="s">
        <v>2422</v>
      </c>
      <c r="Q332" t="str">
        <f t="shared" si="14"/>
        <v>Asset</v>
      </c>
    </row>
    <row r="333" spans="11:17" hidden="1">
      <c r="K333" t="s">
        <v>1045</v>
      </c>
      <c r="L333" t="s">
        <v>2425</v>
      </c>
      <c r="M333" s="163">
        <v>45964</v>
      </c>
      <c r="N333">
        <f t="shared" si="13"/>
        <v>2025</v>
      </c>
      <c r="O333" t="s">
        <v>76</v>
      </c>
      <c r="P333" t="s">
        <v>76</v>
      </c>
      <c r="Q333" t="str">
        <f t="shared" si="14"/>
        <v>Consultoria</v>
      </c>
    </row>
    <row r="334" spans="11:17" hidden="1">
      <c r="K334" t="s">
        <v>270</v>
      </c>
      <c r="L334" t="s">
        <v>2426</v>
      </c>
      <c r="M334" s="163">
        <v>45964</v>
      </c>
      <c r="N334">
        <f t="shared" si="13"/>
        <v>2025</v>
      </c>
      <c r="O334" t="s">
        <v>2427</v>
      </c>
      <c r="P334" t="s">
        <v>2422</v>
      </c>
      <c r="Q334" t="str">
        <f t="shared" si="14"/>
        <v>Asset</v>
      </c>
    </row>
    <row r="335" spans="11:17" hidden="1">
      <c r="K335" t="s">
        <v>807</v>
      </c>
      <c r="L335" t="s">
        <v>2429</v>
      </c>
      <c r="M335" s="163">
        <v>45966</v>
      </c>
      <c r="N335">
        <f t="shared" si="13"/>
        <v>2025</v>
      </c>
      <c r="O335" t="s">
        <v>994</v>
      </c>
      <c r="P335" t="s">
        <v>226</v>
      </c>
      <c r="Q335" t="str">
        <f t="shared" si="14"/>
        <v>Broker</v>
      </c>
    </row>
    <row r="336" spans="11:17" hidden="1">
      <c r="K336" t="s">
        <v>2430</v>
      </c>
      <c r="L336" t="s">
        <v>2431</v>
      </c>
      <c r="M336" s="163">
        <v>45978</v>
      </c>
      <c r="N336">
        <f t="shared" si="13"/>
        <v>2025</v>
      </c>
      <c r="O336" t="s">
        <v>2432</v>
      </c>
      <c r="P336" t="s">
        <v>2422</v>
      </c>
      <c r="Q336" t="str">
        <f t="shared" si="14"/>
        <v>Asset</v>
      </c>
    </row>
    <row r="337" spans="11:17" hidden="1">
      <c r="K337" t="s">
        <v>1045</v>
      </c>
      <c r="L337" t="s">
        <v>2435</v>
      </c>
      <c r="M337" s="163">
        <v>45978</v>
      </c>
      <c r="N337">
        <f t="shared" si="13"/>
        <v>2025</v>
      </c>
      <c r="O337" t="s">
        <v>2434</v>
      </c>
      <c r="P337" t="s">
        <v>1261</v>
      </c>
      <c r="Q337" t="str">
        <f t="shared" si="14"/>
        <v>Consultoria</v>
      </c>
    </row>
    <row r="338" spans="11:17" hidden="1">
      <c r="K338" t="s">
        <v>270</v>
      </c>
      <c r="L338" t="s">
        <v>2438</v>
      </c>
      <c r="M338" s="163">
        <v>45978</v>
      </c>
      <c r="N338">
        <f t="shared" si="13"/>
        <v>2025</v>
      </c>
      <c r="O338" t="s">
        <v>76</v>
      </c>
      <c r="P338" t="s">
        <v>76</v>
      </c>
      <c r="Q338" t="str">
        <f t="shared" si="14"/>
        <v>Consultoria</v>
      </c>
    </row>
    <row r="339" spans="11:17" hidden="1">
      <c r="K339" t="s">
        <v>204</v>
      </c>
      <c r="L339" t="s">
        <v>2439</v>
      </c>
      <c r="M339" s="163">
        <v>45978</v>
      </c>
      <c r="N339">
        <f t="shared" si="13"/>
        <v>2025</v>
      </c>
      <c r="O339" t="s">
        <v>76</v>
      </c>
      <c r="P339" t="s">
        <v>76</v>
      </c>
      <c r="Q339" t="str">
        <f t="shared" si="14"/>
        <v>Consultoria</v>
      </c>
    </row>
    <row r="340" spans="11:17" hidden="1">
      <c r="K340" t="s">
        <v>715</v>
      </c>
      <c r="L340" t="s">
        <v>2441</v>
      </c>
      <c r="M340" s="163">
        <v>45978</v>
      </c>
      <c r="N340">
        <f t="shared" si="13"/>
        <v>2025</v>
      </c>
      <c r="O340" t="s">
        <v>76</v>
      </c>
      <c r="P340" t="s">
        <v>76</v>
      </c>
      <c r="Q340" t="str">
        <f t="shared" si="14"/>
        <v>Consultoria</v>
      </c>
    </row>
    <row r="341" spans="11:17" hidden="1">
      <c r="K341" t="s">
        <v>329</v>
      </c>
      <c r="L341" t="s">
        <v>2469</v>
      </c>
      <c r="M341" s="163">
        <v>45978</v>
      </c>
      <c r="N341">
        <f t="shared" si="13"/>
        <v>2025</v>
      </c>
      <c r="O341" t="s">
        <v>2468</v>
      </c>
      <c r="P341" t="s">
        <v>1261</v>
      </c>
      <c r="Q341" t="str">
        <f t="shared" si="14"/>
        <v>Consultoria</v>
      </c>
    </row>
    <row r="342" spans="11:17" hidden="1">
      <c r="K342" t="s">
        <v>204</v>
      </c>
      <c r="L342" t="s">
        <v>2449</v>
      </c>
      <c r="M342" s="163">
        <v>45978</v>
      </c>
      <c r="N342">
        <f t="shared" si="13"/>
        <v>2025</v>
      </c>
      <c r="O342" t="s">
        <v>76</v>
      </c>
      <c r="P342" t="s">
        <v>76</v>
      </c>
      <c r="Q342" t="str">
        <f t="shared" si="14"/>
        <v>Consultoria</v>
      </c>
    </row>
    <row r="343" spans="11:17" hidden="1">
      <c r="K343" t="s">
        <v>2291</v>
      </c>
      <c r="L343" t="s">
        <v>2453</v>
      </c>
      <c r="M343" s="163">
        <v>45978</v>
      </c>
      <c r="N343">
        <f t="shared" si="13"/>
        <v>2025</v>
      </c>
      <c r="O343" t="s">
        <v>2451</v>
      </c>
      <c r="P343" t="s">
        <v>226</v>
      </c>
      <c r="Q343" t="str">
        <f t="shared" si="14"/>
        <v>Broker</v>
      </c>
    </row>
    <row r="344" spans="11:17" hidden="1">
      <c r="K344" t="s">
        <v>270</v>
      </c>
      <c r="L344" t="s">
        <v>2454</v>
      </c>
      <c r="M344" s="163">
        <v>45978</v>
      </c>
      <c r="N344">
        <f t="shared" si="13"/>
        <v>2025</v>
      </c>
      <c r="O344" t="s">
        <v>2455</v>
      </c>
      <c r="P344" t="s">
        <v>226</v>
      </c>
      <c r="Q344" t="str">
        <f t="shared" si="14"/>
        <v>Broker</v>
      </c>
    </row>
    <row r="345" spans="11:17" hidden="1">
      <c r="K345" t="s">
        <v>304</v>
      </c>
      <c r="L345" t="s">
        <v>2456</v>
      </c>
      <c r="M345" s="163">
        <v>45978</v>
      </c>
      <c r="N345">
        <f t="shared" si="13"/>
        <v>2025</v>
      </c>
      <c r="O345" t="s">
        <v>1234</v>
      </c>
      <c r="P345" t="s">
        <v>802</v>
      </c>
      <c r="Q345" t="str">
        <f t="shared" si="14"/>
        <v>Empresários / Executivo</v>
      </c>
    </row>
    <row r="346" spans="11:17" hidden="1">
      <c r="K346" t="s">
        <v>198</v>
      </c>
      <c r="L346" t="s">
        <v>2457</v>
      </c>
      <c r="M346" s="163">
        <v>45978</v>
      </c>
      <c r="N346">
        <f t="shared" si="13"/>
        <v>2025</v>
      </c>
      <c r="O346" t="s">
        <v>1234</v>
      </c>
      <c r="P346" t="s">
        <v>802</v>
      </c>
      <c r="Q346" t="str">
        <f t="shared" si="14"/>
        <v>Empresários / Executivo</v>
      </c>
    </row>
    <row r="347" spans="11:17">
      <c r="K347" t="s">
        <v>1045</v>
      </c>
      <c r="L347" t="s">
        <v>2458</v>
      </c>
      <c r="M347" s="163">
        <v>45980</v>
      </c>
      <c r="N347">
        <f t="shared" si="13"/>
        <v>2025</v>
      </c>
      <c r="O347" t="s">
        <v>2459</v>
      </c>
      <c r="P347" t="s">
        <v>1252</v>
      </c>
      <c r="Q347" t="str">
        <f t="shared" si="14"/>
        <v>Consultoria</v>
      </c>
    </row>
    <row r="348" spans="11:17" hidden="1">
      <c r="K348" t="s">
        <v>1212</v>
      </c>
      <c r="L348" t="s">
        <v>2462</v>
      </c>
      <c r="M348" s="163">
        <v>45980</v>
      </c>
      <c r="N348">
        <f t="shared" si="13"/>
        <v>2025</v>
      </c>
      <c r="O348" t="s">
        <v>2451</v>
      </c>
      <c r="P348" t="s">
        <v>226</v>
      </c>
      <c r="Q348" t="str">
        <f t="shared" si="14"/>
        <v>Broker</v>
      </c>
    </row>
    <row r="349" spans="11:17">
      <c r="K349" t="s">
        <v>1045</v>
      </c>
      <c r="L349" t="s">
        <v>2465</v>
      </c>
      <c r="M349" s="163">
        <v>45980</v>
      </c>
      <c r="N349">
        <f t="shared" si="13"/>
        <v>2025</v>
      </c>
      <c r="O349" t="s">
        <v>2466</v>
      </c>
      <c r="P349" t="s">
        <v>1252</v>
      </c>
      <c r="Q349" t="str">
        <f t="shared" si="14"/>
        <v>Consultoria</v>
      </c>
    </row>
    <row r="350" spans="11:17" hidden="1">
      <c r="K350" t="s">
        <v>304</v>
      </c>
      <c r="L350" t="s">
        <v>2471</v>
      </c>
      <c r="M350" s="163">
        <v>45980</v>
      </c>
      <c r="N350">
        <f t="shared" si="13"/>
        <v>2025</v>
      </c>
      <c r="O350" t="s">
        <v>2117</v>
      </c>
      <c r="P350" t="s">
        <v>1261</v>
      </c>
      <c r="Q350" t="str">
        <f t="shared" si="14"/>
        <v>Consultoria</v>
      </c>
    </row>
    <row r="351" spans="11:17">
      <c r="K351" t="s">
        <v>2473</v>
      </c>
      <c r="L351" t="s">
        <v>2474</v>
      </c>
      <c r="M351" s="163">
        <v>45986</v>
      </c>
      <c r="N351">
        <f t="shared" si="13"/>
        <v>2025</v>
      </c>
      <c r="O351" t="s">
        <v>2475</v>
      </c>
      <c r="P351" t="s">
        <v>1252</v>
      </c>
      <c r="Q351" t="str">
        <f t="shared" si="14"/>
        <v>Consultoria</v>
      </c>
    </row>
    <row r="352" spans="11:17" hidden="1">
      <c r="K352" t="s">
        <v>329</v>
      </c>
      <c r="L352" t="s">
        <v>2477</v>
      </c>
      <c r="M352" s="163">
        <v>45986</v>
      </c>
      <c r="N352">
        <f t="shared" si="13"/>
        <v>2025</v>
      </c>
      <c r="O352" t="s">
        <v>2478</v>
      </c>
      <c r="P352" t="s">
        <v>802</v>
      </c>
      <c r="Q352" t="str">
        <f t="shared" si="14"/>
        <v>Empresários / Executivo</v>
      </c>
    </row>
    <row r="353" spans="11:17" hidden="1">
      <c r="K353" t="s">
        <v>304</v>
      </c>
      <c r="L353" t="s">
        <v>2487</v>
      </c>
      <c r="M353" s="163">
        <v>45986</v>
      </c>
      <c r="N353">
        <f t="shared" si="13"/>
        <v>2025</v>
      </c>
      <c r="O353" t="s">
        <v>2488</v>
      </c>
      <c r="P353" t="s">
        <v>130</v>
      </c>
      <c r="Q353" t="str">
        <f t="shared" si="14"/>
        <v>Escritório Adv.</v>
      </c>
    </row>
    <row r="354" spans="11:17" hidden="1">
      <c r="K354" t="s">
        <v>329</v>
      </c>
      <c r="L354" t="s">
        <v>1217</v>
      </c>
      <c r="M354" s="163">
        <v>45986</v>
      </c>
      <c r="N354">
        <f t="shared" si="13"/>
        <v>2025</v>
      </c>
      <c r="O354" t="s">
        <v>1168</v>
      </c>
      <c r="P354" t="s">
        <v>130</v>
      </c>
      <c r="Q354" t="str">
        <f t="shared" si="14"/>
        <v>Escritório Adv.</v>
      </c>
    </row>
    <row r="355" spans="11:17" hidden="1">
      <c r="K355" t="s">
        <v>807</v>
      </c>
      <c r="L355" t="s">
        <v>2495</v>
      </c>
      <c r="M355" s="163">
        <v>45987</v>
      </c>
      <c r="N355">
        <f t="shared" si="13"/>
        <v>2025</v>
      </c>
      <c r="O355" t="s">
        <v>994</v>
      </c>
      <c r="P355" t="s">
        <v>226</v>
      </c>
      <c r="Q355" t="str">
        <f t="shared" si="14"/>
        <v>Broker</v>
      </c>
    </row>
    <row r="356" spans="11:17" hidden="1">
      <c r="K356" t="s">
        <v>2473</v>
      </c>
      <c r="L356" t="s">
        <v>2499</v>
      </c>
      <c r="M356" s="163">
        <v>45994</v>
      </c>
      <c r="N356">
        <f t="shared" si="13"/>
        <v>2025</v>
      </c>
      <c r="O356" t="s">
        <v>2500</v>
      </c>
      <c r="P356" t="s">
        <v>130</v>
      </c>
      <c r="Q356" t="str">
        <f t="shared" si="14"/>
        <v>Escritório Adv.</v>
      </c>
    </row>
    <row r="357" spans="11:17">
      <c r="K357" t="s">
        <v>1285</v>
      </c>
      <c r="L357" t="s">
        <v>1286</v>
      </c>
      <c r="M357" s="163">
        <v>45994</v>
      </c>
      <c r="N357">
        <f t="shared" si="13"/>
        <v>2025</v>
      </c>
      <c r="O357" t="s">
        <v>2599</v>
      </c>
      <c r="P357" t="s">
        <v>1918</v>
      </c>
      <c r="Q357" t="s">
        <v>1918</v>
      </c>
    </row>
    <row r="358" spans="11:17" hidden="1">
      <c r="K358" t="s">
        <v>270</v>
      </c>
      <c r="L358" t="s">
        <v>2502</v>
      </c>
      <c r="M358" s="163">
        <v>45996</v>
      </c>
      <c r="N358">
        <f t="shared" si="13"/>
        <v>2025</v>
      </c>
      <c r="O358" t="s">
        <v>2503</v>
      </c>
      <c r="P358" t="s">
        <v>130</v>
      </c>
      <c r="Q358" t="str">
        <f t="shared" si="14"/>
        <v>Escritório Adv.</v>
      </c>
    </row>
    <row r="359" spans="11:17" hidden="1">
      <c r="K359" t="s">
        <v>270</v>
      </c>
      <c r="L359" t="s">
        <v>2504</v>
      </c>
      <c r="M359" s="163">
        <v>45996</v>
      </c>
      <c r="N359">
        <f t="shared" si="13"/>
        <v>2025</v>
      </c>
      <c r="P359" t="s">
        <v>226</v>
      </c>
      <c r="Q359" t="str">
        <f t="shared" si="14"/>
        <v>Broker</v>
      </c>
    </row>
    <row r="360" spans="11:17" hidden="1">
      <c r="K360" t="s">
        <v>204</v>
      </c>
      <c r="L360" t="s">
        <v>2505</v>
      </c>
      <c r="M360" s="163">
        <v>45996</v>
      </c>
      <c r="N360">
        <f t="shared" si="13"/>
        <v>2025</v>
      </c>
      <c r="O360" t="s">
        <v>200</v>
      </c>
      <c r="P360" t="s">
        <v>130</v>
      </c>
      <c r="Q360" t="str">
        <f t="shared" si="14"/>
        <v>Escritório Adv.</v>
      </c>
    </row>
    <row r="361" spans="11:17" hidden="1">
      <c r="K361" t="s">
        <v>204</v>
      </c>
      <c r="L361" t="s">
        <v>2506</v>
      </c>
      <c r="M361" s="163">
        <v>45996</v>
      </c>
      <c r="N361">
        <f t="shared" si="13"/>
        <v>2025</v>
      </c>
      <c r="O361" t="s">
        <v>2507</v>
      </c>
      <c r="P361" t="s">
        <v>1261</v>
      </c>
      <c r="Q361" t="str">
        <f t="shared" si="14"/>
        <v>Consultoria</v>
      </c>
    </row>
    <row r="362" spans="11:17" hidden="1">
      <c r="K362" t="s">
        <v>1045</v>
      </c>
      <c r="L362" t="s">
        <v>2508</v>
      </c>
      <c r="M362" s="163">
        <v>45996</v>
      </c>
      <c r="N362">
        <f t="shared" si="13"/>
        <v>2025</v>
      </c>
      <c r="O362" t="s">
        <v>2459</v>
      </c>
      <c r="P362" t="s">
        <v>1261</v>
      </c>
      <c r="Q362" t="str">
        <f t="shared" si="14"/>
        <v>Consultoria</v>
      </c>
    </row>
    <row r="363" spans="11:17" hidden="1">
      <c r="K363" t="s">
        <v>204</v>
      </c>
      <c r="L363" t="s">
        <v>2509</v>
      </c>
      <c r="M363" s="163">
        <v>45996</v>
      </c>
      <c r="N363">
        <f t="shared" si="13"/>
        <v>2025</v>
      </c>
      <c r="O363" t="s">
        <v>2510</v>
      </c>
      <c r="P363" t="s">
        <v>2510</v>
      </c>
      <c r="Q363" t="str">
        <f t="shared" si="14"/>
        <v>Banco</v>
      </c>
    </row>
    <row r="364" spans="11:17" hidden="1">
      <c r="K364" t="s">
        <v>1045</v>
      </c>
      <c r="L364" t="s">
        <v>2515</v>
      </c>
      <c r="M364" s="163">
        <v>45999</v>
      </c>
      <c r="N364">
        <f t="shared" si="13"/>
        <v>2025</v>
      </c>
      <c r="O364" t="s">
        <v>1615</v>
      </c>
      <c r="P364" t="s">
        <v>872</v>
      </c>
      <c r="Q364" t="str">
        <f t="shared" si="14"/>
        <v>Asset</v>
      </c>
    </row>
    <row r="365" spans="11:17" hidden="1">
      <c r="K365" t="s">
        <v>304</v>
      </c>
      <c r="L365" t="s">
        <v>1424</v>
      </c>
      <c r="M365" s="163">
        <v>45999</v>
      </c>
      <c r="N365">
        <f t="shared" si="13"/>
        <v>2025</v>
      </c>
      <c r="O365" t="s">
        <v>1050</v>
      </c>
      <c r="P365" t="s">
        <v>226</v>
      </c>
      <c r="Q365" t="str">
        <f t="shared" si="14"/>
        <v>Broker</v>
      </c>
    </row>
    <row r="366" spans="11:17" hidden="1">
      <c r="K366" t="s">
        <v>807</v>
      </c>
      <c r="L366" t="s">
        <v>2520</v>
      </c>
      <c r="M366" s="163">
        <v>45999</v>
      </c>
      <c r="N366">
        <f t="shared" si="13"/>
        <v>2025</v>
      </c>
      <c r="O366" t="s">
        <v>994</v>
      </c>
      <c r="P366" t="s">
        <v>226</v>
      </c>
      <c r="Q366" t="str">
        <f t="shared" si="14"/>
        <v>Broker</v>
      </c>
    </row>
    <row r="367" spans="11:17" hidden="1">
      <c r="K367" t="s">
        <v>807</v>
      </c>
      <c r="L367" t="s">
        <v>2521</v>
      </c>
      <c r="M367" s="163">
        <v>45999</v>
      </c>
      <c r="N367">
        <f t="shared" si="13"/>
        <v>2025</v>
      </c>
      <c r="O367" t="s">
        <v>130</v>
      </c>
      <c r="P367" t="s">
        <v>130</v>
      </c>
      <c r="Q367" t="str">
        <f t="shared" si="14"/>
        <v>Escritório Adv.</v>
      </c>
    </row>
    <row r="368" spans="11:17" hidden="1">
      <c r="K368" t="s">
        <v>320</v>
      </c>
      <c r="L368" t="s">
        <v>2569</v>
      </c>
      <c r="M368" s="163">
        <v>46021</v>
      </c>
      <c r="N368">
        <f t="shared" si="13"/>
        <v>2025</v>
      </c>
      <c r="O368" t="s">
        <v>1234</v>
      </c>
      <c r="P368" t="s">
        <v>2019</v>
      </c>
      <c r="Q368" t="str">
        <f t="shared" si="14"/>
        <v>Empresários / Executivo</v>
      </c>
    </row>
    <row r="369" spans="11:17" hidden="1">
      <c r="K369" t="s">
        <v>270</v>
      </c>
      <c r="L369" t="s">
        <v>2570</v>
      </c>
      <c r="M369" s="163">
        <v>46021</v>
      </c>
      <c r="N369">
        <f t="shared" si="13"/>
        <v>2025</v>
      </c>
      <c r="O369" t="s">
        <v>1237</v>
      </c>
      <c r="P369" t="s">
        <v>130</v>
      </c>
      <c r="Q369" t="str">
        <f t="shared" si="14"/>
        <v>Escritório Adv.</v>
      </c>
    </row>
    <row r="370" spans="11:17" hidden="1">
      <c r="K370" t="s">
        <v>1045</v>
      </c>
      <c r="L370" t="s">
        <v>2572</v>
      </c>
      <c r="M370" s="163">
        <v>46021</v>
      </c>
      <c r="N370">
        <f t="shared" si="13"/>
        <v>2025</v>
      </c>
      <c r="O370" t="s">
        <v>2573</v>
      </c>
      <c r="P370" t="s">
        <v>1261</v>
      </c>
      <c r="Q370" t="str">
        <f t="shared" si="14"/>
        <v>Consultoria</v>
      </c>
    </row>
    <row r="371" spans="11:17" hidden="1">
      <c r="K371" t="s">
        <v>1045</v>
      </c>
      <c r="L371" t="s">
        <v>2575</v>
      </c>
      <c r="M371" s="163">
        <v>46021</v>
      </c>
      <c r="N371">
        <f t="shared" si="13"/>
        <v>2025</v>
      </c>
      <c r="O371" t="s">
        <v>2573</v>
      </c>
      <c r="P371" t="s">
        <v>1261</v>
      </c>
      <c r="Q371" t="str">
        <f t="shared" si="14"/>
        <v>Consultoria</v>
      </c>
    </row>
    <row r="372" spans="11:17" hidden="1">
      <c r="K372" t="s">
        <v>270</v>
      </c>
      <c r="L372" t="s">
        <v>2576</v>
      </c>
      <c r="M372" s="163">
        <v>46021</v>
      </c>
      <c r="N372">
        <f t="shared" si="13"/>
        <v>2025</v>
      </c>
      <c r="O372" t="s">
        <v>2577</v>
      </c>
      <c r="P372" t="s">
        <v>130</v>
      </c>
      <c r="Q372" t="str">
        <f t="shared" si="14"/>
        <v>Escritório Adv.</v>
      </c>
    </row>
    <row r="373" spans="11:17" hidden="1">
      <c r="K373" t="s">
        <v>86</v>
      </c>
      <c r="L373" t="s">
        <v>2582</v>
      </c>
      <c r="M373" s="163">
        <v>46021</v>
      </c>
      <c r="N373">
        <f t="shared" si="13"/>
        <v>2025</v>
      </c>
      <c r="O373" t="s">
        <v>2579</v>
      </c>
      <c r="P373" t="s">
        <v>226</v>
      </c>
      <c r="Q373" t="str">
        <f t="shared" si="14"/>
        <v>Broker</v>
      </c>
    </row>
    <row r="374" spans="11:17" hidden="1">
      <c r="K374" t="s">
        <v>807</v>
      </c>
      <c r="L374" t="s">
        <v>2581</v>
      </c>
      <c r="M374" s="163">
        <v>46021</v>
      </c>
      <c r="N374">
        <f>YEAR(M374)</f>
        <v>2025</v>
      </c>
      <c r="O374" t="s">
        <v>2579</v>
      </c>
      <c r="P374" t="s">
        <v>226</v>
      </c>
      <c r="Q374" t="str">
        <f>+INDEX($AA$3:$AA$19,MATCH(P374,$Z$3:$Z$19,0))</f>
        <v>Broker</v>
      </c>
    </row>
  </sheetData>
  <autoFilter ref="K2:Q374" xr:uid="{1BF17384-A538-4C4E-9077-2BDBA0505248}">
    <filterColumn colId="5">
      <filters>
        <filter val="Boutique"/>
        <filter val="Outros"/>
      </filters>
    </filterColumn>
  </autoFilter>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0A92F-F7AB-4B69-9913-CA900F8DA5AD}">
  <sheetPr codeName="Sheet14"/>
  <dimension ref="C2:D18"/>
  <sheetViews>
    <sheetView showGridLines="0" workbookViewId="0">
      <selection activeCell="C15" sqref="C15"/>
    </sheetView>
  </sheetViews>
  <sheetFormatPr defaultRowHeight="14.4"/>
  <cols>
    <col min="1" max="2" width="1.6640625" customWidth="1"/>
    <col min="3" max="3" width="25.6640625" bestFit="1" customWidth="1"/>
    <col min="4" max="4" width="16.6640625" customWidth="1"/>
  </cols>
  <sheetData>
    <row r="2" spans="3:4">
      <c r="C2" s="205" t="s">
        <v>2305</v>
      </c>
      <c r="D2" s="13" t="s">
        <v>16</v>
      </c>
    </row>
    <row r="3" spans="3:4">
      <c r="C3" t="s">
        <v>973</v>
      </c>
    </row>
    <row r="4" spans="3:4">
      <c r="C4" t="s">
        <v>2018</v>
      </c>
    </row>
    <row r="5" spans="3:4">
      <c r="C5" t="s">
        <v>2076</v>
      </c>
      <c r="D5" t="s">
        <v>2307</v>
      </c>
    </row>
    <row r="6" spans="3:4">
      <c r="C6" t="s">
        <v>2102</v>
      </c>
      <c r="D6" t="s">
        <v>2307</v>
      </c>
    </row>
    <row r="7" spans="3:4">
      <c r="C7" t="s">
        <v>2158</v>
      </c>
    </row>
    <row r="8" spans="3:4">
      <c r="C8" t="s">
        <v>2249</v>
      </c>
      <c r="D8" t="s">
        <v>2307</v>
      </c>
    </row>
    <row r="9" spans="3:4">
      <c r="C9" t="s">
        <v>2306</v>
      </c>
      <c r="D9" t="s">
        <v>2308</v>
      </c>
    </row>
    <row r="10" spans="3:4">
      <c r="C10" t="s">
        <v>2213</v>
      </c>
      <c r="D10" t="s">
        <v>2307</v>
      </c>
    </row>
    <row r="11" spans="3:4">
      <c r="C11" t="s">
        <v>2216</v>
      </c>
    </row>
    <row r="12" spans="3:4">
      <c r="C12" t="s">
        <v>2309</v>
      </c>
      <c r="D12" t="s">
        <v>2310</v>
      </c>
    </row>
    <row r="13" spans="3:4">
      <c r="C13" t="s">
        <v>2281</v>
      </c>
      <c r="D13" t="s">
        <v>2311</v>
      </c>
    </row>
    <row r="14" spans="3:4">
      <c r="C14" t="s">
        <v>2263</v>
      </c>
      <c r="D14" t="s">
        <v>2314</v>
      </c>
    </row>
    <row r="15" spans="3:4">
      <c r="C15" t="s">
        <v>2264</v>
      </c>
    </row>
    <row r="16" spans="3:4">
      <c r="C16" t="s">
        <v>2265</v>
      </c>
    </row>
    <row r="17" spans="3:3">
      <c r="C17" t="s">
        <v>923</v>
      </c>
    </row>
    <row r="18" spans="3:3">
      <c r="C18" t="s">
        <v>2315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17B6C-1350-4CFC-9004-2363154A167F}">
  <sheetPr codeName="Sheet15"/>
  <dimension ref="C2:J105"/>
  <sheetViews>
    <sheetView showGridLines="0" zoomScale="85" zoomScaleNormal="85" workbookViewId="0">
      <selection activeCell="M19" sqref="M19"/>
    </sheetView>
  </sheetViews>
  <sheetFormatPr defaultRowHeight="14.4"/>
  <cols>
    <col min="1" max="2" width="1.6640625" customWidth="1"/>
    <col min="3" max="3" width="3.33203125" customWidth="1"/>
    <col min="4" max="4" width="45.5546875" bestFit="1" customWidth="1"/>
    <col min="5" max="5" width="22.109375" bestFit="1" customWidth="1"/>
    <col min="6" max="6" width="32.6640625" customWidth="1"/>
    <col min="7" max="7" width="55.6640625" customWidth="1"/>
    <col min="9" max="9" width="24.5546875" bestFit="1" customWidth="1"/>
    <col min="13" max="13" width="34.6640625" bestFit="1" customWidth="1"/>
    <col min="14" max="14" width="7.33203125" bestFit="1" customWidth="1"/>
    <col min="15" max="15" width="10.44140625" bestFit="1" customWidth="1"/>
    <col min="16" max="16" width="72.88671875" bestFit="1" customWidth="1"/>
  </cols>
  <sheetData>
    <row r="2" spans="3:10">
      <c r="D2" s="20" t="s">
        <v>2560</v>
      </c>
    </row>
    <row r="3" spans="3:10">
      <c r="C3" s="209" t="s">
        <v>7</v>
      </c>
      <c r="D3" s="156" t="s">
        <v>1658</v>
      </c>
      <c r="E3" s="138" t="s">
        <v>1659</v>
      </c>
      <c r="F3" s="138" t="s">
        <v>1660</v>
      </c>
      <c r="G3" s="138" t="s">
        <v>1661</v>
      </c>
      <c r="I3" s="191" t="s">
        <v>1657</v>
      </c>
      <c r="J3" s="24">
        <v>24</v>
      </c>
    </row>
    <row r="4" spans="3:10">
      <c r="C4" s="26">
        <v>1</v>
      </c>
      <c r="D4" s="26" t="s">
        <v>2264</v>
      </c>
      <c r="E4" s="25" t="s">
        <v>1045</v>
      </c>
      <c r="F4" s="25" t="s">
        <v>2259</v>
      </c>
      <c r="G4" s="201" t="s">
        <v>2533</v>
      </c>
      <c r="I4" t="s">
        <v>1664</v>
      </c>
      <c r="J4" s="24">
        <v>15</v>
      </c>
    </row>
    <row r="5" spans="3:10">
      <c r="C5" s="211">
        <f>+C4+1</f>
        <v>2</v>
      </c>
      <c r="D5" s="211" t="s">
        <v>923</v>
      </c>
      <c r="E5" s="212" t="s">
        <v>1045</v>
      </c>
      <c r="F5" s="212" t="s">
        <v>2256</v>
      </c>
      <c r="G5" s="199" t="s">
        <v>2546</v>
      </c>
      <c r="I5" s="26" t="s">
        <v>1667</v>
      </c>
      <c r="J5" s="24">
        <v>27</v>
      </c>
    </row>
    <row r="6" spans="3:10">
      <c r="C6" s="26">
        <f t="shared" ref="C6:C50" si="0">+C5+1</f>
        <v>3</v>
      </c>
      <c r="D6" s="26" t="s">
        <v>2509</v>
      </c>
      <c r="E6" s="25" t="s">
        <v>204</v>
      </c>
      <c r="F6" s="25" t="s">
        <v>1193</v>
      </c>
      <c r="G6" s="199" t="s">
        <v>2545</v>
      </c>
      <c r="I6" t="s">
        <v>1982</v>
      </c>
      <c r="J6" s="24">
        <v>38</v>
      </c>
    </row>
    <row r="7" spans="3:10">
      <c r="C7" s="211">
        <f t="shared" si="0"/>
        <v>4</v>
      </c>
      <c r="D7" s="211" t="s">
        <v>2515</v>
      </c>
      <c r="E7" s="212" t="s">
        <v>1045</v>
      </c>
      <c r="F7" s="212" t="s">
        <v>1710</v>
      </c>
      <c r="G7" s="199" t="s">
        <v>2</v>
      </c>
      <c r="I7" s="179" t="s">
        <v>1983</v>
      </c>
      <c r="J7" s="180">
        <f>+J3-J4-J5+J6</f>
        <v>20</v>
      </c>
    </row>
    <row r="8" spans="3:10">
      <c r="C8" s="26">
        <f t="shared" si="0"/>
        <v>5</v>
      </c>
      <c r="D8" s="26" t="s">
        <v>1616</v>
      </c>
      <c r="E8" s="25" t="s">
        <v>329</v>
      </c>
      <c r="F8" s="25" t="s">
        <v>1763</v>
      </c>
      <c r="G8" s="199" t="s">
        <v>2548</v>
      </c>
    </row>
    <row r="9" spans="3:10">
      <c r="C9" s="211">
        <f t="shared" si="0"/>
        <v>6</v>
      </c>
      <c r="D9" s="211" t="s">
        <v>2506</v>
      </c>
      <c r="E9" s="212" t="s">
        <v>204</v>
      </c>
      <c r="F9" s="212" t="s">
        <v>1913</v>
      </c>
      <c r="G9" s="199" t="s">
        <v>2549</v>
      </c>
    </row>
    <row r="10" spans="3:10">
      <c r="C10" s="26">
        <f t="shared" si="0"/>
        <v>7</v>
      </c>
      <c r="D10" s="26" t="s">
        <v>2501</v>
      </c>
      <c r="E10" s="25" t="s">
        <v>1045</v>
      </c>
      <c r="F10" s="25" t="s">
        <v>1710</v>
      </c>
      <c r="G10" s="199" t="s">
        <v>2565</v>
      </c>
    </row>
    <row r="11" spans="3:10">
      <c r="C11" s="211">
        <f t="shared" si="0"/>
        <v>8</v>
      </c>
      <c r="D11" s="211" t="s">
        <v>2499</v>
      </c>
      <c r="E11" s="212" t="s">
        <v>1045</v>
      </c>
      <c r="F11" s="212" t="s">
        <v>1709</v>
      </c>
      <c r="G11" s="199" t="s">
        <v>2566</v>
      </c>
    </row>
    <row r="12" spans="3:10">
      <c r="C12" s="26">
        <f t="shared" si="0"/>
        <v>9</v>
      </c>
      <c r="D12" s="26" t="s">
        <v>2273</v>
      </c>
      <c r="E12" s="25" t="s">
        <v>1045</v>
      </c>
      <c r="F12" s="25" t="s">
        <v>1290</v>
      </c>
      <c r="G12" s="199" t="s">
        <v>2347</v>
      </c>
    </row>
    <row r="13" spans="3:10" ht="28.8">
      <c r="C13" s="211">
        <f t="shared" si="0"/>
        <v>10</v>
      </c>
      <c r="D13" s="211" t="s">
        <v>2439</v>
      </c>
      <c r="E13" s="212" t="s">
        <v>204</v>
      </c>
      <c r="F13" s="212" t="s">
        <v>1290</v>
      </c>
      <c r="G13" s="199" t="s">
        <v>2544</v>
      </c>
    </row>
    <row r="14" spans="3:10">
      <c r="C14" s="26">
        <f t="shared" si="0"/>
        <v>11</v>
      </c>
      <c r="D14" s="26" t="s">
        <v>2449</v>
      </c>
      <c r="E14" s="25" t="s">
        <v>204</v>
      </c>
      <c r="F14" s="25" t="s">
        <v>2259</v>
      </c>
      <c r="G14" s="210" t="s">
        <v>2550</v>
      </c>
    </row>
    <row r="15" spans="3:10">
      <c r="C15" s="211">
        <f t="shared" si="0"/>
        <v>12</v>
      </c>
      <c r="D15" s="211" t="s">
        <v>1286</v>
      </c>
      <c r="E15" s="212" t="s">
        <v>1285</v>
      </c>
      <c r="F15" s="212" t="s">
        <v>1725</v>
      </c>
      <c r="G15" s="199" t="s">
        <v>2567</v>
      </c>
    </row>
    <row r="16" spans="3:10">
      <c r="C16" s="26">
        <f t="shared" si="0"/>
        <v>13</v>
      </c>
      <c r="D16" s="26" t="s">
        <v>2477</v>
      </c>
      <c r="E16" s="25" t="s">
        <v>329</v>
      </c>
      <c r="F16" s="25" t="s">
        <v>2543</v>
      </c>
      <c r="G16" s="199" t="s">
        <v>1884</v>
      </c>
    </row>
    <row r="17" spans="3:7">
      <c r="C17" s="211">
        <f t="shared" si="0"/>
        <v>14</v>
      </c>
      <c r="D17" s="211" t="s">
        <v>1217</v>
      </c>
      <c r="E17" s="212" t="s">
        <v>329</v>
      </c>
      <c r="F17" s="212" t="s">
        <v>1890</v>
      </c>
      <c r="G17" s="199" t="s">
        <v>1884</v>
      </c>
    </row>
    <row r="18" spans="3:7">
      <c r="C18" s="26">
        <f t="shared" si="0"/>
        <v>15</v>
      </c>
      <c r="D18" s="26" t="s">
        <v>2505</v>
      </c>
      <c r="E18" s="25" t="s">
        <v>204</v>
      </c>
      <c r="F18" s="25"/>
      <c r="G18" s="199" t="s">
        <v>2</v>
      </c>
    </row>
    <row r="19" spans="3:7">
      <c r="C19" s="211">
        <f t="shared" si="0"/>
        <v>16</v>
      </c>
      <c r="D19" s="211" t="s">
        <v>2508</v>
      </c>
      <c r="E19" s="212" t="s">
        <v>1045</v>
      </c>
      <c r="F19" s="212" t="s">
        <v>1725</v>
      </c>
      <c r="G19" s="199" t="s">
        <v>2</v>
      </c>
    </row>
    <row r="20" spans="3:7">
      <c r="C20" s="26">
        <f t="shared" si="0"/>
        <v>17</v>
      </c>
      <c r="D20" s="26" t="s">
        <v>2369</v>
      </c>
      <c r="E20" s="25" t="s">
        <v>1045</v>
      </c>
      <c r="F20" s="25" t="s">
        <v>2134</v>
      </c>
      <c r="G20" s="199" t="s">
        <v>2</v>
      </c>
    </row>
    <row r="21" spans="3:7">
      <c r="C21" s="211">
        <f t="shared" si="0"/>
        <v>18</v>
      </c>
      <c r="D21" s="211" t="s">
        <v>2367</v>
      </c>
      <c r="E21" s="212" t="s">
        <v>2139</v>
      </c>
      <c r="F21" s="212" t="s">
        <v>1678</v>
      </c>
      <c r="G21" s="199" t="s">
        <v>2</v>
      </c>
    </row>
    <row r="22" spans="3:7">
      <c r="C22" s="26">
        <f t="shared" si="0"/>
        <v>19</v>
      </c>
      <c r="D22" s="26" t="s">
        <v>973</v>
      </c>
      <c r="E22" s="25" t="s">
        <v>2139</v>
      </c>
      <c r="F22" s="25" t="s">
        <v>1763</v>
      </c>
      <c r="G22" s="199" t="s">
        <v>2547</v>
      </c>
    </row>
    <row r="23" spans="3:7">
      <c r="C23" s="211">
        <f t="shared" si="0"/>
        <v>20</v>
      </c>
      <c r="D23" s="211" t="s">
        <v>2157</v>
      </c>
      <c r="E23" s="212" t="s">
        <v>1045</v>
      </c>
      <c r="F23" s="212" t="s">
        <v>1957</v>
      </c>
      <c r="G23" s="199" t="s">
        <v>2262</v>
      </c>
    </row>
    <row r="24" spans="3:7">
      <c r="C24" s="26">
        <f t="shared" si="0"/>
        <v>21</v>
      </c>
      <c r="D24" s="26" t="s">
        <v>2465</v>
      </c>
      <c r="E24" s="25" t="s">
        <v>1045</v>
      </c>
      <c r="F24" s="25" t="s">
        <v>1682</v>
      </c>
      <c r="G24" s="190" t="s">
        <v>2539</v>
      </c>
    </row>
    <row r="25" spans="3:7">
      <c r="C25" s="211">
        <f t="shared" si="0"/>
        <v>22</v>
      </c>
      <c r="D25" s="211" t="s">
        <v>2458</v>
      </c>
      <c r="E25" s="212" t="s">
        <v>1045</v>
      </c>
      <c r="F25" s="212" t="s">
        <v>1711</v>
      </c>
      <c r="G25" s="190" t="s">
        <v>2538</v>
      </c>
    </row>
    <row r="26" spans="3:7">
      <c r="C26" s="26">
        <f t="shared" si="0"/>
        <v>23</v>
      </c>
      <c r="D26" s="26" t="s">
        <v>2351</v>
      </c>
      <c r="E26" s="25" t="s">
        <v>329</v>
      </c>
      <c r="F26" s="25" t="s">
        <v>1957</v>
      </c>
      <c r="G26" s="190" t="s">
        <v>2551</v>
      </c>
    </row>
    <row r="27" spans="3:7">
      <c r="C27" s="211">
        <f t="shared" si="0"/>
        <v>24</v>
      </c>
      <c r="D27" s="211" t="s">
        <v>2018</v>
      </c>
      <c r="E27" s="212" t="s">
        <v>1045</v>
      </c>
      <c r="F27" s="212" t="s">
        <v>1886</v>
      </c>
      <c r="G27" s="190" t="s">
        <v>2552</v>
      </c>
    </row>
    <row r="28" spans="3:7">
      <c r="C28" s="26">
        <f t="shared" si="0"/>
        <v>25</v>
      </c>
      <c r="D28" s="26" t="s">
        <v>2309</v>
      </c>
      <c r="E28" s="25" t="s">
        <v>1045</v>
      </c>
      <c r="F28" s="25" t="s">
        <v>1710</v>
      </c>
      <c r="G28" s="190" t="s">
        <v>2553</v>
      </c>
    </row>
    <row r="29" spans="3:7">
      <c r="C29" s="211">
        <f t="shared" si="0"/>
        <v>26</v>
      </c>
      <c r="D29" s="211" t="s">
        <v>2268</v>
      </c>
      <c r="E29" s="212" t="s">
        <v>1045</v>
      </c>
      <c r="F29" s="212" t="s">
        <v>1717</v>
      </c>
      <c r="G29" s="190" t="s">
        <v>2554</v>
      </c>
    </row>
    <row r="30" spans="3:7">
      <c r="C30" s="26">
        <f t="shared" si="0"/>
        <v>27</v>
      </c>
      <c r="D30" s="26" t="s">
        <v>2366</v>
      </c>
      <c r="E30" s="25" t="s">
        <v>329</v>
      </c>
      <c r="F30" s="25" t="s">
        <v>1725</v>
      </c>
      <c r="G30" s="190" t="s">
        <v>2555</v>
      </c>
    </row>
    <row r="31" spans="3:7">
      <c r="C31" s="211">
        <f t="shared" si="0"/>
        <v>28</v>
      </c>
      <c r="D31" s="211" t="s">
        <v>2371</v>
      </c>
      <c r="E31" s="212" t="s">
        <v>1045</v>
      </c>
      <c r="F31" s="212" t="s">
        <v>1718</v>
      </c>
      <c r="G31" s="190" t="s">
        <v>2553</v>
      </c>
    </row>
    <row r="32" spans="3:7">
      <c r="C32" s="26">
        <f t="shared" si="0"/>
        <v>29</v>
      </c>
      <c r="D32" s="26" t="s">
        <v>2326</v>
      </c>
      <c r="E32" s="25" t="s">
        <v>2139</v>
      </c>
      <c r="F32" s="25" t="s">
        <v>1725</v>
      </c>
      <c r="G32" s="190" t="s">
        <v>2553</v>
      </c>
    </row>
    <row r="33" spans="3:7">
      <c r="C33" s="211">
        <f t="shared" si="0"/>
        <v>30</v>
      </c>
      <c r="D33" s="211" t="s">
        <v>2017</v>
      </c>
      <c r="E33" s="212" t="s">
        <v>1045</v>
      </c>
      <c r="F33" s="212" t="s">
        <v>1290</v>
      </c>
      <c r="G33" s="190" t="s">
        <v>2556</v>
      </c>
    </row>
    <row r="34" spans="3:7">
      <c r="C34" s="26">
        <f t="shared" si="0"/>
        <v>31</v>
      </c>
      <c r="D34" s="26" t="s">
        <v>2383</v>
      </c>
      <c r="E34" s="25" t="s">
        <v>1045</v>
      </c>
      <c r="F34" s="25" t="s">
        <v>1290</v>
      </c>
      <c r="G34" s="190" t="s">
        <v>2534</v>
      </c>
    </row>
    <row r="35" spans="3:7">
      <c r="C35" s="211">
        <f t="shared" si="0"/>
        <v>32</v>
      </c>
      <c r="D35" s="211" t="s">
        <v>2336</v>
      </c>
      <c r="E35" s="212" t="s">
        <v>1045</v>
      </c>
      <c r="F35" s="212" t="s">
        <v>2254</v>
      </c>
      <c r="G35" s="190" t="s">
        <v>2534</v>
      </c>
    </row>
    <row r="36" spans="3:7">
      <c r="C36" s="26">
        <f t="shared" si="0"/>
        <v>33</v>
      </c>
      <c r="D36" s="26" t="s">
        <v>2339</v>
      </c>
      <c r="E36" s="25" t="s">
        <v>1045</v>
      </c>
      <c r="F36" s="25" t="s">
        <v>2346</v>
      </c>
      <c r="G36" s="190" t="s">
        <v>2535</v>
      </c>
    </row>
    <row r="37" spans="3:7">
      <c r="C37" s="211">
        <f t="shared" si="0"/>
        <v>34</v>
      </c>
      <c r="D37" s="211" t="s">
        <v>2158</v>
      </c>
      <c r="E37" s="212" t="s">
        <v>1045</v>
      </c>
      <c r="F37" s="212" t="s">
        <v>1710</v>
      </c>
      <c r="G37" s="190" t="s">
        <v>2537</v>
      </c>
    </row>
    <row r="38" spans="3:7">
      <c r="C38" s="26">
        <f t="shared" si="0"/>
        <v>35</v>
      </c>
      <c r="D38" s="26" t="s">
        <v>1593</v>
      </c>
      <c r="E38" s="25" t="s">
        <v>1045</v>
      </c>
      <c r="F38" s="25" t="s">
        <v>1725</v>
      </c>
      <c r="G38" s="190" t="s">
        <v>2536</v>
      </c>
    </row>
    <row r="39" spans="3:7">
      <c r="C39" s="211">
        <f t="shared" si="0"/>
        <v>36</v>
      </c>
      <c r="D39" s="211" t="s">
        <v>2207</v>
      </c>
      <c r="E39" s="212" t="s">
        <v>1045</v>
      </c>
      <c r="F39" s="212" t="s">
        <v>1682</v>
      </c>
      <c r="G39" s="190" t="s">
        <v>2557</v>
      </c>
    </row>
    <row r="40" spans="3:7">
      <c r="C40" s="26">
        <f t="shared" si="0"/>
        <v>37</v>
      </c>
      <c r="D40" s="26" t="s">
        <v>2216</v>
      </c>
      <c r="E40" s="25" t="s">
        <v>204</v>
      </c>
      <c r="F40" s="25" t="s">
        <v>2255</v>
      </c>
      <c r="G40" s="190" t="s">
        <v>2557</v>
      </c>
    </row>
    <row r="41" spans="3:7">
      <c r="C41" s="211">
        <f t="shared" si="0"/>
        <v>38</v>
      </c>
      <c r="D41" s="211" t="s">
        <v>2386</v>
      </c>
      <c r="E41" s="212" t="s">
        <v>1045</v>
      </c>
      <c r="F41" s="212" t="s">
        <v>1713</v>
      </c>
      <c r="G41" s="190" t="s">
        <v>2557</v>
      </c>
    </row>
    <row r="42" spans="3:7" ht="28.8">
      <c r="C42" s="26">
        <f t="shared" si="0"/>
        <v>39</v>
      </c>
      <c r="D42" s="26" t="s">
        <v>2387</v>
      </c>
      <c r="E42" s="25" t="s">
        <v>1045</v>
      </c>
      <c r="F42" s="25" t="s">
        <v>2254</v>
      </c>
      <c r="G42" s="190" t="s">
        <v>2402</v>
      </c>
    </row>
    <row r="43" spans="3:7" ht="28.8">
      <c r="C43" s="211">
        <f t="shared" si="0"/>
        <v>40</v>
      </c>
      <c r="D43" s="211" t="s">
        <v>2403</v>
      </c>
      <c r="E43" s="212" t="s">
        <v>1045</v>
      </c>
      <c r="F43" s="212" t="s">
        <v>1290</v>
      </c>
      <c r="G43" s="190" t="s">
        <v>2498</v>
      </c>
    </row>
    <row r="44" spans="3:7">
      <c r="C44" s="26">
        <f t="shared" si="0"/>
        <v>41</v>
      </c>
      <c r="D44" s="26" t="s">
        <v>2405</v>
      </c>
      <c r="E44" s="25" t="s">
        <v>1045</v>
      </c>
      <c r="F44" s="25" t="s">
        <v>1890</v>
      </c>
      <c r="G44" s="190" t="s">
        <v>2415</v>
      </c>
    </row>
    <row r="45" spans="3:7">
      <c r="C45" s="211">
        <f t="shared" si="0"/>
        <v>42</v>
      </c>
      <c r="D45" s="211" t="s">
        <v>2407</v>
      </c>
      <c r="E45" s="212" t="s">
        <v>329</v>
      </c>
      <c r="F45" s="212" t="s">
        <v>2253</v>
      </c>
      <c r="G45" s="190" t="s">
        <v>2526</v>
      </c>
    </row>
    <row r="46" spans="3:7">
      <c r="C46" s="26">
        <f t="shared" si="0"/>
        <v>43</v>
      </c>
      <c r="D46" s="26" t="s">
        <v>2425</v>
      </c>
      <c r="E46" s="25" t="s">
        <v>1045</v>
      </c>
      <c r="F46" s="25" t="s">
        <v>1709</v>
      </c>
      <c r="G46" s="190" t="s">
        <v>2558</v>
      </c>
    </row>
    <row r="47" spans="3:7">
      <c r="C47" s="211">
        <f t="shared" si="0"/>
        <v>44</v>
      </c>
      <c r="D47" s="211" t="s">
        <v>2431</v>
      </c>
      <c r="E47" s="212" t="s">
        <v>2540</v>
      </c>
      <c r="F47" s="212" t="s">
        <v>2542</v>
      </c>
      <c r="G47" s="190" t="s">
        <v>2448</v>
      </c>
    </row>
    <row r="48" spans="3:7">
      <c r="C48" s="26">
        <f t="shared" si="0"/>
        <v>45</v>
      </c>
      <c r="D48" s="26" t="s">
        <v>2435</v>
      </c>
      <c r="E48" s="25" t="s">
        <v>1045</v>
      </c>
      <c r="F48" s="25" t="s">
        <v>2541</v>
      </c>
      <c r="G48" s="190" t="s">
        <v>2559</v>
      </c>
    </row>
    <row r="49" spans="3:7">
      <c r="C49" s="211">
        <f t="shared" si="0"/>
        <v>46</v>
      </c>
      <c r="D49" s="211" t="s">
        <v>2441</v>
      </c>
      <c r="E49" s="212" t="s">
        <v>715</v>
      </c>
      <c r="F49" s="212" t="s">
        <v>1290</v>
      </c>
      <c r="G49" s="190" t="s">
        <v>1469</v>
      </c>
    </row>
    <row r="50" spans="3:7">
      <c r="C50" s="26">
        <f t="shared" si="0"/>
        <v>47</v>
      </c>
      <c r="D50" s="26" t="s">
        <v>2469</v>
      </c>
      <c r="E50" s="25" t="s">
        <v>329</v>
      </c>
      <c r="F50" s="25" t="s">
        <v>1290</v>
      </c>
      <c r="G50" s="190" t="s">
        <v>2485</v>
      </c>
    </row>
    <row r="55" spans="3:7">
      <c r="C55" s="138" t="s">
        <v>7</v>
      </c>
      <c r="D55" s="137" t="s">
        <v>415</v>
      </c>
      <c r="E55" s="138" t="s">
        <v>1659</v>
      </c>
      <c r="F55" s="138" t="s">
        <v>1661</v>
      </c>
    </row>
    <row r="56" spans="3:7">
      <c r="C56" s="24">
        <v>1</v>
      </c>
      <c r="D56" t="s">
        <v>2502</v>
      </c>
      <c r="E56" s="24" t="s">
        <v>270</v>
      </c>
      <c r="F56" s="72" t="s">
        <v>2561</v>
      </c>
    </row>
    <row r="57" spans="3:7" ht="35.25" customHeight="1">
      <c r="C57" s="25">
        <f t="shared" ref="C57:C79" si="1">+C56+1</f>
        <v>2</v>
      </c>
      <c r="D57" s="26" t="s">
        <v>2420</v>
      </c>
      <c r="E57" s="25" t="s">
        <v>270</v>
      </c>
      <c r="F57" s="9" t="s">
        <v>2562</v>
      </c>
    </row>
    <row r="58" spans="3:7">
      <c r="C58" s="25">
        <f t="shared" si="1"/>
        <v>3</v>
      </c>
      <c r="D58" s="26" t="s">
        <v>2438</v>
      </c>
      <c r="E58" s="25" t="s">
        <v>270</v>
      </c>
      <c r="F58" s="72" t="s">
        <v>2</v>
      </c>
    </row>
    <row r="59" spans="3:7" ht="28.8">
      <c r="C59" s="25">
        <f t="shared" si="1"/>
        <v>4</v>
      </c>
      <c r="D59" s="26" t="s">
        <v>2454</v>
      </c>
      <c r="E59" s="25" t="s">
        <v>270</v>
      </c>
      <c r="F59" s="9" t="s">
        <v>2563</v>
      </c>
    </row>
    <row r="60" spans="3:7">
      <c r="C60" s="25">
        <f t="shared" si="1"/>
        <v>5</v>
      </c>
      <c r="D60" s="26" t="s">
        <v>2456</v>
      </c>
      <c r="E60" s="25" t="s">
        <v>304</v>
      </c>
      <c r="F60" s="72" t="s">
        <v>2</v>
      </c>
    </row>
    <row r="61" spans="3:7">
      <c r="C61" s="25">
        <f t="shared" si="1"/>
        <v>6</v>
      </c>
      <c r="D61" s="26" t="s">
        <v>2426</v>
      </c>
      <c r="E61" s="25" t="s">
        <v>270</v>
      </c>
      <c r="F61" s="72" t="s">
        <v>2</v>
      </c>
    </row>
    <row r="62" spans="3:7">
      <c r="C62" s="25">
        <f t="shared" si="1"/>
        <v>7</v>
      </c>
      <c r="D62" s="26" t="s">
        <v>2521</v>
      </c>
      <c r="E62" s="25" t="s">
        <v>807</v>
      </c>
      <c r="F62" s="72" t="s">
        <v>2564</v>
      </c>
    </row>
    <row r="63" spans="3:7">
      <c r="C63" s="25">
        <f t="shared" si="1"/>
        <v>8</v>
      </c>
      <c r="D63" s="26" t="s">
        <v>2520</v>
      </c>
      <c r="E63" s="25" t="s">
        <v>807</v>
      </c>
      <c r="F63" s="72" t="s">
        <v>2</v>
      </c>
    </row>
    <row r="64" spans="3:7">
      <c r="C64" s="25">
        <f t="shared" si="1"/>
        <v>9</v>
      </c>
      <c r="D64" s="26" t="s">
        <v>2457</v>
      </c>
      <c r="E64" s="25" t="s">
        <v>198</v>
      </c>
      <c r="F64" s="72" t="s">
        <v>2</v>
      </c>
    </row>
    <row r="65" spans="3:6">
      <c r="C65" s="25">
        <f t="shared" si="1"/>
        <v>10</v>
      </c>
      <c r="D65" s="26" t="s">
        <v>2331</v>
      </c>
      <c r="E65" s="25" t="s">
        <v>807</v>
      </c>
      <c r="F65" s="72" t="s">
        <v>2</v>
      </c>
    </row>
    <row r="66" spans="3:6">
      <c r="C66" s="25">
        <f t="shared" si="1"/>
        <v>11</v>
      </c>
      <c r="D66" s="26" t="s">
        <v>2404</v>
      </c>
      <c r="E66" s="25" t="s">
        <v>270</v>
      </c>
      <c r="F66" s="72" t="s">
        <v>2</v>
      </c>
    </row>
    <row r="67" spans="3:6">
      <c r="C67" s="25">
        <f t="shared" si="1"/>
        <v>12</v>
      </c>
      <c r="D67" s="26" t="s">
        <v>2410</v>
      </c>
      <c r="E67" s="25" t="s">
        <v>270</v>
      </c>
      <c r="F67" s="72" t="s">
        <v>2</v>
      </c>
    </row>
    <row r="68" spans="3:6">
      <c r="C68" s="25">
        <f t="shared" si="1"/>
        <v>13</v>
      </c>
      <c r="D68" s="26" t="s">
        <v>2495</v>
      </c>
      <c r="E68" s="25" t="s">
        <v>807</v>
      </c>
      <c r="F68" s="72" t="s">
        <v>2</v>
      </c>
    </row>
    <row r="69" spans="3:6">
      <c r="C69" s="25">
        <f t="shared" si="1"/>
        <v>14</v>
      </c>
      <c r="D69" s="26" t="s">
        <v>1424</v>
      </c>
      <c r="E69" s="25" t="s">
        <v>304</v>
      </c>
      <c r="F69" s="72" t="s">
        <v>2</v>
      </c>
    </row>
    <row r="70" spans="3:6">
      <c r="C70" s="25">
        <f t="shared" si="1"/>
        <v>15</v>
      </c>
      <c r="D70" s="26" t="s">
        <v>2388</v>
      </c>
      <c r="E70" s="25" t="s">
        <v>807</v>
      </c>
      <c r="F70" s="66" t="s">
        <v>1</v>
      </c>
    </row>
    <row r="71" spans="3:6">
      <c r="C71" s="25">
        <f t="shared" si="1"/>
        <v>16</v>
      </c>
      <c r="D71" s="26" t="s">
        <v>2398</v>
      </c>
      <c r="E71" s="25" t="s">
        <v>270</v>
      </c>
      <c r="F71" s="66" t="s">
        <v>1</v>
      </c>
    </row>
    <row r="72" spans="3:6">
      <c r="C72" s="25">
        <f t="shared" si="1"/>
        <v>17</v>
      </c>
      <c r="D72" s="26" t="s">
        <v>2400</v>
      </c>
      <c r="E72" s="25" t="s">
        <v>270</v>
      </c>
      <c r="F72" s="66" t="s">
        <v>1</v>
      </c>
    </row>
    <row r="73" spans="3:6">
      <c r="C73" s="25">
        <f t="shared" si="1"/>
        <v>18</v>
      </c>
      <c r="D73" s="26" t="s">
        <v>2412</v>
      </c>
      <c r="E73" s="25" t="s">
        <v>807</v>
      </c>
      <c r="F73" s="66" t="s">
        <v>1</v>
      </c>
    </row>
    <row r="74" spans="3:6">
      <c r="C74" s="25">
        <f t="shared" si="1"/>
        <v>19</v>
      </c>
      <c r="D74" s="26" t="s">
        <v>2414</v>
      </c>
      <c r="E74" s="25" t="s">
        <v>270</v>
      </c>
      <c r="F74" s="66" t="s">
        <v>1</v>
      </c>
    </row>
    <row r="75" spans="3:6">
      <c r="C75" s="25">
        <f t="shared" si="1"/>
        <v>20</v>
      </c>
      <c r="D75" s="26" t="s">
        <v>2429</v>
      </c>
      <c r="E75" s="25" t="s">
        <v>807</v>
      </c>
      <c r="F75" s="66" t="s">
        <v>1</v>
      </c>
    </row>
    <row r="76" spans="3:6">
      <c r="C76" s="25">
        <f t="shared" si="1"/>
        <v>21</v>
      </c>
      <c r="D76" s="26" t="s">
        <v>2453</v>
      </c>
      <c r="E76" s="25" t="s">
        <v>2291</v>
      </c>
      <c r="F76" s="66" t="s">
        <v>1</v>
      </c>
    </row>
    <row r="77" spans="3:6">
      <c r="C77" s="25">
        <f t="shared" si="1"/>
        <v>22</v>
      </c>
      <c r="D77" s="26" t="s">
        <v>2462</v>
      </c>
      <c r="E77" s="25" t="s">
        <v>1212</v>
      </c>
      <c r="F77" s="66" t="s">
        <v>1</v>
      </c>
    </row>
    <row r="78" spans="3:6">
      <c r="C78" s="25">
        <f t="shared" si="1"/>
        <v>23</v>
      </c>
      <c r="D78" s="26" t="s">
        <v>2471</v>
      </c>
      <c r="E78" s="25" t="s">
        <v>304</v>
      </c>
      <c r="F78" s="66" t="s">
        <v>1</v>
      </c>
    </row>
    <row r="79" spans="3:6">
      <c r="C79" s="25">
        <f t="shared" si="1"/>
        <v>24</v>
      </c>
      <c r="D79" s="26" t="s">
        <v>2487</v>
      </c>
      <c r="E79" s="25" t="s">
        <v>304</v>
      </c>
      <c r="F79" s="66" t="s">
        <v>1</v>
      </c>
    </row>
    <row r="80" spans="3:6">
      <c r="C80" s="25">
        <f>+C79+1</f>
        <v>25</v>
      </c>
      <c r="D80" s="26" t="s">
        <v>2504</v>
      </c>
      <c r="E80" s="25" t="s">
        <v>270</v>
      </c>
      <c r="F80" s="66" t="s">
        <v>1</v>
      </c>
    </row>
    <row r="100" spans="4:7">
      <c r="D100" t="s">
        <v>2282</v>
      </c>
      <c r="E100" t="s">
        <v>270</v>
      </c>
      <c r="F100" s="66" t="s">
        <v>1</v>
      </c>
      <c r="G100" t="s">
        <v>2344</v>
      </c>
    </row>
    <row r="101" spans="4:7">
      <c r="D101" t="s">
        <v>2287</v>
      </c>
      <c r="E101" t="s">
        <v>2289</v>
      </c>
      <c r="F101" s="66" t="s">
        <v>1</v>
      </c>
      <c r="G101" t="s">
        <v>2345</v>
      </c>
    </row>
    <row r="102" spans="4:7">
      <c r="D102" t="s">
        <v>2304</v>
      </c>
      <c r="E102" t="s">
        <v>304</v>
      </c>
      <c r="F102" s="66" t="s">
        <v>1</v>
      </c>
      <c r="G102" t="s">
        <v>2286</v>
      </c>
    </row>
    <row r="103" spans="4:7">
      <c r="D103" t="s">
        <v>2292</v>
      </c>
      <c r="E103" t="s">
        <v>2291</v>
      </c>
      <c r="F103" s="66" t="s">
        <v>1</v>
      </c>
    </row>
    <row r="104" spans="4:7">
      <c r="D104" t="s">
        <v>2294</v>
      </c>
      <c r="E104" t="s">
        <v>2291</v>
      </c>
      <c r="F104" s="66" t="s">
        <v>1</v>
      </c>
    </row>
    <row r="105" spans="4:7">
      <c r="D105" t="s">
        <v>2328</v>
      </c>
      <c r="E105" t="s">
        <v>2329</v>
      </c>
      <c r="F105" s="66" t="s">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6BE2-72BA-4326-A504-BD09B995A72A}">
  <sheetPr codeName="Sheet16">
    <pageSetUpPr autoPageBreaks="0"/>
  </sheetPr>
  <dimension ref="C2:S71"/>
  <sheetViews>
    <sheetView showGridLines="0" zoomScaleNormal="100" workbookViewId="0">
      <selection activeCell="I22" sqref="I22"/>
    </sheetView>
  </sheetViews>
  <sheetFormatPr defaultRowHeight="14.4"/>
  <cols>
    <col min="1" max="2" width="1.6640625" customWidth="1"/>
    <col min="3" max="3" width="3" bestFit="1" customWidth="1"/>
    <col min="4" max="4" width="47.33203125" bestFit="1" customWidth="1"/>
    <col min="5" max="5" width="23.109375" bestFit="1" customWidth="1"/>
    <col min="6" max="6" width="24.109375" bestFit="1" customWidth="1"/>
    <col min="7" max="7" width="52.88671875" bestFit="1" customWidth="1"/>
    <col min="9" max="9" width="23.5546875" bestFit="1" customWidth="1"/>
    <col min="10" max="11" width="3" bestFit="1" customWidth="1"/>
    <col min="12" max="12" width="29" bestFit="1" customWidth="1"/>
    <col min="13" max="13" width="47.33203125" bestFit="1" customWidth="1"/>
    <col min="14" max="14" width="3" bestFit="1" customWidth="1"/>
    <col min="15" max="15" width="35.109375" bestFit="1" customWidth="1"/>
    <col min="16" max="16" width="18.5546875" bestFit="1" customWidth="1"/>
    <col min="17" max="17" width="15.88671875" bestFit="1" customWidth="1"/>
    <col min="18" max="18" width="52.88671875" bestFit="1" customWidth="1"/>
  </cols>
  <sheetData>
    <row r="2" spans="3:19">
      <c r="D2" s="20" t="s">
        <v>2361</v>
      </c>
    </row>
    <row r="3" spans="3:19">
      <c r="C3" s="138" t="s">
        <v>7</v>
      </c>
      <c r="D3" s="156" t="s">
        <v>1658</v>
      </c>
      <c r="E3" s="138" t="s">
        <v>1659</v>
      </c>
      <c r="F3" s="138" t="s">
        <v>1660</v>
      </c>
      <c r="G3" s="138" t="s">
        <v>1661</v>
      </c>
      <c r="I3" s="191" t="s">
        <v>1657</v>
      </c>
      <c r="J3">
        <v>16</v>
      </c>
      <c r="M3" s="192"/>
      <c r="N3" s="138" t="s">
        <v>7</v>
      </c>
      <c r="O3" s="156" t="s">
        <v>1658</v>
      </c>
      <c r="P3" s="138" t="s">
        <v>1659</v>
      </c>
      <c r="Q3" s="138" t="s">
        <v>1660</v>
      </c>
      <c r="R3" s="138" t="s">
        <v>1661</v>
      </c>
    </row>
    <row r="4" spans="3:19">
      <c r="C4" s="170">
        <v>1</v>
      </c>
      <c r="D4" s="189" t="s">
        <v>2281</v>
      </c>
      <c r="E4" s="170" t="s">
        <v>1285</v>
      </c>
      <c r="F4" s="170" t="s">
        <v>1711</v>
      </c>
      <c r="G4" s="176" t="s">
        <v>2348</v>
      </c>
      <c r="I4" t="s">
        <v>1664</v>
      </c>
      <c r="J4" s="24">
        <v>17</v>
      </c>
      <c r="M4" s="192"/>
      <c r="N4" s="24">
        <v>1</v>
      </c>
      <c r="O4" t="s">
        <v>2281</v>
      </c>
      <c r="P4" s="25" t="s">
        <v>1285</v>
      </c>
      <c r="Q4" s="25" t="s">
        <v>1711</v>
      </c>
      <c r="R4" s="176" t="s">
        <v>2348</v>
      </c>
      <c r="S4" t="str">
        <f>+INDEX(Pipe!N:N,MATCH(O4,Pipe!E:E,0))</f>
        <v>Concluído</v>
      </c>
    </row>
    <row r="5" spans="3:19">
      <c r="C5" s="170">
        <f>+C4+1</f>
        <v>2</v>
      </c>
      <c r="D5" s="189" t="s">
        <v>2273</v>
      </c>
      <c r="E5" s="170" t="s">
        <v>1045</v>
      </c>
      <c r="F5" s="170" t="s">
        <v>1290</v>
      </c>
      <c r="G5" s="199" t="s">
        <v>2347</v>
      </c>
      <c r="I5" s="26" t="s">
        <v>1667</v>
      </c>
      <c r="J5" s="24">
        <v>2</v>
      </c>
      <c r="M5" s="192"/>
      <c r="N5" s="170">
        <f>+N4+1</f>
        <v>2</v>
      </c>
      <c r="O5" s="189" t="s">
        <v>2273</v>
      </c>
      <c r="P5" s="170" t="s">
        <v>1045</v>
      </c>
      <c r="Q5" s="170" t="s">
        <v>1290</v>
      </c>
      <c r="R5" s="199" t="s">
        <v>2347</v>
      </c>
      <c r="S5" t="e">
        <f>+INDEX(Pipe!N:N,MATCH(O5,Pipe!E:E,0))</f>
        <v>#N/A</v>
      </c>
    </row>
    <row r="6" spans="3:19">
      <c r="C6" s="170">
        <f t="shared" ref="C6:C41" si="0">+C5+1</f>
        <v>3</v>
      </c>
      <c r="D6" s="189" t="s">
        <v>2268</v>
      </c>
      <c r="E6" s="170" t="s">
        <v>1045</v>
      </c>
      <c r="F6" s="170" t="s">
        <v>1717</v>
      </c>
      <c r="G6" s="199" t="s">
        <v>2261</v>
      </c>
      <c r="I6" t="s">
        <v>1982</v>
      </c>
      <c r="J6" s="24">
        <v>40</v>
      </c>
      <c r="M6" s="192"/>
      <c r="N6" s="170">
        <f t="shared" ref="N6:N42" si="1">+N5+1</f>
        <v>3</v>
      </c>
      <c r="O6" s="189" t="s">
        <v>2268</v>
      </c>
      <c r="P6" s="170" t="s">
        <v>1045</v>
      </c>
      <c r="Q6" s="170" t="s">
        <v>1717</v>
      </c>
      <c r="R6" s="199" t="s">
        <v>2261</v>
      </c>
      <c r="S6" t="e">
        <f>+INDEX(Pipe!N:N,MATCH(O6,Pipe!E:E,0))</f>
        <v>#N/A</v>
      </c>
    </row>
    <row r="7" spans="3:19">
      <c r="C7" s="170">
        <f t="shared" si="0"/>
        <v>4</v>
      </c>
      <c r="D7" s="189" t="s">
        <v>973</v>
      </c>
      <c r="E7" s="170" t="s">
        <v>2139</v>
      </c>
      <c r="F7" s="170" t="s">
        <v>1763</v>
      </c>
      <c r="G7" s="200" t="s">
        <v>2355</v>
      </c>
      <c r="I7" s="179" t="s">
        <v>1983</v>
      </c>
      <c r="J7" s="180">
        <f>+J3-J4-J5+J6</f>
        <v>37</v>
      </c>
      <c r="M7" s="192"/>
      <c r="N7" s="170">
        <f t="shared" si="1"/>
        <v>4</v>
      </c>
      <c r="O7" s="189" t="s">
        <v>973</v>
      </c>
      <c r="P7" s="170" t="s">
        <v>2139</v>
      </c>
      <c r="Q7" s="170" t="s">
        <v>1763</v>
      </c>
      <c r="R7" s="200" t="s">
        <v>2355</v>
      </c>
    </row>
    <row r="8" spans="3:19">
      <c r="C8" s="170">
        <f t="shared" si="0"/>
        <v>5</v>
      </c>
      <c r="D8" s="189" t="s">
        <v>923</v>
      </c>
      <c r="E8" s="170" t="s">
        <v>1045</v>
      </c>
      <c r="F8" s="170" t="s">
        <v>2256</v>
      </c>
      <c r="G8" s="200" t="s">
        <v>2355</v>
      </c>
      <c r="M8" s="192"/>
      <c r="N8" s="170">
        <f t="shared" si="1"/>
        <v>5</v>
      </c>
      <c r="O8" s="189" t="s">
        <v>923</v>
      </c>
      <c r="P8" s="170" t="s">
        <v>1045</v>
      </c>
      <c r="Q8" s="170" t="s">
        <v>2256</v>
      </c>
      <c r="R8" s="200" t="s">
        <v>2355</v>
      </c>
    </row>
    <row r="9" spans="3:19">
      <c r="C9" s="170">
        <f t="shared" si="0"/>
        <v>6</v>
      </c>
      <c r="D9" s="189" t="s">
        <v>2366</v>
      </c>
      <c r="E9" s="170" t="s">
        <v>329</v>
      </c>
      <c r="F9" s="170" t="s">
        <v>1725</v>
      </c>
      <c r="G9" s="199" t="s">
        <v>2</v>
      </c>
      <c r="M9" s="192"/>
      <c r="N9" s="170"/>
      <c r="O9" s="26"/>
      <c r="P9" s="170"/>
      <c r="Q9" s="25"/>
      <c r="R9" s="200"/>
    </row>
    <row r="10" spans="3:19">
      <c r="C10" s="170">
        <f t="shared" si="0"/>
        <v>7</v>
      </c>
      <c r="D10" s="189" t="s">
        <v>2371</v>
      </c>
      <c r="E10" s="170" t="s">
        <v>1045</v>
      </c>
      <c r="F10" s="170" t="s">
        <v>1718</v>
      </c>
      <c r="G10" s="199" t="s">
        <v>2</v>
      </c>
      <c r="M10" s="192"/>
      <c r="N10" s="170"/>
      <c r="O10" s="26"/>
      <c r="P10" s="170"/>
      <c r="Q10" s="25"/>
      <c r="R10" s="200"/>
    </row>
    <row r="11" spans="3:19">
      <c r="C11" s="170">
        <f t="shared" si="0"/>
        <v>8</v>
      </c>
      <c r="D11" s="189" t="s">
        <v>2326</v>
      </c>
      <c r="E11" s="170" t="s">
        <v>2139</v>
      </c>
      <c r="F11" s="170" t="s">
        <v>1725</v>
      </c>
      <c r="G11" s="200" t="s">
        <v>2349</v>
      </c>
      <c r="M11" s="192"/>
      <c r="N11" s="170">
        <f>+N8+1</f>
        <v>6</v>
      </c>
      <c r="O11" t="s">
        <v>2326</v>
      </c>
      <c r="P11" s="170" t="s">
        <v>2139</v>
      </c>
      <c r="Q11" s="25" t="s">
        <v>1725</v>
      </c>
      <c r="R11" s="200" t="s">
        <v>2349</v>
      </c>
      <c r="S11" t="str">
        <f>+INDEX(Pipe!N:N,MATCH(O11,Pipe!E:E,0))</f>
        <v>Não</v>
      </c>
    </row>
    <row r="12" spans="3:19">
      <c r="C12" s="170">
        <f t="shared" si="0"/>
        <v>9</v>
      </c>
      <c r="D12" s="189" t="s">
        <v>2017</v>
      </c>
      <c r="E12" s="170" t="s">
        <v>1045</v>
      </c>
      <c r="F12" s="170" t="s">
        <v>1290</v>
      </c>
      <c r="G12" s="199" t="s">
        <v>2360</v>
      </c>
      <c r="I12" s="26" t="s">
        <v>2384</v>
      </c>
      <c r="M12" s="192"/>
      <c r="N12" s="170">
        <f t="shared" si="1"/>
        <v>7</v>
      </c>
      <c r="O12" t="s">
        <v>2017</v>
      </c>
      <c r="P12" s="170" t="s">
        <v>1045</v>
      </c>
      <c r="Q12" s="25" t="s">
        <v>1290</v>
      </c>
      <c r="R12" s="199" t="s">
        <v>2360</v>
      </c>
      <c r="S12" t="str">
        <f>+INDEX(Pipe!N:N,MATCH(O12,Pipe!E:E,0))</f>
        <v>Não</v>
      </c>
    </row>
    <row r="13" spans="3:19">
      <c r="C13" s="170">
        <f t="shared" si="0"/>
        <v>10</v>
      </c>
      <c r="D13" s="189" t="s">
        <v>2383</v>
      </c>
      <c r="E13" s="170"/>
      <c r="F13" s="170" t="s">
        <v>1290</v>
      </c>
      <c r="G13" s="199"/>
      <c r="M13" s="192"/>
      <c r="N13" s="170"/>
      <c r="P13" s="170"/>
      <c r="Q13" s="25"/>
      <c r="R13" s="199"/>
    </row>
    <row r="14" spans="3:19">
      <c r="C14" s="170">
        <f t="shared" si="0"/>
        <v>11</v>
      </c>
      <c r="D14" s="189"/>
      <c r="E14" s="170"/>
      <c r="F14" s="170"/>
      <c r="G14" s="199"/>
      <c r="M14" s="192"/>
      <c r="N14" s="170"/>
      <c r="P14" s="170"/>
      <c r="Q14" s="25"/>
      <c r="R14" s="199"/>
    </row>
    <row r="15" spans="3:19">
      <c r="C15" s="170">
        <f t="shared" si="0"/>
        <v>12</v>
      </c>
      <c r="D15" s="189" t="s">
        <v>2309</v>
      </c>
      <c r="E15" s="170" t="s">
        <v>1045</v>
      </c>
      <c r="F15" s="170" t="s">
        <v>1710</v>
      </c>
      <c r="G15" s="199" t="s">
        <v>2</v>
      </c>
      <c r="M15" s="192"/>
      <c r="N15" s="170"/>
      <c r="P15" s="170"/>
      <c r="Q15" s="25"/>
      <c r="R15" s="199"/>
    </row>
    <row r="16" spans="3:19">
      <c r="C16" s="170">
        <f t="shared" si="0"/>
        <v>13</v>
      </c>
      <c r="D16" s="189" t="s">
        <v>2369</v>
      </c>
      <c r="E16" s="170" t="s">
        <v>1045</v>
      </c>
      <c r="F16" s="170" t="s">
        <v>2134</v>
      </c>
      <c r="G16" s="199" t="s">
        <v>2370</v>
      </c>
      <c r="M16" s="192"/>
      <c r="N16" s="170"/>
      <c r="P16" s="170"/>
      <c r="Q16" s="25"/>
      <c r="R16" s="199"/>
    </row>
    <row r="17" spans="3:19">
      <c r="C17" s="170">
        <f t="shared" si="0"/>
        <v>14</v>
      </c>
      <c r="D17" s="189" t="s">
        <v>2367</v>
      </c>
      <c r="E17" s="170" t="s">
        <v>2139</v>
      </c>
      <c r="F17" s="170" t="s">
        <v>1678</v>
      </c>
      <c r="G17" s="199" t="s">
        <v>1964</v>
      </c>
      <c r="M17" s="192"/>
      <c r="N17" s="170"/>
      <c r="P17" s="170"/>
      <c r="Q17" s="25"/>
      <c r="R17" s="199"/>
    </row>
    <row r="18" spans="3:19">
      <c r="C18" s="170">
        <f t="shared" si="0"/>
        <v>15</v>
      </c>
      <c r="D18" s="189" t="s">
        <v>2336</v>
      </c>
      <c r="E18" s="170" t="s">
        <v>1045</v>
      </c>
      <c r="F18" s="170" t="s">
        <v>2254</v>
      </c>
      <c r="G18" s="200" t="s">
        <v>2</v>
      </c>
      <c r="M18" s="192"/>
      <c r="N18" s="170"/>
      <c r="P18" s="170"/>
      <c r="Q18" s="25"/>
      <c r="R18" s="199"/>
    </row>
    <row r="19" spans="3:19">
      <c r="C19" s="170">
        <f t="shared" si="0"/>
        <v>16</v>
      </c>
      <c r="D19" s="189" t="s">
        <v>2339</v>
      </c>
      <c r="E19" s="170" t="s">
        <v>1045</v>
      </c>
      <c r="F19" s="170" t="s">
        <v>2346</v>
      </c>
      <c r="G19" s="200" t="s">
        <v>2353</v>
      </c>
      <c r="M19" s="192"/>
      <c r="N19" s="170">
        <f>+N12+1</f>
        <v>8</v>
      </c>
      <c r="O19" t="s">
        <v>2336</v>
      </c>
      <c r="P19" s="170" t="s">
        <v>1045</v>
      </c>
      <c r="Q19" s="25" t="s">
        <v>2254</v>
      </c>
      <c r="R19" s="200" t="s">
        <v>2</v>
      </c>
      <c r="S19" t="str">
        <f>+INDEX(Pipe!N:N,MATCH(O19,Pipe!E:E,0))</f>
        <v>Não</v>
      </c>
    </row>
    <row r="20" spans="3:19">
      <c r="C20" s="170">
        <f t="shared" si="0"/>
        <v>17</v>
      </c>
      <c r="D20" t="s">
        <v>2351</v>
      </c>
      <c r="E20" s="206" t="s">
        <v>329</v>
      </c>
      <c r="F20" s="170" t="s">
        <v>1957</v>
      </c>
      <c r="G20" s="199" t="s">
        <v>2354</v>
      </c>
      <c r="M20" s="192"/>
      <c r="N20" s="170">
        <f t="shared" si="1"/>
        <v>9</v>
      </c>
      <c r="O20" t="s">
        <v>2339</v>
      </c>
      <c r="P20" s="170" t="s">
        <v>1045</v>
      </c>
      <c r="Q20" s="25" t="s">
        <v>2346</v>
      </c>
      <c r="R20" s="200" t="s">
        <v>2353</v>
      </c>
      <c r="S20" t="str">
        <f>+INDEX(Pipe!N:N,MATCH(O20,Pipe!E:E,0))</f>
        <v>Não</v>
      </c>
    </row>
    <row r="21" spans="3:19">
      <c r="C21" s="170">
        <f t="shared" si="0"/>
        <v>18</v>
      </c>
      <c r="D21" s="189" t="s">
        <v>1616</v>
      </c>
      <c r="E21" s="170" t="s">
        <v>329</v>
      </c>
      <c r="F21" s="170" t="s">
        <v>1763</v>
      </c>
      <c r="G21" s="200" t="s">
        <v>2121</v>
      </c>
      <c r="M21" s="192"/>
      <c r="N21" s="170">
        <f t="shared" si="1"/>
        <v>10</v>
      </c>
      <c r="O21" t="s">
        <v>2351</v>
      </c>
      <c r="P21" s="206" t="s">
        <v>329</v>
      </c>
      <c r="Q21" s="25" t="s">
        <v>1957</v>
      </c>
      <c r="R21" s="199" t="s">
        <v>2354</v>
      </c>
    </row>
    <row r="22" spans="3:19">
      <c r="C22" s="170">
        <f t="shared" si="0"/>
        <v>19</v>
      </c>
      <c r="D22" s="189" t="s">
        <v>2264</v>
      </c>
      <c r="E22" s="170" t="s">
        <v>1045</v>
      </c>
      <c r="F22" s="170" t="s">
        <v>2259</v>
      </c>
      <c r="G22" s="199" t="s">
        <v>2350</v>
      </c>
      <c r="M22" s="192"/>
      <c r="N22" s="170">
        <f t="shared" si="1"/>
        <v>11</v>
      </c>
      <c r="O22" s="189" t="s">
        <v>1616</v>
      </c>
      <c r="P22" s="170" t="s">
        <v>329</v>
      </c>
      <c r="Q22" s="170" t="s">
        <v>1763</v>
      </c>
      <c r="R22" s="200" t="s">
        <v>2121</v>
      </c>
      <c r="S22" t="str">
        <f>+INDEX(Pipe!N:N,MATCH(O22,Pipe!E:E,0))</f>
        <v>Não</v>
      </c>
    </row>
    <row r="23" spans="3:19">
      <c r="C23" s="170">
        <f t="shared" si="0"/>
        <v>20</v>
      </c>
      <c r="D23" s="189" t="s">
        <v>2018</v>
      </c>
      <c r="E23" s="170" t="s">
        <v>1045</v>
      </c>
      <c r="F23" s="170" t="s">
        <v>1886</v>
      </c>
      <c r="G23" s="199" t="s">
        <v>2123</v>
      </c>
      <c r="M23" s="192"/>
      <c r="N23" s="170">
        <f t="shared" si="1"/>
        <v>12</v>
      </c>
      <c r="O23" s="189" t="s">
        <v>2018</v>
      </c>
      <c r="P23" s="170" t="s">
        <v>1045</v>
      </c>
      <c r="Q23" s="170" t="s">
        <v>1886</v>
      </c>
      <c r="R23" s="199" t="s">
        <v>2123</v>
      </c>
      <c r="S23" t="str">
        <f>+INDEX(Pipe!N:N,MATCH(O23,Pipe!E:E,0))</f>
        <v>Não</v>
      </c>
    </row>
    <row r="24" spans="3:19">
      <c r="C24" s="170">
        <f t="shared" si="0"/>
        <v>21</v>
      </c>
      <c r="D24" s="189" t="s">
        <v>2158</v>
      </c>
      <c r="E24" s="170" t="s">
        <v>1045</v>
      </c>
      <c r="F24" s="170" t="s">
        <v>1710</v>
      </c>
      <c r="G24" s="199" t="s">
        <v>2</v>
      </c>
      <c r="M24" s="192"/>
      <c r="N24" s="170">
        <f t="shared" si="1"/>
        <v>13</v>
      </c>
      <c r="O24" s="189" t="s">
        <v>2264</v>
      </c>
      <c r="P24" s="170" t="s">
        <v>1045</v>
      </c>
      <c r="Q24" s="170" t="s">
        <v>2259</v>
      </c>
      <c r="R24" s="199" t="s">
        <v>2350</v>
      </c>
      <c r="S24" t="str">
        <f>+INDEX(Pipe!N:N,MATCH(O24,Pipe!E:E,0))</f>
        <v>Não</v>
      </c>
    </row>
    <row r="25" spans="3:19">
      <c r="C25" s="170">
        <f t="shared" si="0"/>
        <v>22</v>
      </c>
      <c r="D25" s="189" t="s">
        <v>1593</v>
      </c>
      <c r="E25" s="170" t="s">
        <v>1045</v>
      </c>
      <c r="F25" s="170" t="s">
        <v>1725</v>
      </c>
      <c r="G25" s="199" t="s">
        <v>2270</v>
      </c>
      <c r="M25" s="192"/>
      <c r="N25" s="170">
        <f t="shared" si="1"/>
        <v>14</v>
      </c>
      <c r="O25" s="189" t="s">
        <v>2158</v>
      </c>
      <c r="P25" s="170" t="s">
        <v>1045</v>
      </c>
      <c r="Q25" s="170" t="s">
        <v>1710</v>
      </c>
      <c r="R25" s="199" t="s">
        <v>2</v>
      </c>
      <c r="S25" t="str">
        <f>+INDEX(Pipe!N:N,MATCH(O25,Pipe!E:E,0))</f>
        <v>Não</v>
      </c>
    </row>
    <row r="26" spans="3:19">
      <c r="C26" s="170">
        <f t="shared" si="0"/>
        <v>23</v>
      </c>
      <c r="D26" s="189" t="s">
        <v>2216</v>
      </c>
      <c r="E26" s="170" t="s">
        <v>204</v>
      </c>
      <c r="F26" s="170" t="s">
        <v>2255</v>
      </c>
      <c r="G26" s="199" t="s">
        <v>1683</v>
      </c>
      <c r="M26" s="192"/>
      <c r="N26" s="170">
        <f t="shared" si="1"/>
        <v>15</v>
      </c>
      <c r="O26" s="189" t="s">
        <v>1593</v>
      </c>
      <c r="P26" s="170" t="s">
        <v>1045</v>
      </c>
      <c r="Q26" s="170" t="s">
        <v>1725</v>
      </c>
      <c r="R26" s="199" t="s">
        <v>2270</v>
      </c>
      <c r="S26" t="str">
        <f>+INDEX(Pipe!N:N,MATCH(O26,Pipe!E:E,0))</f>
        <v>On Hold</v>
      </c>
    </row>
    <row r="27" spans="3:19">
      <c r="C27" s="170">
        <f t="shared" si="0"/>
        <v>24</v>
      </c>
      <c r="D27" s="189" t="s">
        <v>2157</v>
      </c>
      <c r="E27" s="170" t="s">
        <v>1045</v>
      </c>
      <c r="F27" s="170" t="s">
        <v>1957</v>
      </c>
      <c r="G27" s="199" t="s">
        <v>2262</v>
      </c>
      <c r="M27" s="192"/>
      <c r="N27" s="170">
        <f t="shared" si="1"/>
        <v>16</v>
      </c>
      <c r="O27" s="189" t="s">
        <v>2216</v>
      </c>
      <c r="P27" s="170" t="s">
        <v>204</v>
      </c>
      <c r="Q27" s="170" t="s">
        <v>2255</v>
      </c>
      <c r="R27" s="199" t="s">
        <v>1683</v>
      </c>
      <c r="S27" t="str">
        <f>+INDEX(Pipe!N:N,MATCH(O27,Pipe!E:E,0))</f>
        <v>Não</v>
      </c>
    </row>
    <row r="28" spans="3:19">
      <c r="C28" s="170">
        <f t="shared" si="0"/>
        <v>25</v>
      </c>
      <c r="D28" s="189" t="s">
        <v>2207</v>
      </c>
      <c r="E28" s="170" t="s">
        <v>1045</v>
      </c>
      <c r="F28" s="170" t="s">
        <v>1682</v>
      </c>
      <c r="G28" s="199" t="s">
        <v>2274</v>
      </c>
      <c r="M28" s="192"/>
      <c r="N28" s="170">
        <f t="shared" si="1"/>
        <v>17</v>
      </c>
      <c r="O28" s="189" t="s">
        <v>2157</v>
      </c>
      <c r="P28" s="170" t="s">
        <v>1045</v>
      </c>
      <c r="Q28" s="170" t="s">
        <v>1957</v>
      </c>
      <c r="R28" s="199" t="s">
        <v>2262</v>
      </c>
      <c r="S28" t="str">
        <f>+INDEX(Pipe!N:N,MATCH(O28,Pipe!E:E,0))</f>
        <v>Não</v>
      </c>
    </row>
    <row r="29" spans="3:19">
      <c r="C29" s="170">
        <f t="shared" si="0"/>
        <v>26</v>
      </c>
      <c r="D29" s="189" t="s">
        <v>1617</v>
      </c>
      <c r="E29" s="170" t="s">
        <v>1045</v>
      </c>
      <c r="F29" s="170" t="s">
        <v>1290</v>
      </c>
      <c r="G29" s="198" t="s">
        <v>2359</v>
      </c>
      <c r="M29" s="192"/>
      <c r="N29" s="170">
        <f t="shared" si="1"/>
        <v>18</v>
      </c>
      <c r="O29" s="189" t="s">
        <v>2207</v>
      </c>
      <c r="P29" s="170" t="s">
        <v>1045</v>
      </c>
      <c r="Q29" s="170" t="s">
        <v>1682</v>
      </c>
      <c r="R29" s="199" t="s">
        <v>2274</v>
      </c>
      <c r="S29" t="str">
        <f>+INDEX(Pipe!N:N,MATCH(O29,Pipe!E:E,0))</f>
        <v>On Hold</v>
      </c>
    </row>
    <row r="30" spans="3:19">
      <c r="C30" s="170">
        <f t="shared" si="0"/>
        <v>27</v>
      </c>
      <c r="D30" s="189" t="s">
        <v>1614</v>
      </c>
      <c r="E30" s="170" t="s">
        <v>1045</v>
      </c>
      <c r="F30" s="170" t="s">
        <v>1710</v>
      </c>
      <c r="G30" s="190" t="s">
        <v>2358</v>
      </c>
      <c r="M30" s="192"/>
      <c r="N30" s="170">
        <f t="shared" si="1"/>
        <v>19</v>
      </c>
      <c r="O30" s="189" t="s">
        <v>1617</v>
      </c>
      <c r="P30" s="170" t="s">
        <v>1045</v>
      </c>
      <c r="Q30" s="170" t="s">
        <v>1290</v>
      </c>
      <c r="R30" s="198" t="s">
        <v>2359</v>
      </c>
      <c r="S30" t="str">
        <f>+INDEX(Pipe!N:N,MATCH(O30,Pipe!E:E,0))</f>
        <v>Não</v>
      </c>
    </row>
    <row r="31" spans="3:19">
      <c r="C31" s="170">
        <f t="shared" si="0"/>
        <v>28</v>
      </c>
      <c r="D31" s="189" t="s">
        <v>2263</v>
      </c>
      <c r="E31" s="170" t="s">
        <v>1045</v>
      </c>
      <c r="F31" s="170" t="s">
        <v>1711</v>
      </c>
      <c r="G31" s="190" t="s">
        <v>2323</v>
      </c>
      <c r="M31" s="192"/>
      <c r="N31" s="170">
        <f t="shared" si="1"/>
        <v>20</v>
      </c>
      <c r="O31" s="189" t="s">
        <v>1614</v>
      </c>
      <c r="P31" s="170" t="s">
        <v>1045</v>
      </c>
      <c r="Q31" s="170" t="s">
        <v>1710</v>
      </c>
      <c r="R31" s="190" t="s">
        <v>2358</v>
      </c>
      <c r="S31" t="str">
        <f>+INDEX(Pipe!N:N,MATCH(O31,Pipe!E:E,0))</f>
        <v>On Hold</v>
      </c>
    </row>
    <row r="32" spans="3:19">
      <c r="C32" s="170">
        <f t="shared" si="0"/>
        <v>29</v>
      </c>
      <c r="D32" s="189" t="s">
        <v>2192</v>
      </c>
      <c r="E32" s="170" t="s">
        <v>204</v>
      </c>
      <c r="F32" s="170" t="s">
        <v>2253</v>
      </c>
      <c r="G32" s="190" t="s">
        <v>2272</v>
      </c>
      <c r="M32" s="192"/>
      <c r="N32" s="170">
        <f t="shared" si="1"/>
        <v>21</v>
      </c>
      <c r="O32" s="189" t="s">
        <v>2263</v>
      </c>
      <c r="P32" s="170" t="s">
        <v>1045</v>
      </c>
      <c r="Q32" s="170" t="s">
        <v>1711</v>
      </c>
      <c r="R32" s="190" t="s">
        <v>2323</v>
      </c>
      <c r="S32" t="str">
        <f>+INDEX(Pipe!N:N,MATCH(O32,Pipe!E:E,0))</f>
        <v>Não</v>
      </c>
    </row>
    <row r="33" spans="3:19">
      <c r="C33" s="170">
        <f t="shared" si="0"/>
        <v>30</v>
      </c>
      <c r="D33" s="189" t="s">
        <v>2198</v>
      </c>
      <c r="E33" s="170" t="s">
        <v>329</v>
      </c>
      <c r="F33" s="170" t="s">
        <v>2253</v>
      </c>
      <c r="G33" s="190" t="s">
        <v>2272</v>
      </c>
      <c r="M33" s="192"/>
      <c r="N33" s="170">
        <f t="shared" si="1"/>
        <v>22</v>
      </c>
      <c r="O33" s="189" t="s">
        <v>2192</v>
      </c>
      <c r="P33" s="170" t="s">
        <v>204</v>
      </c>
      <c r="Q33" s="170" t="s">
        <v>2253</v>
      </c>
      <c r="R33" s="190" t="s">
        <v>2272</v>
      </c>
      <c r="S33" t="str">
        <f>+INDEX(Pipe!N:N,MATCH(O33,Pipe!E:E,0))</f>
        <v>Não</v>
      </c>
    </row>
    <row r="34" spans="3:19" ht="28.8">
      <c r="C34" s="170">
        <f t="shared" si="0"/>
        <v>31</v>
      </c>
      <c r="D34" s="189" t="s">
        <v>2076</v>
      </c>
      <c r="E34" s="170" t="s">
        <v>1045</v>
      </c>
      <c r="F34" s="170" t="s">
        <v>2130</v>
      </c>
      <c r="G34" s="198" t="s">
        <v>2356</v>
      </c>
      <c r="M34" s="192"/>
      <c r="N34" s="170">
        <f t="shared" si="1"/>
        <v>23</v>
      </c>
      <c r="O34" s="189" t="s">
        <v>2198</v>
      </c>
      <c r="P34" s="170" t="s">
        <v>329</v>
      </c>
      <c r="Q34" s="170" t="s">
        <v>2253</v>
      </c>
      <c r="R34" s="190" t="s">
        <v>2272</v>
      </c>
      <c r="S34" t="str">
        <f>+INDEX(Pipe!N:N,MATCH(O34,Pipe!E:E,0))</f>
        <v>Não</v>
      </c>
    </row>
    <row r="35" spans="3:19" ht="28.8">
      <c r="C35" s="170">
        <f t="shared" si="0"/>
        <v>32</v>
      </c>
      <c r="D35" s="189" t="s">
        <v>2062</v>
      </c>
      <c r="E35" s="170" t="s">
        <v>204</v>
      </c>
      <c r="F35" s="170" t="s">
        <v>2259</v>
      </c>
      <c r="G35" s="198" t="s">
        <v>2184</v>
      </c>
      <c r="M35" s="192"/>
      <c r="N35" s="170">
        <f t="shared" si="1"/>
        <v>24</v>
      </c>
      <c r="O35" s="189" t="s">
        <v>2076</v>
      </c>
      <c r="P35" s="170" t="s">
        <v>1045</v>
      </c>
      <c r="Q35" s="170" t="s">
        <v>2130</v>
      </c>
      <c r="R35" s="198" t="s">
        <v>2356</v>
      </c>
      <c r="S35" t="str">
        <f>+INDEX(Pipe!N:N,MATCH(O35,Pipe!E:E,0))</f>
        <v>Não</v>
      </c>
    </row>
    <row r="36" spans="3:19">
      <c r="C36" s="170">
        <f t="shared" si="0"/>
        <v>33</v>
      </c>
      <c r="D36" s="189" t="s">
        <v>2249</v>
      </c>
      <c r="E36" s="170" t="s">
        <v>1045</v>
      </c>
      <c r="F36" s="170" t="s">
        <v>2258</v>
      </c>
      <c r="G36" s="190" t="s">
        <v>2316</v>
      </c>
      <c r="M36" s="192"/>
      <c r="N36" s="170">
        <f t="shared" si="1"/>
        <v>25</v>
      </c>
      <c r="O36" s="189" t="s">
        <v>2062</v>
      </c>
      <c r="P36" s="170" t="s">
        <v>204</v>
      </c>
      <c r="Q36" s="170" t="s">
        <v>2259</v>
      </c>
      <c r="R36" s="198" t="s">
        <v>2184</v>
      </c>
      <c r="S36" t="str">
        <f>+INDEX(Pipe!N:N,MATCH(O36,Pipe!E:E,0))</f>
        <v>Não</v>
      </c>
    </row>
    <row r="37" spans="3:19">
      <c r="C37" s="170">
        <f t="shared" si="0"/>
        <v>34</v>
      </c>
      <c r="D37" s="189" t="s">
        <v>2210</v>
      </c>
      <c r="E37" s="170" t="s">
        <v>1045</v>
      </c>
      <c r="F37" s="170" t="s">
        <v>2130</v>
      </c>
      <c r="G37" s="190" t="s">
        <v>2368</v>
      </c>
      <c r="M37" s="192"/>
      <c r="N37" s="170">
        <f t="shared" si="1"/>
        <v>26</v>
      </c>
      <c r="O37" s="189" t="s">
        <v>2249</v>
      </c>
      <c r="P37" s="170" t="s">
        <v>1045</v>
      </c>
      <c r="Q37" s="170" t="s">
        <v>2258</v>
      </c>
      <c r="R37" s="190" t="s">
        <v>2316</v>
      </c>
      <c r="S37" t="str">
        <f>+INDEX(Pipe!N:N,MATCH(O37,Pipe!E:E,0))</f>
        <v>Não</v>
      </c>
    </row>
    <row r="38" spans="3:19" ht="28.8">
      <c r="C38" s="170">
        <f t="shared" si="0"/>
        <v>35</v>
      </c>
      <c r="D38" s="189" t="s">
        <v>2213</v>
      </c>
      <c r="E38" s="170" t="s">
        <v>2101</v>
      </c>
      <c r="F38" s="170" t="s">
        <v>2254</v>
      </c>
      <c r="G38" s="190" t="s">
        <v>2214</v>
      </c>
      <c r="M38" s="192"/>
      <c r="N38" s="170">
        <f t="shared" si="1"/>
        <v>27</v>
      </c>
      <c r="O38" s="189" t="s">
        <v>2210</v>
      </c>
      <c r="P38" s="170" t="s">
        <v>1045</v>
      </c>
      <c r="Q38" s="170" t="s">
        <v>2130</v>
      </c>
      <c r="R38" s="190" t="s">
        <v>2250</v>
      </c>
      <c r="S38" t="str">
        <f>+INDEX(Pipe!N:N,MATCH(O38,Pipe!E:E,0))</f>
        <v>Não</v>
      </c>
    </row>
    <row r="39" spans="3:19" ht="28.8">
      <c r="C39" s="170">
        <f t="shared" si="0"/>
        <v>36</v>
      </c>
      <c r="D39" s="189" t="s">
        <v>2265</v>
      </c>
      <c r="E39" s="170" t="s">
        <v>1045</v>
      </c>
      <c r="F39" s="170" t="s">
        <v>2266</v>
      </c>
      <c r="G39" s="190" t="s">
        <v>2325</v>
      </c>
      <c r="M39" s="192"/>
      <c r="N39" s="170">
        <f t="shared" si="1"/>
        <v>28</v>
      </c>
      <c r="O39" s="189" t="s">
        <v>2213</v>
      </c>
      <c r="P39" s="170" t="s">
        <v>2101</v>
      </c>
      <c r="Q39" s="170" t="s">
        <v>2254</v>
      </c>
      <c r="R39" s="190" t="s">
        <v>2214</v>
      </c>
      <c r="S39" t="str">
        <f>+INDEX(Pipe!N:N,MATCH(O39,Pipe!E:E,0))</f>
        <v>Não</v>
      </c>
    </row>
    <row r="40" spans="3:19" ht="28.8">
      <c r="C40" s="170">
        <f t="shared" si="0"/>
        <v>37</v>
      </c>
      <c r="D40" s="189" t="s">
        <v>2302</v>
      </c>
      <c r="E40" s="170" t="s">
        <v>1045</v>
      </c>
      <c r="F40" s="170" t="s">
        <v>1711</v>
      </c>
      <c r="G40" s="190" t="s">
        <v>2357</v>
      </c>
      <c r="M40" s="192"/>
      <c r="N40" s="170">
        <f t="shared" si="1"/>
        <v>29</v>
      </c>
      <c r="O40" s="189" t="s">
        <v>2265</v>
      </c>
      <c r="P40" s="170" t="s">
        <v>1045</v>
      </c>
      <c r="Q40" s="170" t="s">
        <v>2266</v>
      </c>
      <c r="R40" s="190" t="s">
        <v>2325</v>
      </c>
      <c r="S40" t="str">
        <f>+INDEX(Pipe!N:N,MATCH(O40,Pipe!E:E,0))</f>
        <v>Não</v>
      </c>
    </row>
    <row r="41" spans="3:19" ht="28.8">
      <c r="C41" s="170">
        <f t="shared" si="0"/>
        <v>38</v>
      </c>
      <c r="D41" s="189" t="s">
        <v>2317</v>
      </c>
      <c r="E41" s="170" t="s">
        <v>1045</v>
      </c>
      <c r="F41" s="170" t="s">
        <v>2352</v>
      </c>
      <c r="G41" s="190" t="s">
        <v>2320</v>
      </c>
      <c r="M41" s="192"/>
      <c r="N41" s="170">
        <f t="shared" si="1"/>
        <v>30</v>
      </c>
      <c r="O41" s="189" t="s">
        <v>2302</v>
      </c>
      <c r="P41" s="170" t="s">
        <v>1045</v>
      </c>
      <c r="Q41" s="170" t="s">
        <v>1711</v>
      </c>
      <c r="R41" s="190" t="s">
        <v>2357</v>
      </c>
    </row>
    <row r="42" spans="3:19">
      <c r="M42" s="192"/>
      <c r="N42" s="170">
        <f t="shared" si="1"/>
        <v>31</v>
      </c>
      <c r="O42" s="189" t="s">
        <v>2317</v>
      </c>
      <c r="P42" s="170" t="s">
        <v>1045</v>
      </c>
      <c r="Q42" s="170" t="s">
        <v>2352</v>
      </c>
      <c r="R42" s="190" t="s">
        <v>2320</v>
      </c>
    </row>
    <row r="43" spans="3:19">
      <c r="M43" s="192"/>
    </row>
    <row r="44" spans="3:19">
      <c r="M44" s="192"/>
    </row>
    <row r="45" spans="3:19">
      <c r="M45" s="192"/>
    </row>
    <row r="46" spans="3:19">
      <c r="M46" s="192"/>
      <c r="R46" s="168" t="s">
        <v>2184</v>
      </c>
    </row>
    <row r="47" spans="3:19">
      <c r="D47" s="20" t="s">
        <v>2361</v>
      </c>
      <c r="M47" s="192"/>
      <c r="N47" s="192"/>
      <c r="O47" s="192"/>
      <c r="P47" s="192"/>
      <c r="Q47" s="192"/>
    </row>
    <row r="48" spans="3:19">
      <c r="C48" s="138" t="s">
        <v>7</v>
      </c>
      <c r="D48" s="137" t="s">
        <v>415</v>
      </c>
      <c r="E48" s="138" t="s">
        <v>1659</v>
      </c>
      <c r="F48" s="138" t="s">
        <v>1661</v>
      </c>
      <c r="M48" s="192"/>
      <c r="N48" s="192"/>
      <c r="O48" s="192"/>
      <c r="P48" s="192"/>
      <c r="Q48" s="192"/>
    </row>
    <row r="49" spans="3:17">
      <c r="C49" s="141">
        <v>1</v>
      </c>
      <c r="D49" s="154" t="s">
        <v>2170</v>
      </c>
      <c r="E49" s="141" t="s">
        <v>1623</v>
      </c>
      <c r="F49" s="199" t="s">
        <v>2362</v>
      </c>
      <c r="M49" s="192"/>
      <c r="N49" s="192"/>
      <c r="O49" s="192"/>
      <c r="P49" s="192"/>
      <c r="Q49" s="192"/>
    </row>
    <row r="50" spans="3:17">
      <c r="C50" s="141">
        <f>+C49+1</f>
        <v>2</v>
      </c>
      <c r="D50" s="154" t="s">
        <v>2304</v>
      </c>
      <c r="E50" s="141" t="s">
        <v>1623</v>
      </c>
      <c r="F50" s="199" t="s">
        <v>2362</v>
      </c>
      <c r="M50" s="192"/>
      <c r="N50" s="192"/>
      <c r="O50" s="192"/>
      <c r="P50" s="192"/>
      <c r="Q50" s="192"/>
    </row>
    <row r="51" spans="3:17">
      <c r="C51" s="141">
        <f>+C50+1</f>
        <v>3</v>
      </c>
      <c r="D51" s="154" t="s">
        <v>2363</v>
      </c>
      <c r="E51" s="141" t="s">
        <v>86</v>
      </c>
      <c r="F51" s="199" t="s">
        <v>2362</v>
      </c>
      <c r="M51" s="192"/>
      <c r="N51" s="192"/>
      <c r="O51" s="192"/>
      <c r="P51" s="192"/>
      <c r="Q51" s="192"/>
    </row>
    <row r="52" spans="3:17">
      <c r="C52" s="141">
        <f>+C51+1</f>
        <v>4</v>
      </c>
      <c r="D52" s="154" t="s">
        <v>2282</v>
      </c>
      <c r="E52" s="141" t="s">
        <v>270</v>
      </c>
      <c r="F52" s="199" t="s">
        <v>2</v>
      </c>
      <c r="M52" s="192"/>
      <c r="N52" s="192"/>
      <c r="O52" s="192"/>
      <c r="P52" s="192"/>
      <c r="Q52" s="192"/>
    </row>
    <row r="53" spans="3:17">
      <c r="C53" s="141">
        <f t="shared" ref="C53:C71" si="2">+C52+1</f>
        <v>5</v>
      </c>
      <c r="D53" s="154" t="s">
        <v>2287</v>
      </c>
      <c r="E53" s="141" t="s">
        <v>1919</v>
      </c>
      <c r="F53" s="199" t="s">
        <v>2</v>
      </c>
      <c r="M53" s="192"/>
      <c r="N53" s="192"/>
      <c r="O53" s="192"/>
      <c r="P53" s="192"/>
      <c r="Q53" s="192"/>
    </row>
    <row r="54" spans="3:17">
      <c r="C54" s="141">
        <f t="shared" si="2"/>
        <v>6</v>
      </c>
      <c r="D54" s="154" t="s">
        <v>2331</v>
      </c>
      <c r="E54" s="141" t="s">
        <v>1919</v>
      </c>
      <c r="F54" s="199" t="s">
        <v>2</v>
      </c>
      <c r="M54" s="192"/>
      <c r="N54" s="192"/>
      <c r="O54" s="192"/>
      <c r="P54" s="192"/>
      <c r="Q54" s="192"/>
    </row>
    <row r="55" spans="3:17">
      <c r="C55" s="141">
        <f t="shared" si="2"/>
        <v>7</v>
      </c>
      <c r="D55" s="154" t="s">
        <v>1735</v>
      </c>
      <c r="E55" s="141" t="s">
        <v>270</v>
      </c>
      <c r="F55" s="200" t="s">
        <v>2137</v>
      </c>
      <c r="M55" s="192"/>
      <c r="N55" s="192"/>
      <c r="O55" s="192"/>
      <c r="P55" s="192"/>
      <c r="Q55" s="192"/>
    </row>
    <row r="56" spans="3:17" ht="28.8">
      <c r="C56" s="141">
        <f t="shared" si="2"/>
        <v>8</v>
      </c>
      <c r="D56" s="154" t="s">
        <v>1453</v>
      </c>
      <c r="E56" s="141" t="s">
        <v>270</v>
      </c>
      <c r="F56" s="200" t="s">
        <v>2276</v>
      </c>
      <c r="M56" s="192"/>
      <c r="N56" s="192"/>
      <c r="O56" s="192"/>
      <c r="P56" s="192"/>
      <c r="Q56" s="192"/>
    </row>
    <row r="57" spans="3:17" ht="28.8">
      <c r="C57" s="141">
        <f t="shared" si="2"/>
        <v>9</v>
      </c>
      <c r="D57" s="154" t="s">
        <v>2045</v>
      </c>
      <c r="E57" s="141" t="s">
        <v>270</v>
      </c>
      <c r="F57" s="200" t="s">
        <v>2364</v>
      </c>
      <c r="M57" s="192"/>
      <c r="N57" s="192"/>
      <c r="O57" s="192"/>
      <c r="P57" s="192"/>
      <c r="Q57" s="192"/>
    </row>
    <row r="58" spans="3:17">
      <c r="C58" s="141">
        <f t="shared" si="2"/>
        <v>10</v>
      </c>
      <c r="D58" s="154" t="s">
        <v>2365</v>
      </c>
      <c r="E58" s="141" t="s">
        <v>320</v>
      </c>
      <c r="F58" s="198" t="s">
        <v>1976</v>
      </c>
      <c r="M58" s="192"/>
      <c r="N58" s="192"/>
      <c r="O58" s="192"/>
      <c r="P58" s="192"/>
      <c r="Q58" s="192"/>
    </row>
    <row r="59" spans="3:17">
      <c r="C59" s="141">
        <f t="shared" si="2"/>
        <v>11</v>
      </c>
      <c r="D59" s="154" t="s">
        <v>1940</v>
      </c>
      <c r="E59" s="141" t="s">
        <v>440</v>
      </c>
      <c r="F59" s="198" t="s">
        <v>1976</v>
      </c>
      <c r="M59" s="192"/>
      <c r="N59" s="192"/>
      <c r="O59" s="192"/>
      <c r="P59" s="192"/>
      <c r="Q59" s="192"/>
    </row>
    <row r="60" spans="3:17">
      <c r="C60" s="141">
        <f t="shared" si="2"/>
        <v>12</v>
      </c>
      <c r="D60" s="154" t="s">
        <v>2094</v>
      </c>
      <c r="E60" s="141" t="s">
        <v>270</v>
      </c>
      <c r="F60" s="198" t="s">
        <v>1976</v>
      </c>
      <c r="M60" s="192"/>
      <c r="N60" s="192"/>
      <c r="O60" s="192"/>
      <c r="P60" s="192"/>
      <c r="Q60" s="192"/>
    </row>
    <row r="61" spans="3:17">
      <c r="C61" s="141">
        <f t="shared" si="2"/>
        <v>13</v>
      </c>
      <c r="D61" s="154" t="s">
        <v>1640</v>
      </c>
      <c r="E61" s="141" t="s">
        <v>1623</v>
      </c>
      <c r="F61" s="198" t="s">
        <v>1976</v>
      </c>
      <c r="M61" s="192"/>
      <c r="N61" s="192"/>
      <c r="O61" s="192"/>
      <c r="P61" s="192"/>
      <c r="Q61" s="192"/>
    </row>
    <row r="62" spans="3:17">
      <c r="C62" s="141">
        <f t="shared" si="2"/>
        <v>14</v>
      </c>
      <c r="D62" s="154" t="s">
        <v>1641</v>
      </c>
      <c r="E62" s="141" t="s">
        <v>1623</v>
      </c>
      <c r="F62" s="198" t="s">
        <v>1976</v>
      </c>
      <c r="M62" s="192"/>
      <c r="N62" s="192"/>
      <c r="O62" s="192"/>
      <c r="P62" s="192"/>
      <c r="Q62" s="192"/>
    </row>
    <row r="63" spans="3:17">
      <c r="C63" s="141">
        <f t="shared" si="2"/>
        <v>15</v>
      </c>
      <c r="D63" s="154" t="s">
        <v>2244</v>
      </c>
      <c r="E63" s="141" t="s">
        <v>807</v>
      </c>
      <c r="F63" s="198" t="s">
        <v>1976</v>
      </c>
    </row>
    <row r="64" spans="3:17">
      <c r="C64" s="141">
        <f t="shared" si="2"/>
        <v>16</v>
      </c>
      <c r="D64" s="154" t="s">
        <v>2292</v>
      </c>
      <c r="E64" s="141" t="s">
        <v>1919</v>
      </c>
      <c r="F64" s="198" t="s">
        <v>1976</v>
      </c>
    </row>
    <row r="65" spans="3:7">
      <c r="C65" s="141">
        <f t="shared" si="2"/>
        <v>17</v>
      </c>
      <c r="D65" s="154" t="s">
        <v>2294</v>
      </c>
      <c r="E65" s="141" t="s">
        <v>1919</v>
      </c>
      <c r="F65" s="198" t="s">
        <v>1976</v>
      </c>
    </row>
    <row r="66" spans="3:7">
      <c r="C66" s="141">
        <f t="shared" si="2"/>
        <v>18</v>
      </c>
      <c r="D66" s="154" t="s">
        <v>1526</v>
      </c>
      <c r="E66" s="141" t="s">
        <v>807</v>
      </c>
      <c r="F66" s="198" t="s">
        <v>1976</v>
      </c>
    </row>
    <row r="67" spans="3:7">
      <c r="C67" s="141">
        <f t="shared" si="2"/>
        <v>19</v>
      </c>
      <c r="D67" s="154" t="s">
        <v>1619</v>
      </c>
      <c r="E67" s="141" t="s">
        <v>444</v>
      </c>
      <c r="F67" s="198" t="s">
        <v>1976</v>
      </c>
    </row>
    <row r="68" spans="3:7">
      <c r="C68" s="141">
        <f t="shared" si="2"/>
        <v>20</v>
      </c>
      <c r="D68" s="154" t="s">
        <v>1636</v>
      </c>
      <c r="E68" s="141" t="s">
        <v>270</v>
      </c>
      <c r="F68" s="198" t="s">
        <v>1976</v>
      </c>
    </row>
    <row r="69" spans="3:7">
      <c r="C69" s="141">
        <f t="shared" si="2"/>
        <v>21</v>
      </c>
      <c r="D69" s="154" t="s">
        <v>2115</v>
      </c>
      <c r="E69" s="141" t="s">
        <v>270</v>
      </c>
      <c r="F69" s="198" t="s">
        <v>1976</v>
      </c>
    </row>
    <row r="70" spans="3:7">
      <c r="C70" s="141">
        <f t="shared" si="2"/>
        <v>22</v>
      </c>
      <c r="D70" s="154" t="s">
        <v>2215</v>
      </c>
      <c r="E70" s="141" t="s">
        <v>270</v>
      </c>
      <c r="F70" s="198" t="s">
        <v>1976</v>
      </c>
      <c r="G70">
        <f>70*99%</f>
        <v>69.3</v>
      </c>
    </row>
    <row r="71" spans="3:7">
      <c r="C71" s="141">
        <f t="shared" si="2"/>
        <v>23</v>
      </c>
      <c r="D71" s="154" t="s">
        <v>2243</v>
      </c>
      <c r="E71" s="141" t="s">
        <v>807</v>
      </c>
      <c r="F71" s="198" t="s">
        <v>1976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DF56-C769-442F-A9CE-1E12D40B8782}">
  <sheetPr codeName="Sheet12">
    <pageSetUpPr autoPageBreaks="0"/>
  </sheetPr>
  <dimension ref="C2:O154"/>
  <sheetViews>
    <sheetView showGridLines="0" zoomScaleNormal="100" workbookViewId="0">
      <selection activeCell="D24" activeCellId="2" sqref="D6 D7 D24"/>
    </sheetView>
  </sheetViews>
  <sheetFormatPr defaultRowHeight="14.4"/>
  <cols>
    <col min="1" max="2" width="1.6640625" customWidth="1"/>
    <col min="3" max="3" width="3" bestFit="1" customWidth="1"/>
    <col min="4" max="4" width="47.33203125" bestFit="1" customWidth="1"/>
    <col min="5" max="5" width="24" bestFit="1" customWidth="1"/>
    <col min="6" max="6" width="25.5546875" customWidth="1"/>
    <col min="7" max="7" width="54.6640625" customWidth="1"/>
    <col min="9" max="9" width="23.5546875" bestFit="1" customWidth="1"/>
    <col min="12" max="12" width="29" bestFit="1" customWidth="1"/>
    <col min="13" max="13" width="47.33203125" bestFit="1" customWidth="1"/>
    <col min="14" max="14" width="23.5546875" bestFit="1" customWidth="1"/>
  </cols>
  <sheetData>
    <row r="2" spans="3:15">
      <c r="D2" s="20" t="s">
        <v>2267</v>
      </c>
    </row>
    <row r="3" spans="3:15">
      <c r="C3" s="138" t="s">
        <v>7</v>
      </c>
      <c r="D3" s="156" t="s">
        <v>1658</v>
      </c>
      <c r="E3" s="138" t="s">
        <v>1659</v>
      </c>
      <c r="F3" s="138" t="s">
        <v>1660</v>
      </c>
      <c r="G3" s="138" t="s">
        <v>1661</v>
      </c>
      <c r="I3" s="191" t="s">
        <v>1657</v>
      </c>
      <c r="J3" s="24">
        <v>9</v>
      </c>
      <c r="M3" s="192"/>
      <c r="N3" s="24"/>
    </row>
    <row r="4" spans="3:15">
      <c r="C4" s="170">
        <v>1</v>
      </c>
      <c r="D4" s="189" t="s">
        <v>1617</v>
      </c>
      <c r="E4" s="170" t="s">
        <v>1045</v>
      </c>
      <c r="F4" s="170" t="s">
        <v>1290</v>
      </c>
      <c r="G4" s="166" t="s">
        <v>2277</v>
      </c>
      <c r="I4" t="s">
        <v>1664</v>
      </c>
      <c r="J4" s="24">
        <v>10</v>
      </c>
      <c r="M4" s="26" t="s">
        <v>2102</v>
      </c>
      <c r="N4" s="24" t="str">
        <f>INDEX($G$4:$G$72,MATCH(M4,$D$4:$D$72,0))</f>
        <v>Pouca garantia, capacidade de pagamento</v>
      </c>
      <c r="O4" t="str">
        <f>+INDEX(Pipe!N:N,MATCH(M4,Pipe!E:E,0))</f>
        <v>Não</v>
      </c>
    </row>
    <row r="5" spans="3:15">
      <c r="C5" s="170">
        <f>+C4+1</f>
        <v>2</v>
      </c>
      <c r="D5" s="189" t="s">
        <v>2268</v>
      </c>
      <c r="E5" s="170" t="s">
        <v>1045</v>
      </c>
      <c r="F5" s="170" t="s">
        <v>1717</v>
      </c>
      <c r="G5" s="199" t="s">
        <v>2261</v>
      </c>
      <c r="I5" s="26" t="s">
        <v>1667</v>
      </c>
      <c r="J5" s="24">
        <v>8</v>
      </c>
      <c r="M5" s="26" t="s">
        <v>2105</v>
      </c>
      <c r="N5" s="24" t="str">
        <f>INDEX($G$4:$G$72,MATCH(M5,$D$4:$D$72,0))</f>
        <v>Pouco ativo, sem garantia e cheque pequeno</v>
      </c>
      <c r="O5" t="str">
        <f>+INDEX(Pipe!N:N,MATCH(M5,Pipe!E:E,0))</f>
        <v>Não</v>
      </c>
    </row>
    <row r="6" spans="3:15">
      <c r="C6" s="170">
        <f t="shared" ref="C6:C42" si="0">+C5+1</f>
        <v>3</v>
      </c>
      <c r="D6" s="189" t="s">
        <v>2263</v>
      </c>
      <c r="E6" s="170" t="s">
        <v>1045</v>
      </c>
      <c r="F6" s="170" t="s">
        <v>1711</v>
      </c>
      <c r="G6" s="199" t="s">
        <v>2</v>
      </c>
      <c r="I6" t="s">
        <v>1982</v>
      </c>
      <c r="J6" s="24">
        <v>32</v>
      </c>
      <c r="M6" s="26"/>
      <c r="N6" s="24"/>
    </row>
    <row r="7" spans="3:15">
      <c r="C7" s="170">
        <f t="shared" si="0"/>
        <v>4</v>
      </c>
      <c r="D7" s="189" t="s">
        <v>2264</v>
      </c>
      <c r="E7" s="170" t="s">
        <v>1045</v>
      </c>
      <c r="F7" s="170" t="s">
        <v>2259</v>
      </c>
      <c r="G7" s="199" t="s">
        <v>2</v>
      </c>
      <c r="I7" s="179" t="s">
        <v>1983</v>
      </c>
      <c r="J7" s="180">
        <f>+J3-J4-J5+J6</f>
        <v>23</v>
      </c>
      <c r="N7" s="24" t="str">
        <f>INDEX($G$4:$G$72,MATCH(D9,$D$4:$D$72,0))</f>
        <v>Em análise das matrículas</v>
      </c>
      <c r="O7" t="e">
        <f>+INDEX(Pipe!N:N,MATCH(D9,Pipe!E:E,0))</f>
        <v>#N/A</v>
      </c>
    </row>
    <row r="8" spans="3:15">
      <c r="C8" s="170">
        <f t="shared" si="0"/>
        <v>5</v>
      </c>
      <c r="D8" s="189" t="s">
        <v>2158</v>
      </c>
      <c r="E8" s="170" t="s">
        <v>1045</v>
      </c>
      <c r="F8" s="170" t="s">
        <v>1710</v>
      </c>
      <c r="G8" s="199" t="s">
        <v>2</v>
      </c>
      <c r="N8" s="24" t="str">
        <f>INDEX($G$4:$G$72,MATCH(D5,$D$4:$D$72,0))</f>
        <v>Proposta enviada</v>
      </c>
      <c r="O8" t="e">
        <f>+INDEX(Pipe!N:N,MATCH(D5,Pipe!E:E,0))</f>
        <v>#N/A</v>
      </c>
    </row>
    <row r="9" spans="3:15">
      <c r="C9" s="170">
        <f t="shared" si="0"/>
        <v>6</v>
      </c>
      <c r="D9" s="189" t="s">
        <v>2273</v>
      </c>
      <c r="E9" s="170" t="s">
        <v>1045</v>
      </c>
      <c r="F9" s="170" t="s">
        <v>1290</v>
      </c>
      <c r="G9" s="199" t="s">
        <v>2260</v>
      </c>
      <c r="N9" s="24" t="e">
        <f>INDEX($G$4:$G$72,MATCH(#REF!,$D$4:$D$72,0))</f>
        <v>#REF!</v>
      </c>
      <c r="O9" t="e">
        <f>+INDEX(Pipe!N:N,MATCH(#REF!,Pipe!E:E,0))</f>
        <v>#REF!</v>
      </c>
    </row>
    <row r="10" spans="3:15">
      <c r="C10" s="170">
        <f t="shared" si="0"/>
        <v>7</v>
      </c>
      <c r="D10" s="189" t="s">
        <v>2192</v>
      </c>
      <c r="E10" s="170" t="s">
        <v>204</v>
      </c>
      <c r="F10" s="170" t="s">
        <v>2253</v>
      </c>
      <c r="G10" s="199" t="s">
        <v>2272</v>
      </c>
      <c r="N10" s="24" t="e">
        <f>INDEX($G$4:$G$72,MATCH(#REF!,$D$4:$D$72,0))</f>
        <v>#REF!</v>
      </c>
      <c r="O10" t="e">
        <f>+INDEX(Pipe!N:N,MATCH(#REF!,Pipe!E:E,0))</f>
        <v>#REF!</v>
      </c>
    </row>
    <row r="11" spans="3:15">
      <c r="C11" s="170">
        <f t="shared" si="0"/>
        <v>8</v>
      </c>
      <c r="D11" s="189" t="s">
        <v>2198</v>
      </c>
      <c r="E11" s="170" t="s">
        <v>329</v>
      </c>
      <c r="F11" s="170" t="s">
        <v>2253</v>
      </c>
      <c r="G11" s="199" t="s">
        <v>2272</v>
      </c>
      <c r="N11" s="24" t="str">
        <f>INDEX($G$4:$G$72,MATCH(D29,$D$4:$D$72,0))</f>
        <v>Com risco, nao consegue executar (risco maior com a Orizon)</v>
      </c>
      <c r="O11" t="str">
        <f>+INDEX(Pipe!N:N,MATCH(D29,Pipe!E:E,0))</f>
        <v>Não</v>
      </c>
    </row>
    <row r="12" spans="3:15">
      <c r="C12" s="170">
        <f t="shared" si="0"/>
        <v>9</v>
      </c>
      <c r="D12" s="189" t="s">
        <v>923</v>
      </c>
      <c r="E12" s="170" t="s">
        <v>1045</v>
      </c>
      <c r="F12" s="170" t="s">
        <v>2256</v>
      </c>
      <c r="G12" s="199" t="s">
        <v>1683</v>
      </c>
      <c r="N12" s="24" t="str">
        <f>INDEX($G$4:$G$72,MATCH(D23,$D$4:$D$72,0))</f>
        <v>NDA pendente de assinatura</v>
      </c>
      <c r="O12" t="str">
        <f>+INDEX(Pipe!N:N,MATCH(D23,Pipe!E:E,0))</f>
        <v>Não</v>
      </c>
    </row>
    <row r="13" spans="3:15">
      <c r="C13" s="170">
        <f t="shared" si="0"/>
        <v>10</v>
      </c>
      <c r="D13" s="189" t="s">
        <v>2018</v>
      </c>
      <c r="E13" s="170" t="s">
        <v>1045</v>
      </c>
      <c r="F13" s="170" t="s">
        <v>1886</v>
      </c>
      <c r="G13" s="199" t="s">
        <v>2123</v>
      </c>
      <c r="N13" s="24" t="str">
        <f>INDEX($G$4:$G$72,MATCH(D8,$D$4:$D$72,0))</f>
        <v>Em análise</v>
      </c>
      <c r="O13" t="str">
        <f>+INDEX(Pipe!N:N,MATCH(D8,Pipe!E:E,0))</f>
        <v>Não</v>
      </c>
    </row>
    <row r="14" spans="3:15">
      <c r="C14" s="170">
        <f t="shared" si="0"/>
        <v>11</v>
      </c>
      <c r="D14" s="189" t="s">
        <v>973</v>
      </c>
      <c r="E14" s="170" t="s">
        <v>2139</v>
      </c>
      <c r="F14" s="170" t="s">
        <v>1763</v>
      </c>
      <c r="G14" s="200" t="s">
        <v>2269</v>
      </c>
      <c r="N14" s="24" t="str">
        <f>INDEX($G$4:$G$72,MATCH(D30,$D$4:$D$72,0))</f>
        <v>Pouca garantia, capacidade de pagamento</v>
      </c>
      <c r="O14" t="str">
        <f>+INDEX(Pipe!N:N,MATCH(D30,Pipe!E:E,0))</f>
        <v>Não</v>
      </c>
    </row>
    <row r="15" spans="3:15">
      <c r="C15" s="170">
        <f t="shared" si="0"/>
        <v>12</v>
      </c>
      <c r="D15" s="189" t="s">
        <v>1593</v>
      </c>
      <c r="E15" s="170" t="s">
        <v>1045</v>
      </c>
      <c r="F15" s="170" t="s">
        <v>1725</v>
      </c>
      <c r="G15" s="200" t="s">
        <v>2270</v>
      </c>
      <c r="N15" s="24" t="str">
        <f>INDEX($G$4:$G$72,MATCH(D31,$D$4:$D$72,0))</f>
        <v>Operação sem perfil do fundo</v>
      </c>
      <c r="O15" t="str">
        <f>+INDEX(Pipe!N:N,MATCH(D31,Pipe!E:E,0))</f>
        <v>Não</v>
      </c>
    </row>
    <row r="16" spans="3:15">
      <c r="C16" s="170">
        <f t="shared" si="0"/>
        <v>13</v>
      </c>
      <c r="D16" s="189" t="s">
        <v>1616</v>
      </c>
      <c r="E16" s="170" t="s">
        <v>329</v>
      </c>
      <c r="F16" s="170" t="s">
        <v>1763</v>
      </c>
      <c r="G16" s="200" t="s">
        <v>2121</v>
      </c>
      <c r="N16" s="24" t="str">
        <f>INDEX($G$4:$G$72,MATCH(D10,$D$4:$D$72,0))</f>
        <v>Aguardando Cia sobre renegociação de prazos do PRJ</v>
      </c>
      <c r="O16" t="str">
        <f>+INDEX(Pipe!N:N,MATCH(D10,Pipe!E:E,0))</f>
        <v>Não</v>
      </c>
    </row>
    <row r="17" spans="3:15" ht="28.8">
      <c r="C17" s="170">
        <f t="shared" si="0"/>
        <v>14</v>
      </c>
      <c r="D17" s="189" t="s">
        <v>2076</v>
      </c>
      <c r="E17" s="170" t="s">
        <v>1045</v>
      </c>
      <c r="F17" s="170" t="s">
        <v>2130</v>
      </c>
      <c r="G17" s="200" t="s">
        <v>2271</v>
      </c>
      <c r="N17" s="24" t="str">
        <f>INDEX($G$4:$G$72,MATCH(D11,$D$4:$D$72,0))</f>
        <v>Aguardando Cia sobre renegociação de prazos do PRJ</v>
      </c>
      <c r="O17" t="str">
        <f>+INDEX(Pipe!N:N,MATCH(D11,Pipe!E:E,0))</f>
        <v>Não</v>
      </c>
    </row>
    <row r="18" spans="3:15">
      <c r="C18" s="170">
        <f t="shared" si="0"/>
        <v>15</v>
      </c>
      <c r="D18" s="189" t="s">
        <v>2062</v>
      </c>
      <c r="E18" s="170" t="s">
        <v>204</v>
      </c>
      <c r="F18" s="170" t="s">
        <v>2259</v>
      </c>
      <c r="G18" s="200" t="s">
        <v>2</v>
      </c>
      <c r="N18" s="24" t="str">
        <f>INDEX($G$4:$G$72,MATCH(D19,$D$4:$D$72,0))</f>
        <v>Em análise</v>
      </c>
      <c r="O18" t="str">
        <f>+INDEX(Pipe!N:N,MATCH(D19,Pipe!E:E,0))</f>
        <v>Não</v>
      </c>
    </row>
    <row r="19" spans="3:15">
      <c r="C19" s="170">
        <f t="shared" si="0"/>
        <v>16</v>
      </c>
      <c r="D19" s="189" t="s">
        <v>2249</v>
      </c>
      <c r="E19" s="170" t="s">
        <v>1045</v>
      </c>
      <c r="F19" s="170" t="s">
        <v>2258</v>
      </c>
      <c r="G19" s="199" t="s">
        <v>2</v>
      </c>
      <c r="N19" s="24" t="str">
        <f>INDEX($G$4:$G$72,MATCH(D32,$D$4:$D$72,0))</f>
        <v>Operação sem perfil do fundo</v>
      </c>
      <c r="O19" t="str">
        <f>+INDEX(Pipe!N:N,MATCH(D32,Pipe!E:E,0))</f>
        <v>Não</v>
      </c>
    </row>
    <row r="20" spans="3:15">
      <c r="C20" s="170">
        <f t="shared" si="0"/>
        <v>17</v>
      </c>
      <c r="D20" s="189" t="s">
        <v>2210</v>
      </c>
      <c r="E20" s="170" t="s">
        <v>1045</v>
      </c>
      <c r="F20" s="170" t="s">
        <v>2130</v>
      </c>
      <c r="G20" s="199" t="s">
        <v>2</v>
      </c>
      <c r="N20" s="24" t="str">
        <f>INDEX($G$4:$G$72,MATCH(D25,$D$4:$D$72,0))</f>
        <v>Aguardando resolução da transação tributária</v>
      </c>
      <c r="O20" t="str">
        <f>+INDEX(Pipe!N:N,MATCH(D25,Pipe!E:E,0))</f>
        <v>On Hold</v>
      </c>
    </row>
    <row r="21" spans="3:15">
      <c r="C21" s="170">
        <f t="shared" si="0"/>
        <v>18</v>
      </c>
      <c r="D21" s="189" t="s">
        <v>2213</v>
      </c>
      <c r="E21" s="170" t="s">
        <v>2101</v>
      </c>
      <c r="F21" s="170" t="s">
        <v>2254</v>
      </c>
      <c r="G21" s="199" t="s">
        <v>1683</v>
      </c>
      <c r="N21" s="24" t="str">
        <f>INDEX($G$4:$G$72,MATCH(D20,$D$4:$D$72,0))</f>
        <v>Em análise</v>
      </c>
      <c r="O21" t="str">
        <f>+INDEX(Pipe!N:N,MATCH(D20,Pipe!E:E,0))</f>
        <v>Não</v>
      </c>
    </row>
    <row r="22" spans="3:15">
      <c r="C22" s="170">
        <f t="shared" si="0"/>
        <v>19</v>
      </c>
      <c r="D22" s="189" t="s">
        <v>2216</v>
      </c>
      <c r="E22" s="170" t="s">
        <v>204</v>
      </c>
      <c r="F22" s="170" t="s">
        <v>2255</v>
      </c>
      <c r="G22" s="199" t="s">
        <v>1683</v>
      </c>
      <c r="N22" s="24" t="str">
        <f>INDEX($G$4:$G$72,MATCH(D21,$D$4:$D$72,0))</f>
        <v>Aguardando envio de informações</v>
      </c>
      <c r="O22" t="str">
        <f>+INDEX(Pipe!N:N,MATCH(D21,Pipe!E:E,0))</f>
        <v>Não</v>
      </c>
    </row>
    <row r="23" spans="3:15">
      <c r="C23" s="170">
        <f t="shared" si="0"/>
        <v>20</v>
      </c>
      <c r="D23" s="189" t="s">
        <v>2157</v>
      </c>
      <c r="E23" s="170" t="s">
        <v>1045</v>
      </c>
      <c r="F23" s="170" t="s">
        <v>1957</v>
      </c>
      <c r="G23" s="199" t="s">
        <v>2262</v>
      </c>
      <c r="N23" s="24" t="str">
        <f>INDEX($G$4:$G$72,MATCH(D22,$D$4:$D$72,0))</f>
        <v>Aguardando envio de informações</v>
      </c>
      <c r="O23" t="str">
        <f>+INDEX(Pipe!N:N,MATCH(D22,Pipe!E:E,0))</f>
        <v>Não</v>
      </c>
    </row>
    <row r="24" spans="3:15">
      <c r="C24" s="170">
        <f t="shared" si="0"/>
        <v>21</v>
      </c>
      <c r="D24" s="189" t="s">
        <v>2265</v>
      </c>
      <c r="E24" s="170" t="s">
        <v>1045</v>
      </c>
      <c r="F24" s="170" t="s">
        <v>2266</v>
      </c>
      <c r="G24" s="199" t="s">
        <v>2</v>
      </c>
      <c r="N24" s="24" t="str">
        <f>INDEX($G$4:$G$72,MATCH(D12,$D$4:$D$72,0))</f>
        <v>Aguardando envio de informações</v>
      </c>
      <c r="O24" t="str">
        <f>+INDEX(Pipe!N:N,MATCH(D12,Pipe!E:E,0))</f>
        <v>Não</v>
      </c>
    </row>
    <row r="25" spans="3:15">
      <c r="C25" s="170">
        <f t="shared" si="0"/>
        <v>22</v>
      </c>
      <c r="D25" s="189" t="s">
        <v>2207</v>
      </c>
      <c r="E25" s="170" t="s">
        <v>1045</v>
      </c>
      <c r="F25" s="170" t="s">
        <v>1682</v>
      </c>
      <c r="G25" s="199" t="s">
        <v>2274</v>
      </c>
    </row>
    <row r="26" spans="3:15">
      <c r="C26" s="170">
        <f t="shared" si="0"/>
        <v>23</v>
      </c>
      <c r="D26" s="189" t="s">
        <v>1614</v>
      </c>
      <c r="E26" s="170" t="s">
        <v>1045</v>
      </c>
      <c r="F26" s="170" t="s">
        <v>1710</v>
      </c>
      <c r="G26" s="199" t="s">
        <v>1963</v>
      </c>
    </row>
    <row r="27" spans="3:15">
      <c r="C27" s="170">
        <f t="shared" si="0"/>
        <v>24</v>
      </c>
      <c r="D27" s="189" t="s">
        <v>1524</v>
      </c>
      <c r="E27" s="170" t="s">
        <v>329</v>
      </c>
      <c r="F27" s="170" t="s">
        <v>1711</v>
      </c>
      <c r="G27" s="168" t="s">
        <v>2250</v>
      </c>
    </row>
    <row r="28" spans="3:15">
      <c r="C28" s="170">
        <f t="shared" si="0"/>
        <v>25</v>
      </c>
      <c r="D28" s="189" t="s">
        <v>2102</v>
      </c>
      <c r="E28" s="170" t="s">
        <v>329</v>
      </c>
      <c r="F28" s="170" t="s">
        <v>1716</v>
      </c>
      <c r="G28" s="168" t="s">
        <v>2184</v>
      </c>
    </row>
    <row r="29" spans="3:15">
      <c r="C29" s="170">
        <f t="shared" si="0"/>
        <v>26</v>
      </c>
      <c r="D29" s="189" t="s">
        <v>2155</v>
      </c>
      <c r="E29" s="170" t="s">
        <v>1045</v>
      </c>
      <c r="F29" s="170" t="s">
        <v>2257</v>
      </c>
      <c r="G29" s="168" t="s">
        <v>2172</v>
      </c>
    </row>
    <row r="30" spans="3:15">
      <c r="C30" s="170">
        <f t="shared" si="0"/>
        <v>27</v>
      </c>
      <c r="D30" s="189" t="s">
        <v>2182</v>
      </c>
      <c r="E30" s="170" t="s">
        <v>1045</v>
      </c>
      <c r="F30" s="170" t="s">
        <v>1290</v>
      </c>
      <c r="G30" s="168" t="s">
        <v>2184</v>
      </c>
    </row>
    <row r="31" spans="3:15">
      <c r="C31" s="170">
        <f t="shared" si="0"/>
        <v>28</v>
      </c>
      <c r="D31" s="189" t="s">
        <v>2189</v>
      </c>
      <c r="E31" s="170" t="s">
        <v>1045</v>
      </c>
      <c r="F31" s="170"/>
      <c r="G31" s="168" t="s">
        <v>2236</v>
      </c>
      <c r="M31" t="str">
        <f>+INDEX(Pipe!N:N,MATCH(Vertical_2509!D33,Pipe!E:E,0))</f>
        <v>Não</v>
      </c>
      <c r="N31" t="str">
        <f>+INDEX(Pipe!P:P,MATCH(Vertical_2509!D33,Pipe!E:E,0))</f>
        <v>Vamos negar, risco de fraude devido a cf de recebiveis pouco antes da RJ</v>
      </c>
    </row>
    <row r="32" spans="3:15">
      <c r="C32" s="170">
        <f t="shared" si="0"/>
        <v>29</v>
      </c>
      <c r="D32" s="189" t="s">
        <v>2203</v>
      </c>
      <c r="E32" s="170" t="s">
        <v>1045</v>
      </c>
      <c r="F32" s="170" t="s">
        <v>1682</v>
      </c>
      <c r="G32" s="168" t="s">
        <v>2236</v>
      </c>
      <c r="M32" t="str">
        <f>+INDEX(Pipe!N:N,MATCH(Vertical_2509!D34,Pipe!E:E,0))</f>
        <v>Não</v>
      </c>
      <c r="N32">
        <f>+INDEX(Pipe!P:P,MATCH(Vertical_2509!D34,Pipe!E:E,0))</f>
        <v>0</v>
      </c>
    </row>
    <row r="33" spans="3:14">
      <c r="C33" s="170">
        <f t="shared" si="0"/>
        <v>30</v>
      </c>
      <c r="D33" s="189" t="s">
        <v>1620</v>
      </c>
      <c r="E33" s="170" t="s">
        <v>329</v>
      </c>
      <c r="F33" s="170" t="s">
        <v>1950</v>
      </c>
      <c r="G33" s="168" t="s">
        <v>2252</v>
      </c>
    </row>
    <row r="34" spans="3:14">
      <c r="C34" s="170">
        <f t="shared" si="0"/>
        <v>31</v>
      </c>
      <c r="D34" s="189" t="s">
        <v>2066</v>
      </c>
      <c r="E34" s="170" t="s">
        <v>204</v>
      </c>
      <c r="F34" s="170" t="s">
        <v>2134</v>
      </c>
      <c r="G34" s="168" t="s">
        <v>2250</v>
      </c>
      <c r="N34" t="str">
        <f>+INDEX(Pipe!P:P,MATCH(Vertical_2509!D14,Pipe!E:E,0))</f>
        <v>Entedemos que o trabalho de turnaround está sendo executado, mas o caso depende de esforço comercial e melhoria operacional para parar de pé. Em casos assim, precisaríamos de uma estrutura de garantias mais robusta para prosseguirmos com a operação.</v>
      </c>
    </row>
    <row r="35" spans="3:14">
      <c r="C35" s="170">
        <f t="shared" si="0"/>
        <v>32</v>
      </c>
      <c r="D35" s="189" t="s">
        <v>2135</v>
      </c>
      <c r="E35" s="170" t="s">
        <v>204</v>
      </c>
      <c r="F35" s="170"/>
      <c r="G35" s="168" t="s">
        <v>2251</v>
      </c>
    </row>
    <row r="36" spans="3:14">
      <c r="C36" s="170">
        <f t="shared" si="0"/>
        <v>33</v>
      </c>
      <c r="D36" s="189" t="s">
        <v>2038</v>
      </c>
      <c r="E36" s="170" t="s">
        <v>329</v>
      </c>
      <c r="F36" s="170" t="s">
        <v>1725</v>
      </c>
      <c r="G36" s="168" t="s">
        <v>2223</v>
      </c>
      <c r="M36" t="str">
        <f>+INDEX(Pipe!N:N,MATCH(Vertical_2509!D36,Pipe!E:E,0))</f>
        <v>Não</v>
      </c>
      <c r="N36" t="str">
        <f>+INDEX(Pipe!P:P,MATCH(Vertical_2509!D36,Pipe!E:E,0))</f>
        <v>Garantias não suficientes</v>
      </c>
    </row>
    <row r="37" spans="3:14">
      <c r="C37" s="170">
        <f t="shared" si="0"/>
        <v>34</v>
      </c>
      <c r="D37" s="189" t="s">
        <v>2024</v>
      </c>
      <c r="E37" s="170" t="s">
        <v>1045</v>
      </c>
      <c r="F37" s="170" t="s">
        <v>1290</v>
      </c>
      <c r="G37" s="168" t="s">
        <v>2142</v>
      </c>
    </row>
    <row r="38" spans="3:14">
      <c r="C38" s="170">
        <f t="shared" si="0"/>
        <v>35</v>
      </c>
      <c r="D38" s="189" t="s">
        <v>2061</v>
      </c>
      <c r="E38" s="170" t="s">
        <v>204</v>
      </c>
      <c r="F38" s="170" t="s">
        <v>2136</v>
      </c>
      <c r="G38" s="168" t="s">
        <v>2250</v>
      </c>
      <c r="M38" t="str">
        <f>+INDEX(Pipe!N:N,MATCH(Vertical_2509!D37,Pipe!E:E,0))</f>
        <v>Não</v>
      </c>
      <c r="N38" t="str">
        <f>+INDEX(Pipe!P:P,MATCH(Vertical_2509!D37,Pipe!E:E,0))</f>
        <v>Pouca garantia e taxa baixa</v>
      </c>
    </row>
    <row r="39" spans="3:14">
      <c r="C39" s="170">
        <f t="shared" si="0"/>
        <v>36</v>
      </c>
      <c r="D39" s="189" t="s">
        <v>2105</v>
      </c>
      <c r="E39" s="170" t="s">
        <v>329</v>
      </c>
      <c r="F39" s="170" t="s">
        <v>1290</v>
      </c>
      <c r="G39" s="168" t="s">
        <v>2228</v>
      </c>
      <c r="N39" t="str">
        <f>+INDEX(Pipe!P:P,MATCH(Vertical_2509!D28,Pipe!E:E,0))</f>
        <v>RJ em status incial e pouco ativo</v>
      </c>
    </row>
    <row r="40" spans="3:14">
      <c r="C40" s="170">
        <f t="shared" si="0"/>
        <v>37</v>
      </c>
      <c r="D40" s="189" t="s">
        <v>2039</v>
      </c>
      <c r="E40" s="170" t="s">
        <v>1045</v>
      </c>
      <c r="F40" s="170" t="s">
        <v>1290</v>
      </c>
      <c r="G40" s="204" t="s">
        <v>2223</v>
      </c>
    </row>
    <row r="41" spans="3:14">
      <c r="C41" s="170">
        <f t="shared" si="0"/>
        <v>38</v>
      </c>
      <c r="D41" s="189" t="s">
        <v>2058</v>
      </c>
      <c r="E41" s="170" t="s">
        <v>329</v>
      </c>
      <c r="F41" s="170" t="s">
        <v>1290</v>
      </c>
      <c r="G41" s="204" t="s">
        <v>2142</v>
      </c>
      <c r="M41" t="str">
        <f>+INDEX(Pipe!N:N,MATCH(Vertical_2509!D38,Pipe!E:E,0))</f>
        <v>Não</v>
      </c>
    </row>
    <row r="42" spans="3:14">
      <c r="C42" s="170">
        <f t="shared" si="0"/>
        <v>39</v>
      </c>
      <c r="D42" s="189" t="s">
        <v>2075</v>
      </c>
      <c r="E42" s="170" t="s">
        <v>1045</v>
      </c>
      <c r="F42" s="170" t="s">
        <v>1290</v>
      </c>
      <c r="G42" s="204" t="s">
        <v>1347</v>
      </c>
      <c r="M42" t="str">
        <f>+INDEX(Pipe!N:N,MATCH(Vertical_2509!D18,Pipe!E:E,0))</f>
        <v>Não</v>
      </c>
      <c r="N42" t="s">
        <v>693</v>
      </c>
    </row>
    <row r="43" spans="3:14">
      <c r="M43" t="str">
        <f>+INDEX(Pipe!N:N,MATCH(Vertical_2509!D27,Pipe!E:E,0))</f>
        <v>Não</v>
      </c>
    </row>
    <row r="44" spans="3:14">
      <c r="M44" t="str">
        <f>+INDEX(Pipe!N:N,MATCH(Vertical_2509!D26,Pipe!E:E,0))</f>
        <v>On Hold</v>
      </c>
    </row>
    <row r="45" spans="3:14">
      <c r="M45" t="str">
        <f>+INDEX(Pipe!N:N,MATCH(Vertical_2509!D39,Pipe!E:E,0))</f>
        <v>Não</v>
      </c>
      <c r="N45" t="str">
        <f>+INDEX(Pipe!P:P,MATCH(Vertical_2509!D39,Pipe!E:E,0))</f>
        <v>Pouco ativo, sem garantia e cheque pequeno</v>
      </c>
    </row>
    <row r="46" spans="3:14">
      <c r="M46" t="str">
        <f>+INDEX(Pipe!N:N,MATCH(Vertical_2509!D40,Pipe!E:E,0))</f>
        <v>Não</v>
      </c>
      <c r="N46" t="str">
        <f>+INDEX(Pipe!P:P,MATCH(Vertical_2509!D40,Pipe!E:E,0))</f>
        <v>Garantias não suficientes</v>
      </c>
    </row>
    <row r="47" spans="3:14">
      <c r="D47" s="20" t="s">
        <v>2118</v>
      </c>
      <c r="M47" t="str">
        <f>+INDEX(Pipe!N:N,MATCH(Vertical_2509!D41,Pipe!E:E,0))</f>
        <v>Não</v>
      </c>
      <c r="N47" t="str">
        <f>+INDEX(Pipe!P:P,MATCH(Vertical_2509!D41,Pipe!E:E,0))</f>
        <v>Pouca garantia e taxa baixa</v>
      </c>
    </row>
    <row r="48" spans="3:14">
      <c r="C48" s="138" t="s">
        <v>7</v>
      </c>
      <c r="D48" s="137" t="s">
        <v>415</v>
      </c>
      <c r="E48" s="138" t="s">
        <v>1659</v>
      </c>
      <c r="F48" s="138" t="s">
        <v>1661</v>
      </c>
      <c r="M48" t="str">
        <f>+INDEX(Pipe!N:N,MATCH(Vertical_2509!D42,Pipe!E:E,0))</f>
        <v>Não</v>
      </c>
      <c r="N48" t="str">
        <f>+INDEX(Pipe!P:P,MATCH(Vertical_2509!D42,Pipe!E:E,0))</f>
        <v>Pouca capacidade de pagamento e garantias</v>
      </c>
    </row>
    <row r="49" spans="3:6">
      <c r="C49" s="141">
        <v>1</v>
      </c>
      <c r="D49" s="154" t="s">
        <v>1735</v>
      </c>
      <c r="E49" s="141" t="s">
        <v>270</v>
      </c>
      <c r="F49" s="200" t="s">
        <v>2137</v>
      </c>
    </row>
    <row r="50" spans="3:6">
      <c r="C50" s="141">
        <f>+C49+1</f>
        <v>2</v>
      </c>
      <c r="D50" s="154" t="s">
        <v>1940</v>
      </c>
      <c r="E50" s="141" t="s">
        <v>440</v>
      </c>
      <c r="F50" s="200" t="s">
        <v>1970</v>
      </c>
    </row>
    <row r="51" spans="3:6">
      <c r="C51" s="141">
        <f t="shared" ref="C51:C61" si="1">+C50+1</f>
        <v>3</v>
      </c>
      <c r="D51" s="154" t="s">
        <v>2045</v>
      </c>
      <c r="E51" s="141" t="s">
        <v>270</v>
      </c>
      <c r="F51" s="200" t="s">
        <v>1968</v>
      </c>
    </row>
    <row r="52" spans="3:6">
      <c r="C52" s="141">
        <f t="shared" si="1"/>
        <v>4</v>
      </c>
      <c r="D52" s="154" t="s">
        <v>2094</v>
      </c>
      <c r="E52" s="141" t="s">
        <v>270</v>
      </c>
      <c r="F52" s="200" t="s">
        <v>2</v>
      </c>
    </row>
    <row r="53" spans="3:6">
      <c r="C53" s="141">
        <f t="shared" si="1"/>
        <v>5</v>
      </c>
      <c r="D53" s="154" t="s">
        <v>2170</v>
      </c>
      <c r="E53" s="141" t="s">
        <v>1623</v>
      </c>
      <c r="F53" s="200" t="s">
        <v>2</v>
      </c>
    </row>
    <row r="54" spans="3:6">
      <c r="C54" s="141">
        <f t="shared" si="1"/>
        <v>6</v>
      </c>
      <c r="D54" s="154" t="s">
        <v>2244</v>
      </c>
      <c r="E54" s="141" t="s">
        <v>807</v>
      </c>
      <c r="F54" s="200" t="s">
        <v>2</v>
      </c>
    </row>
    <row r="55" spans="3:6" ht="28.8">
      <c r="C55" s="141">
        <f t="shared" si="1"/>
        <v>7</v>
      </c>
      <c r="D55" s="154" t="s">
        <v>1640</v>
      </c>
      <c r="E55" s="141" t="s">
        <v>1623</v>
      </c>
      <c r="F55" s="200" t="s">
        <v>2275</v>
      </c>
    </row>
    <row r="56" spans="3:6" ht="28.8">
      <c r="C56" s="141">
        <f t="shared" si="1"/>
        <v>8</v>
      </c>
      <c r="D56" s="154" t="s">
        <v>1641</v>
      </c>
      <c r="E56" s="141" t="s">
        <v>1623</v>
      </c>
      <c r="F56" s="200" t="s">
        <v>2275</v>
      </c>
    </row>
    <row r="57" spans="3:6" ht="28.8">
      <c r="C57" s="141">
        <f t="shared" si="1"/>
        <v>9</v>
      </c>
      <c r="D57" s="154" t="s">
        <v>1453</v>
      </c>
      <c r="E57" s="141" t="s">
        <v>270</v>
      </c>
      <c r="F57" s="200" t="s">
        <v>2276</v>
      </c>
    </row>
    <row r="58" spans="3:6">
      <c r="C58" s="141">
        <f t="shared" si="1"/>
        <v>10</v>
      </c>
      <c r="D58" s="154" t="s">
        <v>1526</v>
      </c>
      <c r="E58" s="141" t="s">
        <v>807</v>
      </c>
      <c r="F58" s="198" t="s">
        <v>1976</v>
      </c>
    </row>
    <row r="59" spans="3:6">
      <c r="C59" s="141">
        <f t="shared" si="1"/>
        <v>11</v>
      </c>
      <c r="D59" s="154" t="s">
        <v>1619</v>
      </c>
      <c r="E59" s="141" t="s">
        <v>444</v>
      </c>
      <c r="F59" s="198" t="s">
        <v>1976</v>
      </c>
    </row>
    <row r="60" spans="3:6">
      <c r="C60" s="141">
        <f t="shared" si="1"/>
        <v>12</v>
      </c>
      <c r="D60" s="154" t="s">
        <v>1636</v>
      </c>
      <c r="E60" s="141" t="s">
        <v>270</v>
      </c>
      <c r="F60" s="198" t="s">
        <v>1976</v>
      </c>
    </row>
    <row r="61" spans="3:6">
      <c r="C61" s="141">
        <f t="shared" si="1"/>
        <v>13</v>
      </c>
      <c r="D61" s="154" t="s">
        <v>2115</v>
      </c>
      <c r="E61" s="141"/>
      <c r="F61" s="198" t="s">
        <v>1976</v>
      </c>
    </row>
    <row r="75" spans="3:10">
      <c r="D75" s="20" t="s">
        <v>2118</v>
      </c>
    </row>
    <row r="76" spans="3:10">
      <c r="C76" s="138" t="s">
        <v>7</v>
      </c>
      <c r="D76" s="137" t="s">
        <v>415</v>
      </c>
      <c r="E76" s="138" t="s">
        <v>1659</v>
      </c>
      <c r="F76" s="138" t="s">
        <v>1661</v>
      </c>
      <c r="I76" s="191" t="s">
        <v>1657</v>
      </c>
      <c r="J76" s="24">
        <v>27</v>
      </c>
    </row>
    <row r="77" spans="3:10">
      <c r="C77" s="141">
        <v>1</v>
      </c>
      <c r="D77" s="154" t="s">
        <v>1735</v>
      </c>
      <c r="E77" s="141" t="s">
        <v>270</v>
      </c>
      <c r="F77" s="200" t="s">
        <v>2137</v>
      </c>
      <c r="G77" s="26"/>
      <c r="I77" t="s">
        <v>1664</v>
      </c>
      <c r="J77" s="24">
        <v>7</v>
      </c>
    </row>
    <row r="78" spans="3:10">
      <c r="C78" s="141">
        <f>+C77+1</f>
        <v>2</v>
      </c>
      <c r="D78" s="154" t="s">
        <v>1526</v>
      </c>
      <c r="E78" s="141" t="s">
        <v>807</v>
      </c>
      <c r="F78" s="200" t="s">
        <v>1970</v>
      </c>
      <c r="G78" s="26"/>
      <c r="I78" s="26" t="s">
        <v>1667</v>
      </c>
      <c r="J78" s="25">
        <v>20</v>
      </c>
    </row>
    <row r="79" spans="3:10">
      <c r="C79" s="141">
        <f t="shared" ref="C79:C119" si="2">+C78+1</f>
        <v>3</v>
      </c>
      <c r="D79" s="154" t="s">
        <v>1619</v>
      </c>
      <c r="E79" s="141" t="s">
        <v>444</v>
      </c>
      <c r="F79" s="200" t="s">
        <v>1968</v>
      </c>
      <c r="G79" s="26"/>
      <c r="I79" t="s">
        <v>1982</v>
      </c>
      <c r="J79" s="24">
        <v>16</v>
      </c>
    </row>
    <row r="80" spans="3:10">
      <c r="C80" s="141">
        <f t="shared" si="2"/>
        <v>4</v>
      </c>
      <c r="D80" s="154" t="s">
        <v>1940</v>
      </c>
      <c r="E80" s="141" t="s">
        <v>440</v>
      </c>
      <c r="F80" s="200" t="s">
        <v>2</v>
      </c>
      <c r="G80" s="26"/>
      <c r="I80" s="179" t="s">
        <v>1983</v>
      </c>
      <c r="J80" s="180">
        <f>+J76-J77-J78+J79</f>
        <v>16</v>
      </c>
    </row>
    <row r="81" spans="3:7">
      <c r="C81" s="141">
        <f t="shared" si="2"/>
        <v>5</v>
      </c>
      <c r="D81" s="154" t="s">
        <v>1640</v>
      </c>
      <c r="E81" s="141" t="s">
        <v>1623</v>
      </c>
      <c r="F81" s="200" t="s">
        <v>2</v>
      </c>
      <c r="G81" s="26"/>
    </row>
    <row r="82" spans="3:7">
      <c r="C82" s="141">
        <f t="shared" si="2"/>
        <v>6</v>
      </c>
      <c r="D82" s="154" t="s">
        <v>1641</v>
      </c>
      <c r="E82" s="141" t="s">
        <v>1623</v>
      </c>
      <c r="F82" s="200" t="s">
        <v>2</v>
      </c>
      <c r="G82" s="26"/>
    </row>
    <row r="83" spans="3:7">
      <c r="C83" s="141">
        <f t="shared" si="2"/>
        <v>7</v>
      </c>
      <c r="D83" s="154" t="s">
        <v>1644</v>
      </c>
      <c r="E83" s="141" t="s">
        <v>270</v>
      </c>
      <c r="F83" s="200" t="s">
        <v>2</v>
      </c>
      <c r="G83" s="26"/>
    </row>
    <row r="84" spans="3:7">
      <c r="C84" s="141">
        <f t="shared" si="2"/>
        <v>8</v>
      </c>
      <c r="D84" s="154" t="s">
        <v>1453</v>
      </c>
      <c r="E84" s="141" t="s">
        <v>270</v>
      </c>
      <c r="F84" s="200" t="s">
        <v>2</v>
      </c>
      <c r="G84" s="26"/>
    </row>
    <row r="85" spans="3:7">
      <c r="C85" s="141">
        <f t="shared" si="2"/>
        <v>9</v>
      </c>
      <c r="D85" s="154" t="s">
        <v>1636</v>
      </c>
      <c r="E85" s="141" t="s">
        <v>270</v>
      </c>
      <c r="F85" s="200" t="s">
        <v>2</v>
      </c>
      <c r="G85" s="26"/>
    </row>
    <row r="86" spans="3:7">
      <c r="C86" s="141">
        <f t="shared" si="2"/>
        <v>10</v>
      </c>
      <c r="D86" s="154" t="s">
        <v>2045</v>
      </c>
      <c r="E86" s="141" t="s">
        <v>270</v>
      </c>
      <c r="F86" s="200" t="s">
        <v>2</v>
      </c>
      <c r="G86" s="26"/>
    </row>
    <row r="87" spans="3:7">
      <c r="C87" s="141">
        <f t="shared" si="2"/>
        <v>11</v>
      </c>
      <c r="D87" s="154" t="s">
        <v>2088</v>
      </c>
      <c r="E87" s="141" t="s">
        <v>1623</v>
      </c>
      <c r="F87" s="200" t="s">
        <v>2</v>
      </c>
      <c r="G87" s="26"/>
    </row>
    <row r="88" spans="3:7">
      <c r="C88" s="141">
        <f t="shared" si="2"/>
        <v>12</v>
      </c>
      <c r="D88" s="154" t="s">
        <v>2088</v>
      </c>
      <c r="E88" s="141" t="s">
        <v>1623</v>
      </c>
      <c r="F88" s="200" t="s">
        <v>2</v>
      </c>
      <c r="G88" s="26"/>
    </row>
    <row r="89" spans="3:7">
      <c r="C89" s="141">
        <f t="shared" si="2"/>
        <v>13</v>
      </c>
      <c r="D89" s="154" t="s">
        <v>2092</v>
      </c>
      <c r="E89" s="141" t="s">
        <v>270</v>
      </c>
      <c r="F89" s="200" t="s">
        <v>2</v>
      </c>
      <c r="G89" s="26"/>
    </row>
    <row r="90" spans="3:7">
      <c r="C90" s="141">
        <f t="shared" si="2"/>
        <v>14</v>
      </c>
      <c r="D90" s="154" t="s">
        <v>2094</v>
      </c>
      <c r="E90" s="141" t="s">
        <v>270</v>
      </c>
      <c r="F90" s="200" t="s">
        <v>2</v>
      </c>
      <c r="G90" s="26"/>
    </row>
    <row r="91" spans="3:7">
      <c r="C91" s="141">
        <f t="shared" si="2"/>
        <v>15</v>
      </c>
      <c r="D91" s="154" t="s">
        <v>2099</v>
      </c>
      <c r="E91" s="141" t="s">
        <v>695</v>
      </c>
      <c r="F91" s="200" t="s">
        <v>2</v>
      </c>
      <c r="G91" s="26"/>
    </row>
    <row r="92" spans="3:7">
      <c r="C92" s="141">
        <f t="shared" si="2"/>
        <v>16</v>
      </c>
      <c r="D92" s="154" t="s">
        <v>2115</v>
      </c>
      <c r="E92" s="141" t="s">
        <v>270</v>
      </c>
      <c r="F92" s="200" t="s">
        <v>2</v>
      </c>
      <c r="G92" s="26"/>
    </row>
    <row r="93" spans="3:7">
      <c r="C93" s="141">
        <f t="shared" si="2"/>
        <v>17</v>
      </c>
      <c r="D93" s="154" t="s">
        <v>2041</v>
      </c>
      <c r="E93" s="141" t="s">
        <v>2040</v>
      </c>
      <c r="F93" s="198" t="s">
        <v>1976</v>
      </c>
      <c r="G93" s="26"/>
    </row>
    <row r="94" spans="3:7">
      <c r="C94" s="141">
        <f t="shared" si="2"/>
        <v>18</v>
      </c>
      <c r="D94" s="154" t="s">
        <v>898</v>
      </c>
      <c r="E94" s="141" t="s">
        <v>270</v>
      </c>
      <c r="F94" s="198" t="s">
        <v>1976</v>
      </c>
    </row>
    <row r="95" spans="3:7">
      <c r="C95" s="141">
        <f t="shared" si="2"/>
        <v>19</v>
      </c>
      <c r="D95" s="154" t="s">
        <v>1638</v>
      </c>
      <c r="E95" s="141" t="s">
        <v>1623</v>
      </c>
      <c r="F95" s="198" t="s">
        <v>1976</v>
      </c>
    </row>
    <row r="96" spans="3:7">
      <c r="C96" s="141">
        <f t="shared" si="2"/>
        <v>20</v>
      </c>
      <c r="D96" s="154" t="s">
        <v>2034</v>
      </c>
      <c r="E96" s="141" t="s">
        <v>270</v>
      </c>
      <c r="F96" s="198" t="s">
        <v>1976</v>
      </c>
    </row>
    <row r="97" spans="3:6">
      <c r="C97" s="141">
        <f t="shared" si="2"/>
        <v>21</v>
      </c>
      <c r="D97" s="154" t="s">
        <v>1576</v>
      </c>
      <c r="E97" s="141" t="s">
        <v>270</v>
      </c>
      <c r="F97" s="198" t="s">
        <v>1976</v>
      </c>
    </row>
    <row r="98" spans="3:6">
      <c r="C98" s="141">
        <f t="shared" si="2"/>
        <v>22</v>
      </c>
      <c r="D98" s="154" t="s">
        <v>1624</v>
      </c>
      <c r="E98" s="141" t="s">
        <v>1623</v>
      </c>
      <c r="F98" s="198" t="s">
        <v>1976</v>
      </c>
    </row>
    <row r="99" spans="3:6">
      <c r="C99" s="141">
        <f t="shared" si="2"/>
        <v>23</v>
      </c>
      <c r="D99" s="154" t="s">
        <v>1630</v>
      </c>
      <c r="E99" s="141" t="s">
        <v>320</v>
      </c>
      <c r="F99" s="198" t="s">
        <v>1976</v>
      </c>
    </row>
    <row r="100" spans="3:6">
      <c r="C100" s="141">
        <f t="shared" si="2"/>
        <v>24</v>
      </c>
      <c r="D100" s="154" t="s">
        <v>1642</v>
      </c>
      <c r="E100" s="141" t="s">
        <v>1623</v>
      </c>
      <c r="F100" s="198" t="s">
        <v>1976</v>
      </c>
    </row>
    <row r="101" spans="3:6">
      <c r="C101" s="141">
        <f t="shared" si="2"/>
        <v>25</v>
      </c>
      <c r="D101" s="154" t="s">
        <v>1935</v>
      </c>
      <c r="E101" s="141" t="s">
        <v>695</v>
      </c>
      <c r="F101" s="198" t="s">
        <v>1976</v>
      </c>
    </row>
    <row r="102" spans="3:6">
      <c r="C102" s="141">
        <f t="shared" si="2"/>
        <v>26</v>
      </c>
      <c r="D102" s="154" t="s">
        <v>1943</v>
      </c>
      <c r="E102" s="141" t="s">
        <v>1942</v>
      </c>
      <c r="F102" s="198" t="s">
        <v>1976</v>
      </c>
    </row>
    <row r="103" spans="3:6">
      <c r="C103" s="141">
        <f t="shared" si="2"/>
        <v>27</v>
      </c>
      <c r="D103" s="154" t="s">
        <v>1987</v>
      </c>
      <c r="E103" s="141" t="s">
        <v>1551</v>
      </c>
      <c r="F103" s="198" t="s">
        <v>1976</v>
      </c>
    </row>
    <row r="104" spans="3:6">
      <c r="C104" s="141">
        <f t="shared" si="2"/>
        <v>28</v>
      </c>
      <c r="D104" s="154" t="s">
        <v>1988</v>
      </c>
      <c r="E104" s="141" t="s">
        <v>320</v>
      </c>
      <c r="F104" s="198" t="s">
        <v>1976</v>
      </c>
    </row>
    <row r="105" spans="3:6">
      <c r="C105" s="141">
        <f t="shared" si="2"/>
        <v>29</v>
      </c>
      <c r="D105" s="154" t="s">
        <v>1990</v>
      </c>
      <c r="E105" s="141" t="s">
        <v>320</v>
      </c>
      <c r="F105" s="198" t="s">
        <v>1976</v>
      </c>
    </row>
    <row r="106" spans="3:6">
      <c r="C106" s="141">
        <f t="shared" si="2"/>
        <v>30</v>
      </c>
      <c r="D106" s="154" t="s">
        <v>1991</v>
      </c>
      <c r="E106" s="141" t="s">
        <v>807</v>
      </c>
      <c r="F106" s="198" t="s">
        <v>1976</v>
      </c>
    </row>
    <row r="107" spans="3:6">
      <c r="C107" s="141">
        <f t="shared" si="2"/>
        <v>31</v>
      </c>
      <c r="D107" s="154" t="s">
        <v>1994</v>
      </c>
      <c r="E107" s="141" t="s">
        <v>270</v>
      </c>
      <c r="F107" s="198" t="s">
        <v>1976</v>
      </c>
    </row>
    <row r="108" spans="3:6">
      <c r="C108" s="141">
        <f t="shared" si="2"/>
        <v>32</v>
      </c>
      <c r="D108" s="154" t="s">
        <v>1995</v>
      </c>
      <c r="E108" s="141" t="s">
        <v>320</v>
      </c>
      <c r="F108" s="198" t="s">
        <v>1976</v>
      </c>
    </row>
    <row r="109" spans="3:6">
      <c r="C109" s="141">
        <f t="shared" si="2"/>
        <v>33</v>
      </c>
      <c r="D109" s="154" t="s">
        <v>1996</v>
      </c>
      <c r="E109" s="141" t="s">
        <v>320</v>
      </c>
      <c r="F109" s="198" t="s">
        <v>1976</v>
      </c>
    </row>
    <row r="110" spans="3:6">
      <c r="C110" s="141">
        <f t="shared" si="2"/>
        <v>34</v>
      </c>
      <c r="D110" s="154" t="s">
        <v>2000</v>
      </c>
      <c r="E110" s="141" t="s">
        <v>270</v>
      </c>
      <c r="F110" s="198" t="s">
        <v>1976</v>
      </c>
    </row>
    <row r="111" spans="3:6">
      <c r="C111" s="141">
        <f t="shared" si="2"/>
        <v>35</v>
      </c>
      <c r="D111" s="154" t="s">
        <v>2017</v>
      </c>
      <c r="E111" s="141" t="s">
        <v>2025</v>
      </c>
      <c r="F111" s="198" t="s">
        <v>1976</v>
      </c>
    </row>
    <row r="112" spans="3:6">
      <c r="C112" s="141">
        <f t="shared" si="2"/>
        <v>36</v>
      </c>
      <c r="D112" s="154" t="s">
        <v>2021</v>
      </c>
      <c r="E112" s="141" t="s">
        <v>270</v>
      </c>
      <c r="F112" s="198" t="s">
        <v>1976</v>
      </c>
    </row>
    <row r="113" spans="3:7">
      <c r="C113" s="141">
        <f t="shared" si="2"/>
        <v>37</v>
      </c>
      <c r="D113" s="154" t="s">
        <v>2036</v>
      </c>
      <c r="E113" s="141" t="s">
        <v>2035</v>
      </c>
      <c r="F113" s="198" t="s">
        <v>1976</v>
      </c>
    </row>
    <row r="114" spans="3:7">
      <c r="C114" s="141">
        <f t="shared" si="2"/>
        <v>38</v>
      </c>
      <c r="D114" s="154" t="s">
        <v>2043</v>
      </c>
      <c r="E114" s="141" t="s">
        <v>320</v>
      </c>
      <c r="F114" s="198" t="s">
        <v>1976</v>
      </c>
    </row>
    <row r="115" spans="3:7">
      <c r="C115" s="141">
        <f t="shared" si="2"/>
        <v>39</v>
      </c>
      <c r="D115" s="154" t="s">
        <v>2046</v>
      </c>
      <c r="E115" s="141" t="s">
        <v>270</v>
      </c>
      <c r="F115" s="198" t="s">
        <v>1976</v>
      </c>
    </row>
    <row r="116" spans="3:7">
      <c r="C116" s="141">
        <f t="shared" si="2"/>
        <v>40</v>
      </c>
      <c r="D116" s="154" t="s">
        <v>2048</v>
      </c>
      <c r="E116" s="141" t="s">
        <v>270</v>
      </c>
      <c r="F116" s="198" t="s">
        <v>1976</v>
      </c>
    </row>
    <row r="117" spans="3:7">
      <c r="C117" s="141">
        <f t="shared" si="2"/>
        <v>41</v>
      </c>
      <c r="D117" s="154" t="s">
        <v>2052</v>
      </c>
      <c r="E117" s="141" t="s">
        <v>270</v>
      </c>
      <c r="F117" s="198" t="s">
        <v>1976</v>
      </c>
    </row>
    <row r="118" spans="3:7">
      <c r="C118" s="141">
        <f t="shared" si="2"/>
        <v>42</v>
      </c>
      <c r="D118" s="154" t="s">
        <v>2055</v>
      </c>
      <c r="E118" s="141" t="s">
        <v>304</v>
      </c>
      <c r="F118" s="198" t="s">
        <v>1976</v>
      </c>
    </row>
    <row r="119" spans="3:7">
      <c r="C119" s="141">
        <f t="shared" si="2"/>
        <v>43</v>
      </c>
      <c r="D119" s="154" t="s">
        <v>2069</v>
      </c>
      <c r="E119" s="141" t="s">
        <v>2068</v>
      </c>
      <c r="F119" s="198" t="s">
        <v>1976</v>
      </c>
    </row>
    <row r="125" spans="3:7">
      <c r="C125" s="141">
        <f>+C102+1</f>
        <v>27</v>
      </c>
      <c r="D125" s="154" t="s">
        <v>1458</v>
      </c>
      <c r="E125" s="141" t="s">
        <v>304</v>
      </c>
      <c r="F125" s="198" t="s">
        <v>1976</v>
      </c>
      <c r="G125" t="str">
        <f>+INDEX(Pipe!N:N,MATCH(D125,Pipe!E:E,0))</f>
        <v>Não</v>
      </c>
    </row>
    <row r="126" spans="3:7">
      <c r="C126" s="141">
        <f t="shared" ref="C126:C154" si="3">+C125+1</f>
        <v>28</v>
      </c>
      <c r="D126" s="154" t="s">
        <v>1461</v>
      </c>
      <c r="E126" s="141" t="s">
        <v>320</v>
      </c>
      <c r="F126" s="198" t="s">
        <v>1976</v>
      </c>
      <c r="G126" t="str">
        <f>+INDEX(Pipe!N:N,MATCH(D126,Pipe!E:E,0))</f>
        <v>Não</v>
      </c>
    </row>
    <row r="127" spans="3:7">
      <c r="C127" s="141">
        <f t="shared" si="3"/>
        <v>29</v>
      </c>
      <c r="D127" s="154" t="s">
        <v>1463</v>
      </c>
      <c r="E127" s="141" t="s">
        <v>320</v>
      </c>
      <c r="F127" s="198" t="s">
        <v>1972</v>
      </c>
      <c r="G127" t="str">
        <f>+INDEX(Pipe!N:N,MATCH(D127,Pipe!E:E,0))</f>
        <v>Não</v>
      </c>
    </row>
    <row r="128" spans="3:7">
      <c r="C128" s="141">
        <f t="shared" si="3"/>
        <v>30</v>
      </c>
      <c r="D128" s="154" t="s">
        <v>1475</v>
      </c>
      <c r="E128" s="141" t="s">
        <v>270</v>
      </c>
      <c r="F128" s="198" t="s">
        <v>1972</v>
      </c>
      <c r="G128" t="str">
        <f>+INDEX(Pipe!N:N,MATCH(D128,Pipe!E:E,0))</f>
        <v>Não</v>
      </c>
    </row>
    <row r="129" spans="3:7">
      <c r="C129" s="141">
        <f t="shared" si="3"/>
        <v>31</v>
      </c>
      <c r="D129" s="154" t="s">
        <v>1491</v>
      </c>
      <c r="E129" s="141" t="s">
        <v>86</v>
      </c>
      <c r="F129" s="198" t="s">
        <v>1972</v>
      </c>
      <c r="G129" t="str">
        <f>+INDEX(Pipe!N:N,MATCH(D129,Pipe!E:E,0))</f>
        <v>Não</v>
      </c>
    </row>
    <row r="130" spans="3:7">
      <c r="C130" s="141">
        <f t="shared" si="3"/>
        <v>32</v>
      </c>
      <c r="D130" s="154" t="s">
        <v>1510</v>
      </c>
      <c r="E130" s="141" t="s">
        <v>86</v>
      </c>
      <c r="F130" s="198" t="s">
        <v>1972</v>
      </c>
      <c r="G130" t="str">
        <f>+INDEX(Pipe!N:N,MATCH(D130,Pipe!E:E,0))</f>
        <v>Não</v>
      </c>
    </row>
    <row r="131" spans="3:7">
      <c r="C131" s="141">
        <f t="shared" si="3"/>
        <v>33</v>
      </c>
      <c r="D131" s="154" t="s">
        <v>1514</v>
      </c>
      <c r="E131" s="141" t="s">
        <v>20</v>
      </c>
      <c r="F131" s="198" t="s">
        <v>1972</v>
      </c>
      <c r="G131" t="str">
        <f>+INDEX(Pipe!N:N,MATCH(D131,Pipe!E:E,0))</f>
        <v>Não</v>
      </c>
    </row>
    <row r="132" spans="3:7">
      <c r="C132" s="141">
        <f t="shared" si="3"/>
        <v>34</v>
      </c>
      <c r="D132" s="154" t="s">
        <v>1518</v>
      </c>
      <c r="E132" s="141" t="s">
        <v>320</v>
      </c>
      <c r="F132" s="198" t="s">
        <v>1972</v>
      </c>
      <c r="G132" t="str">
        <f>+INDEX(Pipe!N:N,MATCH(D132,Pipe!E:E,0))</f>
        <v>Não</v>
      </c>
    </row>
    <row r="133" spans="3:7">
      <c r="C133" s="141">
        <f t="shared" si="3"/>
        <v>35</v>
      </c>
      <c r="D133" s="154" t="s">
        <v>1540</v>
      </c>
      <c r="E133" s="141" t="s">
        <v>444</v>
      </c>
      <c r="F133" s="198" t="s">
        <v>1976</v>
      </c>
      <c r="G133" t="str">
        <f>+INDEX(Pipe!N:N,MATCH(D133,Pipe!E:E,0))</f>
        <v>Não</v>
      </c>
    </row>
    <row r="134" spans="3:7">
      <c r="C134" s="141">
        <f t="shared" si="3"/>
        <v>36</v>
      </c>
      <c r="D134" s="154" t="s">
        <v>1544</v>
      </c>
      <c r="E134" s="141" t="s">
        <v>304</v>
      </c>
      <c r="F134" s="198" t="s">
        <v>1976</v>
      </c>
      <c r="G134" t="str">
        <f>+INDEX(Pipe!N:N,MATCH(D134,Pipe!E:E,0))</f>
        <v>Não</v>
      </c>
    </row>
    <row r="135" spans="3:7">
      <c r="C135" s="141">
        <f t="shared" si="3"/>
        <v>37</v>
      </c>
      <c r="D135" s="154" t="s">
        <v>1552</v>
      </c>
      <c r="E135" s="141" t="s">
        <v>1551</v>
      </c>
      <c r="F135" s="198" t="s">
        <v>1976</v>
      </c>
      <c r="G135" t="str">
        <f>+INDEX(Pipe!N:N,MATCH(D135,Pipe!E:E,0))</f>
        <v>Não</v>
      </c>
    </row>
    <row r="136" spans="3:7">
      <c r="C136" s="141">
        <f t="shared" si="3"/>
        <v>38</v>
      </c>
      <c r="D136" s="154" t="s">
        <v>1556</v>
      </c>
      <c r="E136" s="141" t="s">
        <v>320</v>
      </c>
      <c r="F136" s="198" t="s">
        <v>1976</v>
      </c>
      <c r="G136" t="str">
        <f>+INDEX(Pipe!N:N,MATCH(D136,Pipe!E:E,0))</f>
        <v>Não</v>
      </c>
    </row>
    <row r="137" spans="3:7">
      <c r="C137" s="141">
        <f t="shared" si="3"/>
        <v>39</v>
      </c>
      <c r="D137" s="154" t="s">
        <v>1558</v>
      </c>
      <c r="E137" s="141" t="s">
        <v>320</v>
      </c>
      <c r="F137" s="198" t="s">
        <v>1976</v>
      </c>
      <c r="G137" t="str">
        <f>+INDEX(Pipe!N:N,MATCH(D137,Pipe!E:E,0))</f>
        <v>Não</v>
      </c>
    </row>
    <row r="138" spans="3:7">
      <c r="C138" s="141">
        <f t="shared" si="3"/>
        <v>40</v>
      </c>
      <c r="D138" s="154" t="s">
        <v>1561</v>
      </c>
      <c r="E138" s="141" t="s">
        <v>320</v>
      </c>
      <c r="F138" s="198" t="s">
        <v>1976</v>
      </c>
      <c r="G138" t="str">
        <f>+INDEX(Pipe!N:N,MATCH(D138,Pipe!E:E,0))</f>
        <v>Não</v>
      </c>
    </row>
    <row r="139" spans="3:7">
      <c r="C139" s="141">
        <f t="shared" si="3"/>
        <v>41</v>
      </c>
      <c r="D139" s="154" t="s">
        <v>1564</v>
      </c>
      <c r="E139" s="141" t="s">
        <v>1563</v>
      </c>
      <c r="F139" s="198" t="s">
        <v>1976</v>
      </c>
      <c r="G139" t="str">
        <f>+INDEX(Pipe!N:N,MATCH(D139,Pipe!E:E,0))</f>
        <v>Não</v>
      </c>
    </row>
    <row r="140" spans="3:7">
      <c r="C140" s="141">
        <f t="shared" si="3"/>
        <v>42</v>
      </c>
      <c r="D140" s="154" t="s">
        <v>1568</v>
      </c>
      <c r="E140" s="141" t="s">
        <v>86</v>
      </c>
      <c r="F140" s="198" t="s">
        <v>1976</v>
      </c>
      <c r="G140" t="str">
        <f>+INDEX(Pipe!N:N,MATCH(D140,Pipe!E:E,0))</f>
        <v>Não</v>
      </c>
    </row>
    <row r="141" spans="3:7">
      <c r="C141" s="141">
        <f t="shared" si="3"/>
        <v>43</v>
      </c>
      <c r="D141" s="154" t="s">
        <v>1574</v>
      </c>
      <c r="E141" s="141" t="s">
        <v>807</v>
      </c>
      <c r="F141" s="198" t="s">
        <v>1976</v>
      </c>
      <c r="G141" t="str">
        <f>+INDEX(Pipe!N:N,MATCH(D141,Pipe!E:E,0))</f>
        <v>Não</v>
      </c>
    </row>
    <row r="142" spans="3:7">
      <c r="C142" s="141">
        <f t="shared" si="3"/>
        <v>44</v>
      </c>
      <c r="D142" s="154" t="s">
        <v>1578</v>
      </c>
      <c r="E142" s="141" t="s">
        <v>320</v>
      </c>
      <c r="F142" s="198" t="s">
        <v>1976</v>
      </c>
      <c r="G142" t="str">
        <f>+INDEX(Pipe!N:N,MATCH(D142,Pipe!E:E,0))</f>
        <v>Não</v>
      </c>
    </row>
    <row r="143" spans="3:7">
      <c r="C143" s="141">
        <f t="shared" si="3"/>
        <v>45</v>
      </c>
      <c r="D143" s="154" t="s">
        <v>1580</v>
      </c>
      <c r="E143" s="141" t="s">
        <v>270</v>
      </c>
      <c r="F143" s="198" t="s">
        <v>1976</v>
      </c>
      <c r="G143" t="str">
        <f>+INDEX(Pipe!N:N,MATCH(D143,Pipe!E:E,0))</f>
        <v>Não</v>
      </c>
    </row>
    <row r="144" spans="3:7">
      <c r="C144" s="141">
        <f t="shared" si="3"/>
        <v>46</v>
      </c>
      <c r="D144" s="154" t="s">
        <v>1583</v>
      </c>
      <c r="E144" s="141" t="s">
        <v>270</v>
      </c>
      <c r="F144" s="198" t="s">
        <v>1976</v>
      </c>
      <c r="G144" t="str">
        <f>+INDEX(Pipe!N:N,MATCH(D144,Pipe!E:E,0))</f>
        <v>Não</v>
      </c>
    </row>
    <row r="145" spans="3:7">
      <c r="C145" s="141">
        <f t="shared" si="3"/>
        <v>47</v>
      </c>
      <c r="D145" s="154" t="s">
        <v>1587</v>
      </c>
      <c r="E145" s="141" t="s">
        <v>270</v>
      </c>
      <c r="F145" s="198" t="s">
        <v>1976</v>
      </c>
      <c r="G145" t="str">
        <f>+INDEX(Pipe!N:N,MATCH(D145,Pipe!E:E,0))</f>
        <v>Não</v>
      </c>
    </row>
    <row r="146" spans="3:7">
      <c r="C146" s="141">
        <f t="shared" si="3"/>
        <v>48</v>
      </c>
      <c r="D146" s="154" t="s">
        <v>1590</v>
      </c>
      <c r="E146" s="141" t="s">
        <v>695</v>
      </c>
      <c r="F146" s="198" t="s">
        <v>1976</v>
      </c>
      <c r="G146" t="str">
        <f>+INDEX(Pipe!N:N,MATCH(D146,Pipe!E:E,0))</f>
        <v>Não</v>
      </c>
    </row>
    <row r="147" spans="3:7">
      <c r="C147" s="141">
        <f t="shared" si="3"/>
        <v>49</v>
      </c>
      <c r="D147" s="154" t="s">
        <v>1597</v>
      </c>
      <c r="E147" s="141" t="s">
        <v>1596</v>
      </c>
      <c r="F147" s="198" t="s">
        <v>1976</v>
      </c>
      <c r="G147" t="str">
        <f>+INDEX(Pipe!N:N,MATCH(D147,Pipe!E:E,0))</f>
        <v>Não</v>
      </c>
    </row>
    <row r="148" spans="3:7">
      <c r="C148" s="141">
        <f t="shared" si="3"/>
        <v>50</v>
      </c>
      <c r="D148" s="154" t="s">
        <v>1604</v>
      </c>
      <c r="E148" s="141" t="s">
        <v>1596</v>
      </c>
      <c r="F148" s="198" t="s">
        <v>1976</v>
      </c>
      <c r="G148" t="str">
        <f>+INDEX(Pipe!N:N,MATCH(D148,Pipe!E:E,0))</f>
        <v>Não</v>
      </c>
    </row>
    <row r="149" spans="3:7">
      <c r="C149" s="141">
        <f t="shared" si="3"/>
        <v>51</v>
      </c>
      <c r="D149" s="154" t="s">
        <v>1607</v>
      </c>
      <c r="E149" s="141" t="s">
        <v>440</v>
      </c>
      <c r="F149" s="198" t="s">
        <v>1976</v>
      </c>
      <c r="G149" t="str">
        <f>+INDEX(Pipe!N:N,MATCH(D149,Pipe!E:E,0))</f>
        <v>Não</v>
      </c>
    </row>
    <row r="150" spans="3:7">
      <c r="C150" s="141">
        <f t="shared" si="3"/>
        <v>52</v>
      </c>
      <c r="D150" s="154" t="s">
        <v>1610</v>
      </c>
      <c r="E150" s="141" t="s">
        <v>1596</v>
      </c>
      <c r="F150" s="198" t="s">
        <v>1976</v>
      </c>
      <c r="G150" t="str">
        <f>+INDEX(Pipe!N:N,MATCH(D150,Pipe!E:E,0))</f>
        <v>Não</v>
      </c>
    </row>
    <row r="151" spans="3:7">
      <c r="C151" s="141">
        <f t="shared" si="3"/>
        <v>53</v>
      </c>
      <c r="D151" s="154" t="s">
        <v>1612</v>
      </c>
      <c r="E151" s="141" t="s">
        <v>440</v>
      </c>
      <c r="F151" s="198" t="s">
        <v>1976</v>
      </c>
      <c r="G151" t="str">
        <f>+INDEX(Pipe!N:N,MATCH(D151,Pipe!E:E,0))</f>
        <v>Não</v>
      </c>
    </row>
    <row r="152" spans="3:7">
      <c r="C152" s="141">
        <f t="shared" si="3"/>
        <v>54</v>
      </c>
      <c r="D152" s="154" t="s">
        <v>1627</v>
      </c>
      <c r="E152" s="141" t="s">
        <v>1623</v>
      </c>
      <c r="F152" s="198" t="s">
        <v>1976</v>
      </c>
      <c r="G152" t="str">
        <f>+INDEX(Pipe!N:N,MATCH(D152,Pipe!E:E,0))</f>
        <v>Não</v>
      </c>
    </row>
    <row r="153" spans="3:7">
      <c r="C153" s="141">
        <f t="shared" si="3"/>
        <v>55</v>
      </c>
      <c r="D153" s="154" t="s">
        <v>1921</v>
      </c>
      <c r="E153" s="141" t="s">
        <v>86</v>
      </c>
      <c r="F153" s="198" t="s">
        <v>1976</v>
      </c>
      <c r="G153" t="str">
        <f>+INDEX(Pipe!N:N,MATCH(D153,Pipe!E:E,0))</f>
        <v>Não</v>
      </c>
    </row>
    <row r="154" spans="3:7">
      <c r="C154" s="141">
        <f t="shared" si="3"/>
        <v>56</v>
      </c>
      <c r="D154" s="154" t="s">
        <v>1923</v>
      </c>
      <c r="E154" s="141" t="s">
        <v>86</v>
      </c>
      <c r="F154" s="198" t="s">
        <v>1976</v>
      </c>
      <c r="G154" t="str">
        <f>+INDEX(Pipe!N:N,MATCH(D154,Pipe!E:E,0))</f>
        <v>Não</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542F0-909E-42FB-9A83-C4EACBA433E3}">
  <sheetPr codeName="Sheet4">
    <pageSetUpPr autoPageBreaks="0"/>
  </sheetPr>
  <dimension ref="C2:N117"/>
  <sheetViews>
    <sheetView showGridLines="0" zoomScaleNormal="100" workbookViewId="0">
      <selection activeCell="F26" sqref="F26"/>
    </sheetView>
  </sheetViews>
  <sheetFormatPr defaultRowHeight="14.4"/>
  <cols>
    <col min="1" max="2" width="1.6640625" customWidth="1"/>
    <col min="3" max="3" width="3" bestFit="1" customWidth="1"/>
    <col min="4" max="4" width="47.33203125" bestFit="1" customWidth="1"/>
    <col min="5" max="5" width="24" bestFit="1" customWidth="1"/>
    <col min="6" max="6" width="25.5546875" customWidth="1"/>
    <col min="7" max="7" width="40" bestFit="1" customWidth="1"/>
    <col min="9" max="9" width="23.5546875" bestFit="1" customWidth="1"/>
    <col min="12" max="12" width="29" bestFit="1" customWidth="1"/>
    <col min="13" max="13" width="47.33203125" bestFit="1" customWidth="1"/>
  </cols>
  <sheetData>
    <row r="2" spans="3:14">
      <c r="D2" s="20" t="s">
        <v>2118</v>
      </c>
    </row>
    <row r="3" spans="3:14">
      <c r="C3" s="138" t="s">
        <v>7</v>
      </c>
      <c r="D3" s="156" t="s">
        <v>1658</v>
      </c>
      <c r="E3" s="138" t="s">
        <v>1659</v>
      </c>
      <c r="F3" s="138" t="s">
        <v>1660</v>
      </c>
      <c r="G3" s="138" t="s">
        <v>1661</v>
      </c>
      <c r="I3" s="191" t="s">
        <v>1657</v>
      </c>
      <c r="J3" s="24">
        <v>19</v>
      </c>
      <c r="M3" s="192"/>
      <c r="N3" s="24"/>
    </row>
    <row r="4" spans="3:14">
      <c r="C4" s="170">
        <v>1</v>
      </c>
      <c r="D4" s="171" t="s">
        <v>1572</v>
      </c>
      <c r="E4" s="172" t="s">
        <v>1045</v>
      </c>
      <c r="F4" s="172" t="s">
        <v>1710</v>
      </c>
      <c r="G4" s="166" t="s">
        <v>2119</v>
      </c>
      <c r="I4" t="s">
        <v>1664</v>
      </c>
      <c r="J4" s="24">
        <v>4</v>
      </c>
      <c r="M4" s="24"/>
      <c r="N4" s="24"/>
    </row>
    <row r="5" spans="3:14">
      <c r="C5" s="170">
        <f>+C4+1</f>
        <v>2</v>
      </c>
      <c r="D5" s="189" t="s">
        <v>1362</v>
      </c>
      <c r="E5" s="170" t="s">
        <v>329</v>
      </c>
      <c r="F5" s="170" t="s">
        <v>1290</v>
      </c>
      <c r="G5" s="201" t="s">
        <v>2138</v>
      </c>
      <c r="I5" s="26" t="s">
        <v>1667</v>
      </c>
      <c r="J5" s="25">
        <v>5</v>
      </c>
      <c r="M5" s="24"/>
      <c r="N5" s="24"/>
    </row>
    <row r="6" spans="3:14">
      <c r="C6" s="170">
        <f t="shared" ref="C6:C35" si="0">+C5+1</f>
        <v>3</v>
      </c>
      <c r="D6" s="26" t="s">
        <v>1509</v>
      </c>
      <c r="E6" s="170" t="s">
        <v>1045</v>
      </c>
      <c r="F6" s="170" t="s">
        <v>1710</v>
      </c>
      <c r="G6" s="166" t="s">
        <v>1977</v>
      </c>
      <c r="I6" t="s">
        <v>1982</v>
      </c>
      <c r="J6" s="24">
        <v>13</v>
      </c>
    </row>
    <row r="7" spans="3:14">
      <c r="C7" s="170">
        <f t="shared" si="0"/>
        <v>4</v>
      </c>
      <c r="D7" s="189" t="s">
        <v>2018</v>
      </c>
      <c r="E7" s="170" t="s">
        <v>1045</v>
      </c>
      <c r="F7" s="170" t="s">
        <v>1886</v>
      </c>
      <c r="G7" s="199" t="s">
        <v>2123</v>
      </c>
      <c r="I7" s="179" t="s">
        <v>1983</v>
      </c>
      <c r="J7" s="180">
        <f>+J3-J4-J5+J6</f>
        <v>23</v>
      </c>
      <c r="M7" s="24"/>
      <c r="N7" s="24"/>
    </row>
    <row r="8" spans="3:14">
      <c r="C8" s="170">
        <f t="shared" si="0"/>
        <v>5</v>
      </c>
      <c r="D8" s="189" t="s">
        <v>1593</v>
      </c>
      <c r="E8" s="170" t="s">
        <v>1045</v>
      </c>
      <c r="F8" s="170" t="s">
        <v>1725</v>
      </c>
      <c r="G8" s="200" t="s">
        <v>2120</v>
      </c>
      <c r="M8" s="24"/>
      <c r="N8" s="24"/>
    </row>
    <row r="9" spans="3:14">
      <c r="C9" s="170">
        <f t="shared" si="0"/>
        <v>6</v>
      </c>
      <c r="D9" s="189" t="s">
        <v>1620</v>
      </c>
      <c r="E9" s="170" t="s">
        <v>329</v>
      </c>
      <c r="F9" s="170" t="s">
        <v>1950</v>
      </c>
      <c r="G9" s="200" t="s">
        <v>2</v>
      </c>
    </row>
    <row r="10" spans="3:14">
      <c r="C10" s="170">
        <f t="shared" si="0"/>
        <v>7</v>
      </c>
      <c r="D10" s="189" t="s">
        <v>2066</v>
      </c>
      <c r="E10" s="170" t="s">
        <v>204</v>
      </c>
      <c r="F10" s="170" t="s">
        <v>2134</v>
      </c>
      <c r="G10" s="200" t="s">
        <v>2</v>
      </c>
    </row>
    <row r="11" spans="3:14">
      <c r="C11" s="170">
        <f t="shared" si="0"/>
        <v>8</v>
      </c>
      <c r="D11" s="189" t="s">
        <v>2135</v>
      </c>
      <c r="E11" s="170" t="s">
        <v>204</v>
      </c>
      <c r="F11" s="170"/>
      <c r="G11" s="200" t="s">
        <v>2</v>
      </c>
    </row>
    <row r="12" spans="3:14">
      <c r="C12" s="170">
        <f t="shared" si="0"/>
        <v>9</v>
      </c>
      <c r="D12" s="189" t="s">
        <v>973</v>
      </c>
      <c r="E12" s="170" t="s">
        <v>2139</v>
      </c>
      <c r="F12" s="170" t="s">
        <v>1763</v>
      </c>
      <c r="G12" s="200" t="s">
        <v>2120</v>
      </c>
    </row>
    <row r="13" spans="3:14" ht="28.8">
      <c r="C13" s="170">
        <f t="shared" si="0"/>
        <v>10</v>
      </c>
      <c r="D13" s="189" t="s">
        <v>1616</v>
      </c>
      <c r="E13" s="170" t="s">
        <v>329</v>
      </c>
      <c r="F13" s="170" t="s">
        <v>1763</v>
      </c>
      <c r="G13" s="200" t="s">
        <v>2121</v>
      </c>
    </row>
    <row r="14" spans="3:14" ht="28.8">
      <c r="C14" s="170">
        <f t="shared" si="0"/>
        <v>11</v>
      </c>
      <c r="D14" s="189" t="s">
        <v>2038</v>
      </c>
      <c r="E14" s="170" t="s">
        <v>329</v>
      </c>
      <c r="F14" s="170" t="s">
        <v>1725</v>
      </c>
      <c r="G14" s="200" t="s">
        <v>2126</v>
      </c>
    </row>
    <row r="15" spans="3:14">
      <c r="C15" s="170">
        <f t="shared" si="0"/>
        <v>12</v>
      </c>
      <c r="D15" s="189" t="s">
        <v>1617</v>
      </c>
      <c r="E15" s="170" t="s">
        <v>1045</v>
      </c>
      <c r="F15" s="170" t="s">
        <v>1290</v>
      </c>
      <c r="G15" s="200" t="s">
        <v>2122</v>
      </c>
    </row>
    <row r="16" spans="3:14">
      <c r="C16" s="170">
        <f t="shared" si="0"/>
        <v>13</v>
      </c>
      <c r="D16" s="189" t="s">
        <v>2024</v>
      </c>
      <c r="E16" s="170" t="s">
        <v>1045</v>
      </c>
      <c r="F16" s="170" t="s">
        <v>1290</v>
      </c>
      <c r="G16" s="200" t="s">
        <v>2124</v>
      </c>
    </row>
    <row r="17" spans="3:7">
      <c r="C17" s="170">
        <f t="shared" si="0"/>
        <v>14</v>
      </c>
      <c r="D17" s="189" t="s">
        <v>2102</v>
      </c>
      <c r="E17" s="170" t="s">
        <v>329</v>
      </c>
      <c r="F17" s="170" t="s">
        <v>1716</v>
      </c>
      <c r="G17" s="200" t="s">
        <v>1964</v>
      </c>
    </row>
    <row r="18" spans="3:7">
      <c r="C18" s="170">
        <f t="shared" si="0"/>
        <v>15</v>
      </c>
      <c r="D18" s="189" t="s">
        <v>2076</v>
      </c>
      <c r="E18" s="170" t="s">
        <v>1045</v>
      </c>
      <c r="F18" s="170" t="s">
        <v>2130</v>
      </c>
      <c r="G18" s="200" t="s">
        <v>2128</v>
      </c>
    </row>
    <row r="19" spans="3:7">
      <c r="C19" s="170">
        <f t="shared" si="0"/>
        <v>16</v>
      </c>
      <c r="D19" s="189" t="s">
        <v>2061</v>
      </c>
      <c r="E19" s="170" t="s">
        <v>204</v>
      </c>
      <c r="F19" s="170" t="s">
        <v>2136</v>
      </c>
      <c r="G19" s="199" t="s">
        <v>2</v>
      </c>
    </row>
    <row r="20" spans="3:7">
      <c r="C20" s="170">
        <f t="shared" si="0"/>
        <v>17</v>
      </c>
      <c r="D20" s="189" t="s">
        <v>2062</v>
      </c>
      <c r="E20" s="170" t="s">
        <v>204</v>
      </c>
      <c r="F20" s="170"/>
      <c r="G20" s="200" t="s">
        <v>2129</v>
      </c>
    </row>
    <row r="21" spans="3:7">
      <c r="C21" s="170">
        <f t="shared" si="0"/>
        <v>18</v>
      </c>
      <c r="D21" s="189" t="s">
        <v>1524</v>
      </c>
      <c r="E21" s="170" t="s">
        <v>329</v>
      </c>
      <c r="F21" s="170" t="s">
        <v>1711</v>
      </c>
      <c r="G21" s="200" t="s">
        <v>2</v>
      </c>
    </row>
    <row r="22" spans="3:7">
      <c r="C22" s="170">
        <f t="shared" si="0"/>
        <v>19</v>
      </c>
      <c r="D22" s="189" t="s">
        <v>1614</v>
      </c>
      <c r="E22" s="170" t="s">
        <v>1045</v>
      </c>
      <c r="F22" s="170" t="s">
        <v>1710</v>
      </c>
      <c r="G22" s="199" t="s">
        <v>1963</v>
      </c>
    </row>
    <row r="23" spans="3:7">
      <c r="C23" s="170">
        <f t="shared" si="0"/>
        <v>20</v>
      </c>
      <c r="D23" s="189" t="s">
        <v>2105</v>
      </c>
      <c r="E23" s="170" t="s">
        <v>329</v>
      </c>
      <c r="F23" s="170" t="s">
        <v>1290</v>
      </c>
      <c r="G23" s="200" t="s">
        <v>2129</v>
      </c>
    </row>
    <row r="24" spans="3:7">
      <c r="C24" s="170">
        <f t="shared" si="0"/>
        <v>21</v>
      </c>
      <c r="D24" s="189" t="s">
        <v>2039</v>
      </c>
      <c r="E24" s="170" t="s">
        <v>1045</v>
      </c>
      <c r="F24" s="170" t="s">
        <v>1290</v>
      </c>
      <c r="G24" s="199" t="s">
        <v>1884</v>
      </c>
    </row>
    <row r="25" spans="3:7">
      <c r="C25" s="170">
        <f t="shared" si="0"/>
        <v>22</v>
      </c>
      <c r="D25" s="189" t="s">
        <v>2058</v>
      </c>
      <c r="E25" s="170" t="s">
        <v>329</v>
      </c>
      <c r="F25" s="170" t="s">
        <v>1290</v>
      </c>
      <c r="G25" s="199" t="s">
        <v>1884</v>
      </c>
    </row>
    <row r="26" spans="3:7">
      <c r="C26" s="170">
        <f t="shared" si="0"/>
        <v>23</v>
      </c>
      <c r="D26" s="189" t="s">
        <v>2075</v>
      </c>
      <c r="E26" s="170" t="s">
        <v>1045</v>
      </c>
      <c r="F26" s="170" t="s">
        <v>1290</v>
      </c>
      <c r="G26" s="199" t="s">
        <v>2127</v>
      </c>
    </row>
    <row r="27" spans="3:7">
      <c r="C27" s="170">
        <f t="shared" si="0"/>
        <v>24</v>
      </c>
      <c r="D27" s="189" t="s">
        <v>1939</v>
      </c>
      <c r="E27" s="170" t="s">
        <v>204</v>
      </c>
      <c r="F27" s="170" t="s">
        <v>1290</v>
      </c>
      <c r="G27" s="198" t="s">
        <v>1965</v>
      </c>
    </row>
    <row r="28" spans="3:7">
      <c r="C28" s="170">
        <f t="shared" si="0"/>
        <v>25</v>
      </c>
      <c r="D28" s="189" t="s">
        <v>1633</v>
      </c>
      <c r="E28" s="170" t="s">
        <v>1045</v>
      </c>
      <c r="F28" s="170" t="s">
        <v>1290</v>
      </c>
      <c r="G28" s="198" t="s">
        <v>2112</v>
      </c>
    </row>
    <row r="29" spans="3:7">
      <c r="C29" s="170">
        <f t="shared" si="0"/>
        <v>26</v>
      </c>
      <c r="D29" s="189" t="s">
        <v>1938</v>
      </c>
      <c r="E29" s="170" t="s">
        <v>1045</v>
      </c>
      <c r="F29" s="170" t="s">
        <v>1890</v>
      </c>
      <c r="G29" s="198" t="s">
        <v>1965</v>
      </c>
    </row>
    <row r="30" spans="3:7">
      <c r="C30" s="170">
        <f t="shared" si="0"/>
        <v>27</v>
      </c>
      <c r="D30" s="189" t="s">
        <v>2077</v>
      </c>
      <c r="E30" s="170" t="s">
        <v>1045</v>
      </c>
      <c r="F30" s="170" t="s">
        <v>2133</v>
      </c>
      <c r="G30" s="198" t="s">
        <v>1965</v>
      </c>
    </row>
    <row r="31" spans="3:7">
      <c r="C31" s="170">
        <f t="shared" si="0"/>
        <v>28</v>
      </c>
      <c r="D31" s="189" t="s">
        <v>2079</v>
      </c>
      <c r="E31" s="170" t="s">
        <v>329</v>
      </c>
      <c r="F31" s="170" t="s">
        <v>2132</v>
      </c>
      <c r="G31" s="198" t="s">
        <v>2131</v>
      </c>
    </row>
    <row r="32" spans="3:7" ht="28.8">
      <c r="C32" s="170">
        <f t="shared" si="0"/>
        <v>29</v>
      </c>
      <c r="D32" s="189" t="s">
        <v>1941</v>
      </c>
      <c r="E32" s="170" t="s">
        <v>1045</v>
      </c>
      <c r="F32" s="170" t="s">
        <v>1902</v>
      </c>
      <c r="G32" s="198" t="s">
        <v>2125</v>
      </c>
    </row>
    <row r="33" spans="3:14">
      <c r="C33" s="170">
        <f t="shared" si="0"/>
        <v>30</v>
      </c>
      <c r="D33" s="189" t="s">
        <v>1997</v>
      </c>
      <c r="E33" s="170" t="s">
        <v>1045</v>
      </c>
      <c r="F33" s="170" t="s">
        <v>1725</v>
      </c>
      <c r="G33" s="198" t="s">
        <v>2015</v>
      </c>
    </row>
    <row r="34" spans="3:14">
      <c r="C34" s="170">
        <f t="shared" si="0"/>
        <v>31</v>
      </c>
      <c r="D34" s="189" t="s">
        <v>2064</v>
      </c>
      <c r="E34" s="170" t="s">
        <v>1045</v>
      </c>
      <c r="F34" s="170" t="s">
        <v>2134</v>
      </c>
      <c r="G34" s="198" t="s">
        <v>1965</v>
      </c>
    </row>
    <row r="35" spans="3:14">
      <c r="C35" s="170">
        <f t="shared" si="0"/>
        <v>32</v>
      </c>
      <c r="D35" s="189" t="s">
        <v>2022</v>
      </c>
      <c r="E35" s="170" t="s">
        <v>204</v>
      </c>
      <c r="F35" s="170" t="s">
        <v>2136</v>
      </c>
      <c r="G35" s="198" t="s">
        <v>1965</v>
      </c>
    </row>
    <row r="38" spans="3:14">
      <c r="D38" s="20" t="s">
        <v>2118</v>
      </c>
    </row>
    <row r="39" spans="3:14">
      <c r="C39" s="138" t="s">
        <v>7</v>
      </c>
      <c r="D39" s="137" t="s">
        <v>415</v>
      </c>
      <c r="E39" s="138" t="s">
        <v>1659</v>
      </c>
      <c r="F39" s="138" t="s">
        <v>1661</v>
      </c>
      <c r="I39" s="191" t="s">
        <v>1657</v>
      </c>
      <c r="J39" s="24">
        <v>27</v>
      </c>
    </row>
    <row r="40" spans="3:14">
      <c r="C40" s="141">
        <v>1</v>
      </c>
      <c r="D40" s="154" t="s">
        <v>1735</v>
      </c>
      <c r="E40" s="141" t="s">
        <v>270</v>
      </c>
      <c r="F40" s="200" t="s">
        <v>2137</v>
      </c>
      <c r="G40" s="26"/>
      <c r="I40" t="s">
        <v>1664</v>
      </c>
      <c r="J40" s="24">
        <v>7</v>
      </c>
    </row>
    <row r="41" spans="3:14">
      <c r="C41" s="141">
        <f>+C40+1</f>
        <v>2</v>
      </c>
      <c r="D41" s="154" t="s">
        <v>1526</v>
      </c>
      <c r="E41" s="141" t="s">
        <v>807</v>
      </c>
      <c r="F41" s="200" t="s">
        <v>1970</v>
      </c>
      <c r="G41" s="26"/>
      <c r="I41" s="26" t="s">
        <v>1667</v>
      </c>
      <c r="J41" s="25">
        <v>20</v>
      </c>
      <c r="N41" t="s">
        <v>2034</v>
      </c>
    </row>
    <row r="42" spans="3:14">
      <c r="C42" s="141">
        <f t="shared" ref="C42:C82" si="1">+C41+1</f>
        <v>3</v>
      </c>
      <c r="D42" s="154" t="s">
        <v>1619</v>
      </c>
      <c r="E42" s="141" t="s">
        <v>444</v>
      </c>
      <c r="F42" s="200" t="s">
        <v>1968</v>
      </c>
      <c r="G42" s="26"/>
      <c r="I42" t="s">
        <v>1982</v>
      </c>
      <c r="J42" s="24">
        <v>16</v>
      </c>
      <c r="N42" t="s">
        <v>693</v>
      </c>
    </row>
    <row r="43" spans="3:14">
      <c r="C43" s="141">
        <f t="shared" si="1"/>
        <v>4</v>
      </c>
      <c r="D43" s="154" t="s">
        <v>1940</v>
      </c>
      <c r="E43" s="141" t="s">
        <v>440</v>
      </c>
      <c r="F43" s="200" t="s">
        <v>2</v>
      </c>
      <c r="G43" s="26"/>
      <c r="I43" s="179" t="s">
        <v>1983</v>
      </c>
      <c r="J43" s="180">
        <f>+J39-J40-J41+J42</f>
        <v>16</v>
      </c>
    </row>
    <row r="44" spans="3:14">
      <c r="C44" s="141">
        <f t="shared" si="1"/>
        <v>5</v>
      </c>
      <c r="D44" s="154" t="s">
        <v>1640</v>
      </c>
      <c r="E44" s="141" t="s">
        <v>1623</v>
      </c>
      <c r="F44" s="200" t="s">
        <v>2</v>
      </c>
      <c r="G44" s="26"/>
    </row>
    <row r="45" spans="3:14">
      <c r="C45" s="141">
        <f t="shared" si="1"/>
        <v>6</v>
      </c>
      <c r="D45" s="154" t="s">
        <v>1641</v>
      </c>
      <c r="E45" s="141" t="s">
        <v>1623</v>
      </c>
      <c r="F45" s="200" t="s">
        <v>2</v>
      </c>
      <c r="G45" s="26"/>
    </row>
    <row r="46" spans="3:14">
      <c r="C46" s="141">
        <f t="shared" si="1"/>
        <v>7</v>
      </c>
      <c r="D46" s="154" t="s">
        <v>1644</v>
      </c>
      <c r="E46" s="141" t="s">
        <v>270</v>
      </c>
      <c r="F46" s="200" t="s">
        <v>2</v>
      </c>
      <c r="G46" s="26"/>
    </row>
    <row r="47" spans="3:14">
      <c r="C47" s="141">
        <f t="shared" si="1"/>
        <v>8</v>
      </c>
      <c r="D47" s="154" t="s">
        <v>1453</v>
      </c>
      <c r="E47" s="141" t="s">
        <v>270</v>
      </c>
      <c r="F47" s="200" t="s">
        <v>2</v>
      </c>
      <c r="G47" s="26"/>
    </row>
    <row r="48" spans="3:14">
      <c r="C48" s="141">
        <f t="shared" si="1"/>
        <v>9</v>
      </c>
      <c r="D48" s="154" t="s">
        <v>1636</v>
      </c>
      <c r="E48" s="141" t="s">
        <v>270</v>
      </c>
      <c r="F48" s="200" t="s">
        <v>2</v>
      </c>
      <c r="G48" s="26"/>
    </row>
    <row r="49" spans="3:7">
      <c r="C49" s="141">
        <f t="shared" si="1"/>
        <v>10</v>
      </c>
      <c r="D49" s="154" t="s">
        <v>2045</v>
      </c>
      <c r="E49" s="141" t="s">
        <v>270</v>
      </c>
      <c r="F49" s="200" t="s">
        <v>2</v>
      </c>
      <c r="G49" s="26"/>
    </row>
    <row r="50" spans="3:7">
      <c r="C50" s="141">
        <f t="shared" si="1"/>
        <v>11</v>
      </c>
      <c r="D50" s="154" t="s">
        <v>2088</v>
      </c>
      <c r="E50" s="141" t="s">
        <v>1623</v>
      </c>
      <c r="F50" s="200" t="s">
        <v>2</v>
      </c>
      <c r="G50" s="26"/>
    </row>
    <row r="51" spans="3:7">
      <c r="C51" s="141">
        <f t="shared" si="1"/>
        <v>12</v>
      </c>
      <c r="D51" s="154" t="s">
        <v>2088</v>
      </c>
      <c r="E51" s="141" t="s">
        <v>1623</v>
      </c>
      <c r="F51" s="200" t="s">
        <v>2</v>
      </c>
      <c r="G51" s="26"/>
    </row>
    <row r="52" spans="3:7">
      <c r="C52" s="141">
        <f t="shared" si="1"/>
        <v>13</v>
      </c>
      <c r="D52" s="154" t="s">
        <v>2092</v>
      </c>
      <c r="E52" s="141" t="s">
        <v>270</v>
      </c>
      <c r="F52" s="200" t="s">
        <v>2</v>
      </c>
      <c r="G52" s="26"/>
    </row>
    <row r="53" spans="3:7">
      <c r="C53" s="141">
        <f t="shared" si="1"/>
        <v>14</v>
      </c>
      <c r="D53" s="154" t="s">
        <v>2094</v>
      </c>
      <c r="E53" s="141" t="s">
        <v>270</v>
      </c>
      <c r="F53" s="200" t="s">
        <v>2</v>
      </c>
      <c r="G53" s="26"/>
    </row>
    <row r="54" spans="3:7">
      <c r="C54" s="141">
        <f t="shared" si="1"/>
        <v>15</v>
      </c>
      <c r="D54" s="154" t="s">
        <v>2099</v>
      </c>
      <c r="E54" s="141" t="s">
        <v>695</v>
      </c>
      <c r="F54" s="200" t="s">
        <v>2</v>
      </c>
      <c r="G54" s="26"/>
    </row>
    <row r="55" spans="3:7">
      <c r="C55" s="141">
        <f t="shared" si="1"/>
        <v>16</v>
      </c>
      <c r="D55" s="154" t="s">
        <v>2115</v>
      </c>
      <c r="E55" s="141" t="s">
        <v>270</v>
      </c>
      <c r="F55" s="200" t="s">
        <v>2</v>
      </c>
      <c r="G55" s="26"/>
    </row>
    <row r="56" spans="3:7">
      <c r="C56" s="141">
        <f t="shared" si="1"/>
        <v>17</v>
      </c>
      <c r="D56" s="154" t="s">
        <v>2041</v>
      </c>
      <c r="E56" s="141" t="s">
        <v>2040</v>
      </c>
      <c r="F56" s="198" t="s">
        <v>1976</v>
      </c>
      <c r="G56" s="26"/>
    </row>
    <row r="57" spans="3:7">
      <c r="C57" s="141">
        <f t="shared" si="1"/>
        <v>18</v>
      </c>
      <c r="D57" s="154" t="s">
        <v>898</v>
      </c>
      <c r="E57" s="141" t="s">
        <v>270</v>
      </c>
      <c r="F57" s="198" t="s">
        <v>1976</v>
      </c>
    </row>
    <row r="58" spans="3:7">
      <c r="C58" s="141">
        <f t="shared" si="1"/>
        <v>19</v>
      </c>
      <c r="D58" s="154" t="s">
        <v>1638</v>
      </c>
      <c r="E58" s="141" t="s">
        <v>1623</v>
      </c>
      <c r="F58" s="198" t="s">
        <v>1976</v>
      </c>
    </row>
    <row r="59" spans="3:7">
      <c r="C59" s="141">
        <f t="shared" si="1"/>
        <v>20</v>
      </c>
      <c r="D59" s="154" t="s">
        <v>2034</v>
      </c>
      <c r="E59" s="141" t="s">
        <v>270</v>
      </c>
      <c r="F59" s="198" t="s">
        <v>1976</v>
      </c>
    </row>
    <row r="60" spans="3:7">
      <c r="C60" s="141">
        <f t="shared" si="1"/>
        <v>21</v>
      </c>
      <c r="D60" s="154" t="s">
        <v>1576</v>
      </c>
      <c r="E60" s="141" t="s">
        <v>270</v>
      </c>
      <c r="F60" s="198" t="s">
        <v>1976</v>
      </c>
    </row>
    <row r="61" spans="3:7">
      <c r="C61" s="141">
        <f t="shared" si="1"/>
        <v>22</v>
      </c>
      <c r="D61" s="154" t="s">
        <v>1624</v>
      </c>
      <c r="E61" s="141" t="s">
        <v>1623</v>
      </c>
      <c r="F61" s="198" t="s">
        <v>1976</v>
      </c>
    </row>
    <row r="62" spans="3:7">
      <c r="C62" s="141">
        <f t="shared" si="1"/>
        <v>23</v>
      </c>
      <c r="D62" s="154" t="s">
        <v>1630</v>
      </c>
      <c r="E62" s="141" t="s">
        <v>320</v>
      </c>
      <c r="F62" s="198" t="s">
        <v>1976</v>
      </c>
    </row>
    <row r="63" spans="3:7">
      <c r="C63" s="141">
        <f t="shared" si="1"/>
        <v>24</v>
      </c>
      <c r="D63" s="154" t="s">
        <v>1642</v>
      </c>
      <c r="E63" s="141" t="s">
        <v>1623</v>
      </c>
      <c r="F63" s="198" t="s">
        <v>1976</v>
      </c>
    </row>
    <row r="64" spans="3:7">
      <c r="C64" s="141">
        <f t="shared" si="1"/>
        <v>25</v>
      </c>
      <c r="D64" s="154" t="s">
        <v>1935</v>
      </c>
      <c r="E64" s="141" t="s">
        <v>695</v>
      </c>
      <c r="F64" s="198" t="s">
        <v>1976</v>
      </c>
    </row>
    <row r="65" spans="3:6">
      <c r="C65" s="141">
        <f t="shared" si="1"/>
        <v>26</v>
      </c>
      <c r="D65" s="154" t="s">
        <v>1943</v>
      </c>
      <c r="E65" s="141" t="s">
        <v>1942</v>
      </c>
      <c r="F65" s="198" t="s">
        <v>1976</v>
      </c>
    </row>
    <row r="66" spans="3:6">
      <c r="C66" s="141">
        <f t="shared" si="1"/>
        <v>27</v>
      </c>
      <c r="D66" s="154" t="s">
        <v>1987</v>
      </c>
      <c r="E66" s="141" t="s">
        <v>1551</v>
      </c>
      <c r="F66" s="198" t="s">
        <v>1976</v>
      </c>
    </row>
    <row r="67" spans="3:6">
      <c r="C67" s="141">
        <f t="shared" si="1"/>
        <v>28</v>
      </c>
      <c r="D67" s="154" t="s">
        <v>1988</v>
      </c>
      <c r="E67" s="141" t="s">
        <v>320</v>
      </c>
      <c r="F67" s="198" t="s">
        <v>1976</v>
      </c>
    </row>
    <row r="68" spans="3:6">
      <c r="C68" s="141">
        <f t="shared" si="1"/>
        <v>29</v>
      </c>
      <c r="D68" s="154" t="s">
        <v>1990</v>
      </c>
      <c r="E68" s="141" t="s">
        <v>320</v>
      </c>
      <c r="F68" s="198" t="s">
        <v>1976</v>
      </c>
    </row>
    <row r="69" spans="3:6">
      <c r="C69" s="141">
        <f t="shared" si="1"/>
        <v>30</v>
      </c>
      <c r="D69" s="154" t="s">
        <v>1991</v>
      </c>
      <c r="E69" s="141" t="s">
        <v>807</v>
      </c>
      <c r="F69" s="198" t="s">
        <v>1976</v>
      </c>
    </row>
    <row r="70" spans="3:6">
      <c r="C70" s="141">
        <f t="shared" si="1"/>
        <v>31</v>
      </c>
      <c r="D70" s="154" t="s">
        <v>1994</v>
      </c>
      <c r="E70" s="141" t="s">
        <v>270</v>
      </c>
      <c r="F70" s="198" t="s">
        <v>1976</v>
      </c>
    </row>
    <row r="71" spans="3:6">
      <c r="C71" s="141">
        <f t="shared" si="1"/>
        <v>32</v>
      </c>
      <c r="D71" s="154" t="s">
        <v>1995</v>
      </c>
      <c r="E71" s="141" t="s">
        <v>320</v>
      </c>
      <c r="F71" s="198" t="s">
        <v>1976</v>
      </c>
    </row>
    <row r="72" spans="3:6">
      <c r="C72" s="141">
        <f t="shared" si="1"/>
        <v>33</v>
      </c>
      <c r="D72" s="154" t="s">
        <v>1996</v>
      </c>
      <c r="E72" s="141" t="s">
        <v>320</v>
      </c>
      <c r="F72" s="198" t="s">
        <v>1976</v>
      </c>
    </row>
    <row r="73" spans="3:6">
      <c r="C73" s="141">
        <f t="shared" si="1"/>
        <v>34</v>
      </c>
      <c r="D73" s="154" t="s">
        <v>2000</v>
      </c>
      <c r="E73" s="141" t="s">
        <v>270</v>
      </c>
      <c r="F73" s="198" t="s">
        <v>1976</v>
      </c>
    </row>
    <row r="74" spans="3:6">
      <c r="C74" s="141">
        <f t="shared" si="1"/>
        <v>35</v>
      </c>
      <c r="D74" s="154" t="s">
        <v>2017</v>
      </c>
      <c r="E74" s="141" t="s">
        <v>2025</v>
      </c>
      <c r="F74" s="198" t="s">
        <v>1976</v>
      </c>
    </row>
    <row r="75" spans="3:6">
      <c r="C75" s="141">
        <f t="shared" si="1"/>
        <v>36</v>
      </c>
      <c r="D75" s="154" t="s">
        <v>2021</v>
      </c>
      <c r="E75" s="141" t="s">
        <v>270</v>
      </c>
      <c r="F75" s="198" t="s">
        <v>1976</v>
      </c>
    </row>
    <row r="76" spans="3:6">
      <c r="C76" s="141">
        <f t="shared" si="1"/>
        <v>37</v>
      </c>
      <c r="D76" s="154" t="s">
        <v>2036</v>
      </c>
      <c r="E76" s="141" t="s">
        <v>2035</v>
      </c>
      <c r="F76" s="198" t="s">
        <v>1976</v>
      </c>
    </row>
    <row r="77" spans="3:6">
      <c r="C77" s="141">
        <f t="shared" si="1"/>
        <v>38</v>
      </c>
      <c r="D77" s="154" t="s">
        <v>2043</v>
      </c>
      <c r="E77" s="141" t="s">
        <v>320</v>
      </c>
      <c r="F77" s="198" t="s">
        <v>1976</v>
      </c>
    </row>
    <row r="78" spans="3:6">
      <c r="C78" s="141">
        <f t="shared" si="1"/>
        <v>39</v>
      </c>
      <c r="D78" s="154" t="s">
        <v>2046</v>
      </c>
      <c r="E78" s="141" t="s">
        <v>270</v>
      </c>
      <c r="F78" s="198" t="s">
        <v>1976</v>
      </c>
    </row>
    <row r="79" spans="3:6">
      <c r="C79" s="141">
        <f t="shared" si="1"/>
        <v>40</v>
      </c>
      <c r="D79" s="154" t="s">
        <v>2048</v>
      </c>
      <c r="E79" s="141" t="s">
        <v>270</v>
      </c>
      <c r="F79" s="198" t="s">
        <v>1976</v>
      </c>
    </row>
    <row r="80" spans="3:6">
      <c r="C80" s="141">
        <f t="shared" si="1"/>
        <v>41</v>
      </c>
      <c r="D80" s="154" t="s">
        <v>2052</v>
      </c>
      <c r="E80" s="141" t="s">
        <v>270</v>
      </c>
      <c r="F80" s="198" t="s">
        <v>1976</v>
      </c>
    </row>
    <row r="81" spans="3:7">
      <c r="C81" s="141">
        <f t="shared" si="1"/>
        <v>42</v>
      </c>
      <c r="D81" s="154" t="s">
        <v>2055</v>
      </c>
      <c r="E81" s="141" t="s">
        <v>304</v>
      </c>
      <c r="F81" s="198" t="s">
        <v>1976</v>
      </c>
    </row>
    <row r="82" spans="3:7">
      <c r="C82" s="141">
        <f t="shared" si="1"/>
        <v>43</v>
      </c>
      <c r="D82" s="154" t="s">
        <v>2069</v>
      </c>
      <c r="E82" s="141" t="s">
        <v>2068</v>
      </c>
      <c r="F82" s="198" t="s">
        <v>1976</v>
      </c>
    </row>
    <row r="88" spans="3:7">
      <c r="C88" s="141">
        <f>+C65+1</f>
        <v>27</v>
      </c>
      <c r="D88" s="154" t="s">
        <v>1458</v>
      </c>
      <c r="E88" s="141" t="s">
        <v>304</v>
      </c>
      <c r="F88" s="198" t="s">
        <v>1976</v>
      </c>
      <c r="G88" t="str">
        <f>+INDEX(Pipe!N:N,MATCH(D88,Pipe!E:E,0))</f>
        <v>Não</v>
      </c>
    </row>
    <row r="89" spans="3:7">
      <c r="C89" s="141">
        <f t="shared" ref="C89:C117" si="2">+C88+1</f>
        <v>28</v>
      </c>
      <c r="D89" s="154" t="s">
        <v>1461</v>
      </c>
      <c r="E89" s="141" t="s">
        <v>320</v>
      </c>
      <c r="F89" s="198" t="s">
        <v>1976</v>
      </c>
      <c r="G89" t="str">
        <f>+INDEX(Pipe!N:N,MATCH(D89,Pipe!E:E,0))</f>
        <v>Não</v>
      </c>
    </row>
    <row r="90" spans="3:7">
      <c r="C90" s="141">
        <f t="shared" si="2"/>
        <v>29</v>
      </c>
      <c r="D90" s="154" t="s">
        <v>1463</v>
      </c>
      <c r="E90" s="141" t="s">
        <v>320</v>
      </c>
      <c r="F90" s="198" t="s">
        <v>1972</v>
      </c>
      <c r="G90" t="str">
        <f>+INDEX(Pipe!N:N,MATCH(D90,Pipe!E:E,0))</f>
        <v>Não</v>
      </c>
    </row>
    <row r="91" spans="3:7">
      <c r="C91" s="141">
        <f t="shared" si="2"/>
        <v>30</v>
      </c>
      <c r="D91" s="154" t="s">
        <v>1475</v>
      </c>
      <c r="E91" s="141" t="s">
        <v>270</v>
      </c>
      <c r="F91" s="198" t="s">
        <v>1972</v>
      </c>
      <c r="G91" t="str">
        <f>+INDEX(Pipe!N:N,MATCH(D91,Pipe!E:E,0))</f>
        <v>Não</v>
      </c>
    </row>
    <row r="92" spans="3:7">
      <c r="C92" s="141">
        <f t="shared" si="2"/>
        <v>31</v>
      </c>
      <c r="D92" s="154" t="s">
        <v>1491</v>
      </c>
      <c r="E92" s="141" t="s">
        <v>86</v>
      </c>
      <c r="F92" s="198" t="s">
        <v>1972</v>
      </c>
      <c r="G92" t="str">
        <f>+INDEX(Pipe!N:N,MATCH(D92,Pipe!E:E,0))</f>
        <v>Não</v>
      </c>
    </row>
    <row r="93" spans="3:7">
      <c r="C93" s="141">
        <f t="shared" si="2"/>
        <v>32</v>
      </c>
      <c r="D93" s="154" t="s">
        <v>1510</v>
      </c>
      <c r="E93" s="141" t="s">
        <v>86</v>
      </c>
      <c r="F93" s="198" t="s">
        <v>1972</v>
      </c>
      <c r="G93" t="str">
        <f>+INDEX(Pipe!N:N,MATCH(D93,Pipe!E:E,0))</f>
        <v>Não</v>
      </c>
    </row>
    <row r="94" spans="3:7">
      <c r="C94" s="141">
        <f t="shared" si="2"/>
        <v>33</v>
      </c>
      <c r="D94" s="154" t="s">
        <v>1514</v>
      </c>
      <c r="E94" s="141" t="s">
        <v>20</v>
      </c>
      <c r="F94" s="198" t="s">
        <v>1972</v>
      </c>
      <c r="G94" t="str">
        <f>+INDEX(Pipe!N:N,MATCH(D94,Pipe!E:E,0))</f>
        <v>Não</v>
      </c>
    </row>
    <row r="95" spans="3:7">
      <c r="C95" s="141">
        <f t="shared" si="2"/>
        <v>34</v>
      </c>
      <c r="D95" s="154" t="s">
        <v>1518</v>
      </c>
      <c r="E95" s="141" t="s">
        <v>320</v>
      </c>
      <c r="F95" s="198" t="s">
        <v>1972</v>
      </c>
      <c r="G95" t="str">
        <f>+INDEX(Pipe!N:N,MATCH(D95,Pipe!E:E,0))</f>
        <v>Não</v>
      </c>
    </row>
    <row r="96" spans="3:7">
      <c r="C96" s="141">
        <f t="shared" si="2"/>
        <v>35</v>
      </c>
      <c r="D96" s="154" t="s">
        <v>1540</v>
      </c>
      <c r="E96" s="141" t="s">
        <v>444</v>
      </c>
      <c r="F96" s="198" t="s">
        <v>1976</v>
      </c>
      <c r="G96" t="str">
        <f>+INDEX(Pipe!N:N,MATCH(D96,Pipe!E:E,0))</f>
        <v>Não</v>
      </c>
    </row>
    <row r="97" spans="3:7">
      <c r="C97" s="141">
        <f t="shared" si="2"/>
        <v>36</v>
      </c>
      <c r="D97" s="154" t="s">
        <v>1544</v>
      </c>
      <c r="E97" s="141" t="s">
        <v>304</v>
      </c>
      <c r="F97" s="198" t="s">
        <v>1976</v>
      </c>
      <c r="G97" t="str">
        <f>+INDEX(Pipe!N:N,MATCH(D97,Pipe!E:E,0))</f>
        <v>Não</v>
      </c>
    </row>
    <row r="98" spans="3:7">
      <c r="C98" s="141">
        <f t="shared" si="2"/>
        <v>37</v>
      </c>
      <c r="D98" s="154" t="s">
        <v>1552</v>
      </c>
      <c r="E98" s="141" t="s">
        <v>1551</v>
      </c>
      <c r="F98" s="198" t="s">
        <v>1976</v>
      </c>
      <c r="G98" t="str">
        <f>+INDEX(Pipe!N:N,MATCH(D98,Pipe!E:E,0))</f>
        <v>Não</v>
      </c>
    </row>
    <row r="99" spans="3:7">
      <c r="C99" s="141">
        <f t="shared" si="2"/>
        <v>38</v>
      </c>
      <c r="D99" s="154" t="s">
        <v>1556</v>
      </c>
      <c r="E99" s="141" t="s">
        <v>320</v>
      </c>
      <c r="F99" s="198" t="s">
        <v>1976</v>
      </c>
      <c r="G99" t="str">
        <f>+INDEX(Pipe!N:N,MATCH(D99,Pipe!E:E,0))</f>
        <v>Não</v>
      </c>
    </row>
    <row r="100" spans="3:7">
      <c r="C100" s="141">
        <f t="shared" si="2"/>
        <v>39</v>
      </c>
      <c r="D100" s="154" t="s">
        <v>1558</v>
      </c>
      <c r="E100" s="141" t="s">
        <v>320</v>
      </c>
      <c r="F100" s="198" t="s">
        <v>1976</v>
      </c>
      <c r="G100" t="str">
        <f>+INDEX(Pipe!N:N,MATCH(D100,Pipe!E:E,0))</f>
        <v>Não</v>
      </c>
    </row>
    <row r="101" spans="3:7">
      <c r="C101" s="141">
        <f t="shared" si="2"/>
        <v>40</v>
      </c>
      <c r="D101" s="154" t="s">
        <v>1561</v>
      </c>
      <c r="E101" s="141" t="s">
        <v>320</v>
      </c>
      <c r="F101" s="198" t="s">
        <v>1976</v>
      </c>
      <c r="G101" t="str">
        <f>+INDEX(Pipe!N:N,MATCH(D101,Pipe!E:E,0))</f>
        <v>Não</v>
      </c>
    </row>
    <row r="102" spans="3:7">
      <c r="C102" s="141">
        <f t="shared" si="2"/>
        <v>41</v>
      </c>
      <c r="D102" s="154" t="s">
        <v>1564</v>
      </c>
      <c r="E102" s="141" t="s">
        <v>1563</v>
      </c>
      <c r="F102" s="198" t="s">
        <v>1976</v>
      </c>
      <c r="G102" t="str">
        <f>+INDEX(Pipe!N:N,MATCH(D102,Pipe!E:E,0))</f>
        <v>Não</v>
      </c>
    </row>
    <row r="103" spans="3:7">
      <c r="C103" s="141">
        <f t="shared" si="2"/>
        <v>42</v>
      </c>
      <c r="D103" s="154" t="s">
        <v>1568</v>
      </c>
      <c r="E103" s="141" t="s">
        <v>86</v>
      </c>
      <c r="F103" s="198" t="s">
        <v>1976</v>
      </c>
      <c r="G103" t="str">
        <f>+INDEX(Pipe!N:N,MATCH(D103,Pipe!E:E,0))</f>
        <v>Não</v>
      </c>
    </row>
    <row r="104" spans="3:7">
      <c r="C104" s="141">
        <f t="shared" si="2"/>
        <v>43</v>
      </c>
      <c r="D104" s="154" t="s">
        <v>1574</v>
      </c>
      <c r="E104" s="141" t="s">
        <v>807</v>
      </c>
      <c r="F104" s="198" t="s">
        <v>1976</v>
      </c>
      <c r="G104" t="str">
        <f>+INDEX(Pipe!N:N,MATCH(D104,Pipe!E:E,0))</f>
        <v>Não</v>
      </c>
    </row>
    <row r="105" spans="3:7">
      <c r="C105" s="141">
        <f t="shared" si="2"/>
        <v>44</v>
      </c>
      <c r="D105" s="154" t="s">
        <v>1578</v>
      </c>
      <c r="E105" s="141" t="s">
        <v>320</v>
      </c>
      <c r="F105" s="198" t="s">
        <v>1976</v>
      </c>
      <c r="G105" t="str">
        <f>+INDEX(Pipe!N:N,MATCH(D105,Pipe!E:E,0))</f>
        <v>Não</v>
      </c>
    </row>
    <row r="106" spans="3:7">
      <c r="C106" s="141">
        <f t="shared" si="2"/>
        <v>45</v>
      </c>
      <c r="D106" s="154" t="s">
        <v>1580</v>
      </c>
      <c r="E106" s="141" t="s">
        <v>270</v>
      </c>
      <c r="F106" s="198" t="s">
        <v>1976</v>
      </c>
      <c r="G106" t="str">
        <f>+INDEX(Pipe!N:N,MATCH(D106,Pipe!E:E,0))</f>
        <v>Não</v>
      </c>
    </row>
    <row r="107" spans="3:7">
      <c r="C107" s="141">
        <f t="shared" si="2"/>
        <v>46</v>
      </c>
      <c r="D107" s="154" t="s">
        <v>1583</v>
      </c>
      <c r="E107" s="141" t="s">
        <v>270</v>
      </c>
      <c r="F107" s="198" t="s">
        <v>1976</v>
      </c>
      <c r="G107" t="str">
        <f>+INDEX(Pipe!N:N,MATCH(D107,Pipe!E:E,0))</f>
        <v>Não</v>
      </c>
    </row>
    <row r="108" spans="3:7">
      <c r="C108" s="141">
        <f t="shared" si="2"/>
        <v>47</v>
      </c>
      <c r="D108" s="154" t="s">
        <v>1587</v>
      </c>
      <c r="E108" s="141" t="s">
        <v>270</v>
      </c>
      <c r="F108" s="198" t="s">
        <v>1976</v>
      </c>
      <c r="G108" t="str">
        <f>+INDEX(Pipe!N:N,MATCH(D108,Pipe!E:E,0))</f>
        <v>Não</v>
      </c>
    </row>
    <row r="109" spans="3:7">
      <c r="C109" s="141">
        <f t="shared" si="2"/>
        <v>48</v>
      </c>
      <c r="D109" s="154" t="s">
        <v>1590</v>
      </c>
      <c r="E109" s="141" t="s">
        <v>695</v>
      </c>
      <c r="F109" s="198" t="s">
        <v>1976</v>
      </c>
      <c r="G109" t="str">
        <f>+INDEX(Pipe!N:N,MATCH(D109,Pipe!E:E,0))</f>
        <v>Não</v>
      </c>
    </row>
    <row r="110" spans="3:7">
      <c r="C110" s="141">
        <f t="shared" si="2"/>
        <v>49</v>
      </c>
      <c r="D110" s="154" t="s">
        <v>1597</v>
      </c>
      <c r="E110" s="141" t="s">
        <v>1596</v>
      </c>
      <c r="F110" s="198" t="s">
        <v>1976</v>
      </c>
      <c r="G110" t="str">
        <f>+INDEX(Pipe!N:N,MATCH(D110,Pipe!E:E,0))</f>
        <v>Não</v>
      </c>
    </row>
    <row r="111" spans="3:7">
      <c r="C111" s="141">
        <f t="shared" si="2"/>
        <v>50</v>
      </c>
      <c r="D111" s="154" t="s">
        <v>1604</v>
      </c>
      <c r="E111" s="141" t="s">
        <v>1596</v>
      </c>
      <c r="F111" s="198" t="s">
        <v>1976</v>
      </c>
      <c r="G111" t="str">
        <f>+INDEX(Pipe!N:N,MATCH(D111,Pipe!E:E,0))</f>
        <v>Não</v>
      </c>
    </row>
    <row r="112" spans="3:7">
      <c r="C112" s="141">
        <f t="shared" si="2"/>
        <v>51</v>
      </c>
      <c r="D112" s="154" t="s">
        <v>1607</v>
      </c>
      <c r="E112" s="141" t="s">
        <v>440</v>
      </c>
      <c r="F112" s="198" t="s">
        <v>1976</v>
      </c>
      <c r="G112" t="str">
        <f>+INDEX(Pipe!N:N,MATCH(D112,Pipe!E:E,0))</f>
        <v>Não</v>
      </c>
    </row>
    <row r="113" spans="3:7">
      <c r="C113" s="141">
        <f t="shared" si="2"/>
        <v>52</v>
      </c>
      <c r="D113" s="154" t="s">
        <v>1610</v>
      </c>
      <c r="E113" s="141" t="s">
        <v>1596</v>
      </c>
      <c r="F113" s="198" t="s">
        <v>1976</v>
      </c>
      <c r="G113" t="str">
        <f>+INDEX(Pipe!N:N,MATCH(D113,Pipe!E:E,0))</f>
        <v>Não</v>
      </c>
    </row>
    <row r="114" spans="3:7">
      <c r="C114" s="141">
        <f t="shared" si="2"/>
        <v>53</v>
      </c>
      <c r="D114" s="154" t="s">
        <v>1612</v>
      </c>
      <c r="E114" s="141" t="s">
        <v>440</v>
      </c>
      <c r="F114" s="198" t="s">
        <v>1976</v>
      </c>
      <c r="G114" t="str">
        <f>+INDEX(Pipe!N:N,MATCH(D114,Pipe!E:E,0))</f>
        <v>Não</v>
      </c>
    </row>
    <row r="115" spans="3:7">
      <c r="C115" s="141">
        <f t="shared" si="2"/>
        <v>54</v>
      </c>
      <c r="D115" s="154" t="s">
        <v>1627</v>
      </c>
      <c r="E115" s="141" t="s">
        <v>1623</v>
      </c>
      <c r="F115" s="198" t="s">
        <v>1976</v>
      </c>
      <c r="G115" t="str">
        <f>+INDEX(Pipe!N:N,MATCH(D115,Pipe!E:E,0))</f>
        <v>Não</v>
      </c>
    </row>
    <row r="116" spans="3:7">
      <c r="C116" s="141">
        <f t="shared" si="2"/>
        <v>55</v>
      </c>
      <c r="D116" s="154" t="s">
        <v>1921</v>
      </c>
      <c r="E116" s="141" t="s">
        <v>86</v>
      </c>
      <c r="F116" s="198" t="s">
        <v>1976</v>
      </c>
      <c r="G116" t="str">
        <f>+INDEX(Pipe!N:N,MATCH(D116,Pipe!E:E,0))</f>
        <v>Não</v>
      </c>
    </row>
    <row r="117" spans="3:7">
      <c r="C117" s="141">
        <f t="shared" si="2"/>
        <v>56</v>
      </c>
      <c r="D117" s="154" t="s">
        <v>1923</v>
      </c>
      <c r="E117" s="141" t="s">
        <v>86</v>
      </c>
      <c r="F117" s="198" t="s">
        <v>1976</v>
      </c>
      <c r="G117" t="str">
        <f>+INDEX(Pipe!N:N,MATCH(D117,Pipe!E:E,0))</f>
        <v>Não</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113FB-E197-4E58-B675-F82F761347B1}">
  <sheetPr codeName="Sheet5"/>
  <dimension ref="C1:K99"/>
  <sheetViews>
    <sheetView topLeftCell="A60" workbookViewId="0">
      <selection activeCell="C52" sqref="C52:F99"/>
    </sheetView>
  </sheetViews>
  <sheetFormatPr defaultRowHeight="14.4" outlineLevelCol="1"/>
  <cols>
    <col min="1" max="2" width="1.6640625" customWidth="1"/>
    <col min="3" max="3" width="3.44140625" bestFit="1" customWidth="1"/>
    <col min="4" max="4" width="47.33203125" bestFit="1" customWidth="1"/>
    <col min="5" max="5" width="24" bestFit="1" customWidth="1"/>
    <col min="6" max="7" width="54.88671875" bestFit="1" customWidth="1"/>
    <col min="8" max="8" width="9.109375" hidden="1" customWidth="1" outlineLevel="1"/>
    <col min="9" max="9" width="9.109375" collapsed="1"/>
    <col min="10" max="10" width="24.5546875" bestFit="1" customWidth="1"/>
    <col min="11" max="11" width="10.44140625" customWidth="1"/>
    <col min="14" max="14" width="197.109375" bestFit="1" customWidth="1"/>
    <col min="17" max="17" width="3" bestFit="1" customWidth="1"/>
    <col min="18" max="18" width="33.5546875" bestFit="1" customWidth="1"/>
    <col min="19" max="19" width="24.88671875" bestFit="1" customWidth="1"/>
    <col min="20" max="20" width="24.109375" bestFit="1" customWidth="1"/>
    <col min="21" max="21" width="35.44140625" bestFit="1" customWidth="1"/>
  </cols>
  <sheetData>
    <row r="1" spans="3:11">
      <c r="D1" s="20" t="s">
        <v>1967</v>
      </c>
    </row>
    <row r="2" spans="3:11">
      <c r="C2" s="138" t="s">
        <v>7</v>
      </c>
      <c r="D2" s="156" t="s">
        <v>1658</v>
      </c>
      <c r="E2" s="138" t="s">
        <v>1659</v>
      </c>
      <c r="F2" s="138" t="s">
        <v>1660</v>
      </c>
      <c r="G2" s="138" t="s">
        <v>1661</v>
      </c>
      <c r="J2" s="191" t="s">
        <v>1657</v>
      </c>
      <c r="K2" s="192">
        <v>23</v>
      </c>
    </row>
    <row r="3" spans="3:11">
      <c r="C3" s="170">
        <v>1</v>
      </c>
      <c r="D3" s="171" t="s">
        <v>1572</v>
      </c>
      <c r="E3" s="172" t="s">
        <v>1045</v>
      </c>
      <c r="F3" s="172" t="s">
        <v>1710</v>
      </c>
      <c r="G3" s="165" t="s">
        <v>1949</v>
      </c>
      <c r="H3" t="e">
        <f>INDEX('Reuniao Vertical_1505'!P:P,MATCH('Reunião Vertical_1707'!D3,'Reuniao Vertical_1505'!I:I,0))</f>
        <v>#N/A</v>
      </c>
      <c r="J3" t="s">
        <v>1664</v>
      </c>
      <c r="K3" s="24">
        <f>21+12</f>
        <v>33</v>
      </c>
    </row>
    <row r="4" spans="3:11">
      <c r="C4" s="170">
        <f>+C3+1</f>
        <v>2</v>
      </c>
      <c r="D4" s="171" t="s">
        <v>1362</v>
      </c>
      <c r="E4" s="172" t="s">
        <v>329</v>
      </c>
      <c r="F4" s="172" t="s">
        <v>1290</v>
      </c>
      <c r="G4" s="165" t="s">
        <v>1978</v>
      </c>
      <c r="H4" t="str">
        <f>INDEX('Reuniao Vertical_1505'!P:P,MATCH('Reunião Vertical_1707'!D4,'Reuniao Vertical_1505'!I:I,0))</f>
        <v>x</v>
      </c>
      <c r="J4" t="s">
        <v>1667</v>
      </c>
      <c r="K4" s="24">
        <v>12</v>
      </c>
    </row>
    <row r="5" spans="3:11">
      <c r="C5" s="170">
        <f t="shared" ref="C5:C48" si="0">+C4+1</f>
        <v>3</v>
      </c>
      <c r="D5" s="171" t="s">
        <v>1620</v>
      </c>
      <c r="E5" s="24" t="s">
        <v>329</v>
      </c>
      <c r="F5" s="172" t="s">
        <v>1950</v>
      </c>
      <c r="G5" s="165" t="s">
        <v>1981</v>
      </c>
      <c r="H5" t="e">
        <f>INDEX('Reuniao Vertical_1505'!P:P,MATCH('Reunião Vertical_1707'!D5,'Reuniao Vertical_1505'!I:I,0))</f>
        <v>#N/A</v>
      </c>
    </row>
    <row r="6" spans="3:11">
      <c r="C6" s="170">
        <f t="shared" si="0"/>
        <v>4</v>
      </c>
      <c r="D6" t="s">
        <v>1509</v>
      </c>
      <c r="E6" s="172" t="s">
        <v>1045</v>
      </c>
      <c r="F6" s="172" t="s">
        <v>1710</v>
      </c>
      <c r="G6" s="165" t="s">
        <v>1977</v>
      </c>
      <c r="H6" t="str">
        <f>INDEX('Reuniao Vertical_1505'!P:P,MATCH('Reunião Vertical_1707'!D6,'Reuniao Vertical_1505'!I:I,0))</f>
        <v>x</v>
      </c>
      <c r="J6" t="s">
        <v>1982</v>
      </c>
      <c r="K6" s="24">
        <v>35</v>
      </c>
    </row>
    <row r="7" spans="3:11">
      <c r="C7" s="170">
        <f t="shared" si="0"/>
        <v>5</v>
      </c>
      <c r="D7" s="171" t="s">
        <v>1524</v>
      </c>
      <c r="E7" s="172" t="s">
        <v>329</v>
      </c>
      <c r="F7" s="172" t="s">
        <v>1711</v>
      </c>
      <c r="G7" s="167" t="s">
        <v>2</v>
      </c>
      <c r="H7" t="e">
        <f>INDEX('Reuniao Vertical_1505'!P:P,MATCH('Reunião Vertical_1707'!D7,'Reuniao Vertical_1505'!I:I,0))</f>
        <v>#N/A</v>
      </c>
      <c r="J7" t="s">
        <v>1983</v>
      </c>
      <c r="K7" s="24">
        <f>+K2-K3-K4+K6</f>
        <v>13</v>
      </c>
    </row>
    <row r="8" spans="3:11">
      <c r="C8" s="170">
        <f t="shared" si="0"/>
        <v>6</v>
      </c>
      <c r="D8" s="171" t="s">
        <v>1593</v>
      </c>
      <c r="E8" s="172" t="s">
        <v>1045</v>
      </c>
      <c r="F8" s="172" t="s">
        <v>1725</v>
      </c>
      <c r="G8" s="167" t="s">
        <v>1962</v>
      </c>
      <c r="H8" t="e">
        <f>INDEX('Reuniao Vertical_1505'!P:P,MATCH('Reunião Vertical_1707'!D8,'Reuniao Vertical_1505'!I:I,0))</f>
        <v>#N/A</v>
      </c>
    </row>
    <row r="9" spans="3:11">
      <c r="C9" s="170">
        <f t="shared" si="0"/>
        <v>7</v>
      </c>
      <c r="D9" s="171" t="s">
        <v>973</v>
      </c>
      <c r="E9" s="172" t="s">
        <v>1045</v>
      </c>
      <c r="F9" s="172" t="s">
        <v>1763</v>
      </c>
      <c r="G9" s="167" t="s">
        <v>2</v>
      </c>
      <c r="H9" t="e">
        <f>INDEX('Reuniao Vertical_1505'!P:P,MATCH('Reunião Vertical_1707'!D9,'Reuniao Vertical_1505'!I:I,0))</f>
        <v>#N/A</v>
      </c>
    </row>
    <row r="10" spans="3:11">
      <c r="C10" s="170">
        <f t="shared" si="0"/>
        <v>8</v>
      </c>
      <c r="D10" s="171" t="s">
        <v>1614</v>
      </c>
      <c r="E10" s="172" t="s">
        <v>1045</v>
      </c>
      <c r="F10" s="172" t="s">
        <v>1710</v>
      </c>
      <c r="G10" s="167" t="s">
        <v>1963</v>
      </c>
      <c r="H10" t="e">
        <f>INDEX('Reuniao Vertical_1505'!P:P,MATCH('Reunião Vertical_1707'!D10,'Reuniao Vertical_1505'!I:I,0))</f>
        <v>#N/A</v>
      </c>
    </row>
    <row r="11" spans="3:11">
      <c r="C11" s="170">
        <f t="shared" si="0"/>
        <v>9</v>
      </c>
      <c r="D11" s="171" t="s">
        <v>1616</v>
      </c>
      <c r="E11" s="172" t="s">
        <v>1045</v>
      </c>
      <c r="F11" s="172" t="s">
        <v>1763</v>
      </c>
      <c r="G11" s="167" t="s">
        <v>1964</v>
      </c>
      <c r="H11" t="e">
        <f>INDEX('Reuniao Vertical_1505'!P:P,MATCH('Reunião Vertical_1707'!D11,'Reuniao Vertical_1505'!I:I,0))</f>
        <v>#N/A</v>
      </c>
    </row>
    <row r="12" spans="3:11">
      <c r="C12" s="170">
        <f t="shared" si="0"/>
        <v>10</v>
      </c>
      <c r="D12" s="171" t="s">
        <v>1617</v>
      </c>
      <c r="E12" s="172" t="s">
        <v>1045</v>
      </c>
      <c r="F12" s="172" t="s">
        <v>1290</v>
      </c>
      <c r="G12" s="167" t="s">
        <v>1979</v>
      </c>
      <c r="H12" t="e">
        <f>INDEX('Reuniao Vertical_1505'!P:P,MATCH('Reunião Vertical_1707'!D12,'Reuniao Vertical_1505'!I:I,0))</f>
        <v>#N/A</v>
      </c>
    </row>
    <row r="13" spans="3:11">
      <c r="C13" s="170">
        <f t="shared" si="0"/>
        <v>11</v>
      </c>
      <c r="D13" s="171" t="s">
        <v>1939</v>
      </c>
      <c r="E13" s="172" t="s">
        <v>204</v>
      </c>
      <c r="F13" s="172" t="s">
        <v>1290</v>
      </c>
      <c r="G13" s="167" t="s">
        <v>2</v>
      </c>
      <c r="H13" t="e">
        <f>INDEX('Reuniao Vertical_1505'!P:P,MATCH('Reunião Vertical_1707'!D13,'Reuniao Vertical_1505'!I:I,0))</f>
        <v>#N/A</v>
      </c>
    </row>
    <row r="14" spans="3:11">
      <c r="C14" s="170">
        <f t="shared" si="0"/>
        <v>12</v>
      </c>
      <c r="D14" s="171" t="s">
        <v>1633</v>
      </c>
      <c r="E14" s="172" t="s">
        <v>1045</v>
      </c>
      <c r="F14" s="172" t="s">
        <v>1290</v>
      </c>
      <c r="G14" s="167" t="s">
        <v>1980</v>
      </c>
      <c r="H14" t="e">
        <f>INDEX('Reuniao Vertical_1505'!P:P,MATCH('Reunião Vertical_1707'!D14,'Reuniao Vertical_1505'!I:I,0))</f>
        <v>#N/A</v>
      </c>
    </row>
    <row r="15" spans="3:11">
      <c r="C15" s="170">
        <f t="shared" si="0"/>
        <v>13</v>
      </c>
      <c r="D15" s="171" t="s">
        <v>1938</v>
      </c>
      <c r="E15" s="172" t="s">
        <v>1045</v>
      </c>
      <c r="F15" s="172" t="s">
        <v>1890</v>
      </c>
      <c r="G15" s="167" t="s">
        <v>2</v>
      </c>
      <c r="H15" t="e">
        <f>INDEX('Reuniao Vertical_1505'!P:P,MATCH('Reunião Vertical_1707'!D15,'Reuniao Vertical_1505'!I:I,0))</f>
        <v>#N/A</v>
      </c>
    </row>
    <row r="16" spans="3:11">
      <c r="C16" s="170">
        <f t="shared" si="0"/>
        <v>14</v>
      </c>
      <c r="D16" s="171" t="s">
        <v>1643</v>
      </c>
      <c r="E16" s="172" t="s">
        <v>204</v>
      </c>
      <c r="F16" s="172" t="s">
        <v>1966</v>
      </c>
      <c r="G16" s="168" t="s">
        <v>1965</v>
      </c>
      <c r="H16" t="e">
        <f>INDEX('Reuniao Vertical_1505'!P:P,MATCH('Reunião Vertical_1707'!D16,'Reuniao Vertical_1505'!I:I,0))</f>
        <v>#N/A</v>
      </c>
    </row>
    <row r="17" spans="3:8">
      <c r="C17" s="170">
        <f t="shared" si="0"/>
        <v>15</v>
      </c>
      <c r="D17" s="171" t="s">
        <v>1600</v>
      </c>
      <c r="E17" s="172" t="s">
        <v>204</v>
      </c>
      <c r="F17" s="172" t="s">
        <v>1711</v>
      </c>
      <c r="G17" s="168" t="s">
        <v>1965</v>
      </c>
      <c r="H17" t="e">
        <f>INDEX('Reuniao Vertical_1505'!P:P,MATCH('Reunião Vertical_1707'!D17,'Reuniao Vertical_1505'!I:I,0))</f>
        <v>#N/A</v>
      </c>
    </row>
    <row r="18" spans="3:8">
      <c r="C18" s="170">
        <f t="shared" si="0"/>
        <v>16</v>
      </c>
      <c r="D18" s="189" t="s">
        <v>1653</v>
      </c>
      <c r="E18" s="170" t="s">
        <v>329</v>
      </c>
      <c r="F18" s="170" t="s">
        <v>1290</v>
      </c>
      <c r="G18" s="190" t="s">
        <v>1947</v>
      </c>
      <c r="H18" t="e">
        <f>INDEX('Reuniao Vertical_1505'!P:P,MATCH('Reunião Vertical_1707'!D18,'Reuniao Vertical_1505'!I:I,0))</f>
        <v>#N/A</v>
      </c>
    </row>
    <row r="19" spans="3:8">
      <c r="C19" s="170">
        <f t="shared" si="0"/>
        <v>17</v>
      </c>
      <c r="D19" s="171" t="s">
        <v>1932</v>
      </c>
      <c r="E19" s="172" t="s">
        <v>1045</v>
      </c>
      <c r="F19" s="172" t="s">
        <v>1961</v>
      </c>
      <c r="G19" s="168" t="s">
        <v>1960</v>
      </c>
      <c r="H19" t="e">
        <f>INDEX('Reuniao Vertical_1505'!P:P,MATCH('Reunião Vertical_1707'!D19,'Reuniao Vertical_1505'!I:I,0))</f>
        <v>#N/A</v>
      </c>
    </row>
    <row r="20" spans="3:8">
      <c r="C20" s="170">
        <f t="shared" si="0"/>
        <v>18</v>
      </c>
      <c r="D20" s="171" t="s">
        <v>1400</v>
      </c>
      <c r="E20" s="172" t="s">
        <v>1672</v>
      </c>
      <c r="F20" s="172" t="s">
        <v>1673</v>
      </c>
      <c r="G20" s="168" t="s">
        <v>1959</v>
      </c>
      <c r="H20" t="str">
        <f>INDEX('Reuniao Vertical_1505'!P:P,MATCH('Reunião Vertical_1707'!D20,'Reuniao Vertical_1505'!I:I,0))</f>
        <v>x</v>
      </c>
    </row>
    <row r="21" spans="3:8">
      <c r="C21" s="170">
        <f t="shared" si="0"/>
        <v>19</v>
      </c>
      <c r="D21" s="171" t="s">
        <v>407</v>
      </c>
      <c r="E21" s="172" t="s">
        <v>1045</v>
      </c>
      <c r="F21" s="172" t="s">
        <v>1725</v>
      </c>
      <c r="G21" s="168" t="s">
        <v>1954</v>
      </c>
      <c r="H21" t="e">
        <f>INDEX('Reuniao Vertical_1505'!P:P,MATCH('Reunião Vertical_1707'!D21,'Reuniao Vertical_1505'!I:I,0))</f>
        <v>#N/A</v>
      </c>
    </row>
    <row r="22" spans="3:8">
      <c r="C22" s="170">
        <f t="shared" si="0"/>
        <v>20</v>
      </c>
      <c r="D22" s="171" t="s">
        <v>1527</v>
      </c>
      <c r="E22" s="172" t="s">
        <v>1045</v>
      </c>
      <c r="F22" s="172" t="s">
        <v>1290</v>
      </c>
      <c r="G22" s="168" t="s">
        <v>1469</v>
      </c>
      <c r="H22" t="e">
        <f>INDEX('Reuniao Vertical_1505'!P:P,MATCH('Reunião Vertical_1707'!D22,'Reuniao Vertical_1505'!I:I,0))</f>
        <v>#N/A</v>
      </c>
    </row>
    <row r="23" spans="3:8">
      <c r="C23" s="170">
        <f t="shared" si="0"/>
        <v>21</v>
      </c>
      <c r="D23" s="171" t="s">
        <v>1530</v>
      </c>
      <c r="E23" s="172" t="s">
        <v>715</v>
      </c>
      <c r="F23" s="172" t="s">
        <v>1290</v>
      </c>
      <c r="G23" s="168" t="s">
        <v>1955</v>
      </c>
      <c r="H23" t="e">
        <f>INDEX('Reuniao Vertical_1505'!P:P,MATCH('Reunião Vertical_1707'!D23,'Reuniao Vertical_1505'!I:I,0))</f>
        <v>#N/A</v>
      </c>
    </row>
    <row r="24" spans="3:8">
      <c r="C24" s="170">
        <f t="shared" si="0"/>
        <v>22</v>
      </c>
      <c r="D24" s="171" t="s">
        <v>1570</v>
      </c>
      <c r="E24" s="172" t="s">
        <v>1045</v>
      </c>
      <c r="F24" s="172" t="s">
        <v>1290</v>
      </c>
      <c r="G24" s="168" t="s">
        <v>1956</v>
      </c>
      <c r="H24" t="e">
        <f>INDEX('Reuniao Vertical_1505'!P:P,MATCH('Reunião Vertical_1707'!D24,'Reuniao Vertical_1505'!I:I,0))</f>
        <v>#N/A</v>
      </c>
    </row>
    <row r="25" spans="3:8">
      <c r="C25" s="170">
        <f t="shared" si="0"/>
        <v>23</v>
      </c>
      <c r="D25" s="171" t="s">
        <v>1594</v>
      </c>
      <c r="E25" s="172" t="s">
        <v>329</v>
      </c>
      <c r="F25" s="172" t="s">
        <v>1711</v>
      </c>
      <c r="G25" s="168" t="s">
        <v>1469</v>
      </c>
      <c r="H25" t="e">
        <f>INDEX('Reuniao Vertical_1505'!P:P,MATCH('Reunião Vertical_1707'!D25,'Reuniao Vertical_1505'!I:I,0))</f>
        <v>#N/A</v>
      </c>
    </row>
    <row r="26" spans="3:8">
      <c r="C26" s="170">
        <f t="shared" si="0"/>
        <v>24</v>
      </c>
      <c r="D26" s="171" t="s">
        <v>1601</v>
      </c>
      <c r="E26" s="172" t="s">
        <v>1045</v>
      </c>
      <c r="F26" s="172" t="s">
        <v>1957</v>
      </c>
      <c r="G26" s="168" t="s">
        <v>1469</v>
      </c>
      <c r="H26" t="e">
        <f>INDEX('Reuniao Vertical_1505'!P:P,MATCH('Reunião Vertical_1707'!D26,'Reuniao Vertical_1505'!I:I,0))</f>
        <v>#N/A</v>
      </c>
    </row>
    <row r="27" spans="3:8">
      <c r="C27" s="170">
        <f t="shared" si="0"/>
        <v>25</v>
      </c>
      <c r="D27" s="171" t="s">
        <v>1621</v>
      </c>
      <c r="E27" s="172" t="s">
        <v>715</v>
      </c>
      <c r="F27" s="172" t="s">
        <v>1290</v>
      </c>
      <c r="G27" s="168" t="s">
        <v>1956</v>
      </c>
      <c r="H27" t="e">
        <f>INDEX('Reuniao Vertical_1505'!P:P,MATCH('Reunião Vertical_1707'!D27,'Reuniao Vertical_1505'!I:I,0))</f>
        <v>#N/A</v>
      </c>
    </row>
    <row r="28" spans="3:8">
      <c r="C28" s="170">
        <f t="shared" si="0"/>
        <v>26</v>
      </c>
      <c r="D28" t="s">
        <v>1648</v>
      </c>
      <c r="E28" s="172" t="s">
        <v>204</v>
      </c>
      <c r="F28" s="172"/>
      <c r="G28" s="168" t="s">
        <v>1956</v>
      </c>
      <c r="H28" t="e">
        <f>INDEX('Reuniao Vertical_1505'!P:P,MATCH('Reunião Vertical_1707'!D28,'Reuniao Vertical_1505'!I:I,0))</f>
        <v>#N/A</v>
      </c>
    </row>
    <row r="29" spans="3:8">
      <c r="C29" s="170">
        <f t="shared" si="0"/>
        <v>27</v>
      </c>
      <c r="D29" s="171" t="s">
        <v>1666</v>
      </c>
      <c r="E29" s="172" t="s">
        <v>329</v>
      </c>
      <c r="F29" s="172" t="s">
        <v>1680</v>
      </c>
      <c r="G29" s="168" t="s">
        <v>1469</v>
      </c>
      <c r="H29" t="str">
        <f>INDEX('Reuniao Vertical_1505'!P:P,MATCH('Reunião Vertical_1707'!D29,'Reuniao Vertical_1505'!I:I,0))</f>
        <v>x</v>
      </c>
    </row>
    <row r="30" spans="3:8">
      <c r="C30" s="170">
        <f t="shared" si="0"/>
        <v>28</v>
      </c>
      <c r="D30" s="171" t="s">
        <v>1376</v>
      </c>
      <c r="E30" s="172" t="s">
        <v>1045</v>
      </c>
      <c r="F30" s="172" t="s">
        <v>1682</v>
      </c>
      <c r="G30" s="168" t="s">
        <v>1951</v>
      </c>
      <c r="H30" t="str">
        <f>INDEX('Reuniao Vertical_1505'!P:P,MATCH('Reunião Vertical_1707'!D30,'Reuniao Vertical_1505'!I:I,0))</f>
        <v>x</v>
      </c>
    </row>
    <row r="31" spans="3:8">
      <c r="C31" s="170">
        <f t="shared" si="0"/>
        <v>29</v>
      </c>
      <c r="D31" s="171" t="s">
        <v>1421</v>
      </c>
      <c r="E31" s="172" t="s">
        <v>1045</v>
      </c>
      <c r="F31" s="172" t="s">
        <v>1958</v>
      </c>
      <c r="G31" s="168" t="s">
        <v>1952</v>
      </c>
      <c r="H31" t="str">
        <f>INDEX('Reuniao Vertical_1505'!P:P,MATCH('Reunião Vertical_1707'!D31,'Reuniao Vertical_1505'!I:I,0))</f>
        <v>x</v>
      </c>
    </row>
    <row r="32" spans="3:8">
      <c r="C32" s="170">
        <f t="shared" si="0"/>
        <v>30</v>
      </c>
      <c r="D32" s="171" t="s">
        <v>1449</v>
      </c>
      <c r="E32" s="172" t="s">
        <v>1045</v>
      </c>
      <c r="F32" s="172" t="s">
        <v>1711</v>
      </c>
      <c r="G32" s="168" t="s">
        <v>1952</v>
      </c>
      <c r="H32" t="str">
        <f>INDEX('Reuniao Vertical_1505'!P:P,MATCH('Reunião Vertical_1707'!D32,'Reuniao Vertical_1505'!I:I,0))</f>
        <v>x</v>
      </c>
    </row>
    <row r="33" spans="3:8">
      <c r="C33" s="170">
        <f t="shared" si="0"/>
        <v>31</v>
      </c>
      <c r="D33" s="171" t="s">
        <v>1408</v>
      </c>
      <c r="E33" s="172" t="s">
        <v>329</v>
      </c>
      <c r="F33" s="172" t="s">
        <v>1689</v>
      </c>
      <c r="G33" s="168" t="s">
        <v>1952</v>
      </c>
      <c r="H33" t="str">
        <f>INDEX('Reuniao Vertical_1505'!P:P,MATCH('Reunião Vertical_1707'!D33,'Reuniao Vertical_1505'!I:I,0))</f>
        <v>x</v>
      </c>
    </row>
    <row r="34" spans="3:8">
      <c r="C34" s="170">
        <f t="shared" si="0"/>
        <v>32</v>
      </c>
      <c r="D34" s="171" t="s">
        <v>1685</v>
      </c>
      <c r="E34" s="172" t="s">
        <v>204</v>
      </c>
      <c r="F34" s="172" t="s">
        <v>1692</v>
      </c>
      <c r="G34" s="168" t="s">
        <v>1693</v>
      </c>
      <c r="H34" t="str">
        <f>INDEX('Reuniao Vertical_1505'!P:P,MATCH('Reunião Vertical_1707'!D34,'Reuniao Vertical_1505'!I:I,0))</f>
        <v>x</v>
      </c>
    </row>
    <row r="35" spans="3:8">
      <c r="C35" s="170">
        <f t="shared" si="0"/>
        <v>33</v>
      </c>
      <c r="D35" s="171" t="s">
        <v>1454</v>
      </c>
      <c r="E35" s="172" t="s">
        <v>204</v>
      </c>
      <c r="F35" s="172" t="s">
        <v>1694</v>
      </c>
      <c r="G35" s="168" t="s">
        <v>1715</v>
      </c>
      <c r="H35" t="str">
        <f>INDEX('Reuniao Vertical_1505'!P:P,MATCH('Reunião Vertical_1707'!D35,'Reuniao Vertical_1505'!I:I,0))</f>
        <v>x</v>
      </c>
    </row>
    <row r="36" spans="3:8">
      <c r="C36" s="170">
        <f t="shared" si="0"/>
        <v>34</v>
      </c>
      <c r="D36" s="171" t="s">
        <v>1688</v>
      </c>
      <c r="E36" s="172" t="s">
        <v>1698</v>
      </c>
      <c r="F36" s="172" t="s">
        <v>1699</v>
      </c>
      <c r="G36" s="168" t="s">
        <v>1469</v>
      </c>
      <c r="H36" t="str">
        <f>INDEX('Reuniao Vertical_1505'!P:P,MATCH('Reunião Vertical_1707'!D36,'Reuniao Vertical_1505'!I:I,0))</f>
        <v>x</v>
      </c>
    </row>
    <row r="37" spans="3:8">
      <c r="C37" s="170">
        <f t="shared" si="0"/>
        <v>35</v>
      </c>
      <c r="D37" s="171" t="s">
        <v>1691</v>
      </c>
      <c r="E37" s="172" t="s">
        <v>1045</v>
      </c>
      <c r="F37" s="172" t="s">
        <v>1290</v>
      </c>
      <c r="G37" s="168" t="s">
        <v>1469</v>
      </c>
      <c r="H37" t="str">
        <f>INDEX('Reuniao Vertical_1505'!P:P,MATCH('Reunião Vertical_1707'!D37,'Reuniao Vertical_1505'!I:I,0))</f>
        <v>x</v>
      </c>
    </row>
    <row r="38" spans="3:8">
      <c r="C38" s="170">
        <f t="shared" si="0"/>
        <v>36</v>
      </c>
      <c r="D38" s="171" t="s">
        <v>1488</v>
      </c>
      <c r="E38" s="172" t="s">
        <v>1045</v>
      </c>
      <c r="F38" s="172" t="s">
        <v>1703</v>
      </c>
      <c r="G38" s="168" t="s">
        <v>1729</v>
      </c>
      <c r="H38" t="str">
        <f>INDEX('Reuniao Vertical_1505'!P:P,MATCH('Reunião Vertical_1707'!D38,'Reuniao Vertical_1505'!I:I,0))</f>
        <v>x</v>
      </c>
    </row>
    <row r="39" spans="3:8">
      <c r="C39" s="170">
        <f t="shared" si="0"/>
        <v>37</v>
      </c>
      <c r="D39" s="171" t="s">
        <v>1494</v>
      </c>
      <c r="E39" s="172" t="s">
        <v>329</v>
      </c>
      <c r="F39" s="172" t="s">
        <v>1706</v>
      </c>
      <c r="G39" s="168" t="s">
        <v>1729</v>
      </c>
      <c r="H39" t="str">
        <f>INDEX('Reuniao Vertical_1505'!P:P,MATCH('Reunião Vertical_1707'!D39,'Reuniao Vertical_1505'!I:I,0))</f>
        <v>x</v>
      </c>
    </row>
    <row r="40" spans="3:8">
      <c r="C40" s="170">
        <f t="shared" si="0"/>
        <v>38</v>
      </c>
      <c r="D40" s="171" t="s">
        <v>1701</v>
      </c>
      <c r="E40" s="172" t="s">
        <v>1045</v>
      </c>
      <c r="F40" s="172" t="s">
        <v>1709</v>
      </c>
      <c r="G40" s="168" t="s">
        <v>1665</v>
      </c>
      <c r="H40" t="str">
        <f>INDEX('Reuniao Vertical_1505'!P:P,MATCH('Reunião Vertical_1707'!D40,'Reuniao Vertical_1505'!I:I,0))</f>
        <v>x</v>
      </c>
    </row>
    <row r="41" spans="3:8">
      <c r="C41" s="170">
        <f t="shared" si="0"/>
        <v>39</v>
      </c>
      <c r="D41" s="171" t="s">
        <v>1538</v>
      </c>
      <c r="E41" s="172" t="s">
        <v>1045</v>
      </c>
      <c r="F41" s="172" t="s">
        <v>1713</v>
      </c>
      <c r="G41" s="168" t="s">
        <v>1729</v>
      </c>
      <c r="H41" t="str">
        <f>INDEX('Reuniao Vertical_1505'!P:P,MATCH('Reunião Vertical_1707'!D41,'Reuniao Vertical_1505'!I:I,0))</f>
        <v>x</v>
      </c>
    </row>
    <row r="42" spans="3:8">
      <c r="C42" s="170">
        <f t="shared" si="0"/>
        <v>40</v>
      </c>
      <c r="D42" s="171" t="s">
        <v>1063</v>
      </c>
      <c r="E42" s="172" t="s">
        <v>1045</v>
      </c>
      <c r="F42" s="172" t="s">
        <v>1678</v>
      </c>
      <c r="G42" s="168" t="s">
        <v>1953</v>
      </c>
      <c r="H42" t="str">
        <f>INDEX('Reuniao Vertical_1505'!P:P,MATCH('Reunião Vertical_1707'!D42,'Reuniao Vertical_1505'!I:I,0))</f>
        <v>x</v>
      </c>
    </row>
    <row r="43" spans="3:8">
      <c r="C43" s="170">
        <f t="shared" si="0"/>
        <v>41</v>
      </c>
      <c r="D43" s="171" t="s">
        <v>1500</v>
      </c>
      <c r="E43" s="172" t="s">
        <v>1045</v>
      </c>
      <c r="F43" s="172" t="s">
        <v>1716</v>
      </c>
      <c r="G43" s="168" t="s">
        <v>1502</v>
      </c>
      <c r="H43" t="str">
        <f>INDEX('Reuniao Vertical_1505'!P:P,MATCH('Reunião Vertical_1707'!D43,'Reuniao Vertical_1505'!I:I,0))</f>
        <v>x</v>
      </c>
    </row>
    <row r="44" spans="3:8">
      <c r="C44" s="170">
        <f t="shared" si="0"/>
        <v>42</v>
      </c>
      <c r="D44" s="171" t="s">
        <v>1503</v>
      </c>
      <c r="E44" s="172" t="s">
        <v>1045</v>
      </c>
      <c r="F44" s="172" t="s">
        <v>1717</v>
      </c>
      <c r="G44" s="168" t="s">
        <v>1469</v>
      </c>
      <c r="H44" t="str">
        <f>INDEX('Reuniao Vertical_1505'!P:P,MATCH('Reunião Vertical_1707'!D44,'Reuniao Vertical_1505'!I:I,0))</f>
        <v>x</v>
      </c>
    </row>
    <row r="45" spans="3:8">
      <c r="C45" s="170">
        <f t="shared" si="0"/>
        <v>43</v>
      </c>
      <c r="D45" s="171" t="s">
        <v>1484</v>
      </c>
      <c r="E45" s="172" t="s">
        <v>1045</v>
      </c>
      <c r="F45" s="172" t="s">
        <v>1290</v>
      </c>
      <c r="G45" s="168" t="s">
        <v>1469</v>
      </c>
      <c r="H45" t="str">
        <f>INDEX('Reuniao Vertical_1505'!P:P,MATCH('Reunião Vertical_1707'!D45,'Reuniao Vertical_1505'!I:I,0))</f>
        <v>x</v>
      </c>
    </row>
    <row r="46" spans="3:8">
      <c r="C46" s="170">
        <f t="shared" si="0"/>
        <v>44</v>
      </c>
      <c r="D46" s="171" t="s">
        <v>1486</v>
      </c>
      <c r="E46" s="172" t="s">
        <v>1045</v>
      </c>
      <c r="F46" s="172" t="s">
        <v>1718</v>
      </c>
      <c r="G46" s="168" t="s">
        <v>1469</v>
      </c>
      <c r="H46" t="str">
        <f>INDEX('Reuniao Vertical_1505'!P:P,MATCH('Reunião Vertical_1707'!D46,'Reuniao Vertical_1505'!I:I,0))</f>
        <v>x</v>
      </c>
    </row>
    <row r="47" spans="3:8">
      <c r="C47" s="170">
        <f t="shared" si="0"/>
        <v>45</v>
      </c>
      <c r="D47" s="171" t="s">
        <v>1467</v>
      </c>
      <c r="E47" s="172" t="s">
        <v>1045</v>
      </c>
      <c r="F47" s="172" t="s">
        <v>1719</v>
      </c>
      <c r="G47" s="168" t="s">
        <v>1720</v>
      </c>
      <c r="H47" t="str">
        <f>INDEX('Reuniao Vertical_1505'!P:P,MATCH('Reunião Vertical_1707'!D47,'Reuniao Vertical_1505'!I:I,0))</f>
        <v>x</v>
      </c>
    </row>
    <row r="48" spans="3:8">
      <c r="C48" s="170">
        <f t="shared" si="0"/>
        <v>46</v>
      </c>
      <c r="D48" s="171" t="s">
        <v>1397</v>
      </c>
      <c r="E48" s="172" t="s">
        <v>1728</v>
      </c>
      <c r="F48" s="172" t="s">
        <v>1682</v>
      </c>
      <c r="G48" s="168" t="s">
        <v>1729</v>
      </c>
      <c r="H48" t="str">
        <f>INDEX('Reuniao Vertical_1505'!P:P,MATCH('Reunião Vertical_1707'!D48,'Reuniao Vertical_1505'!I:I,0))</f>
        <v>x</v>
      </c>
    </row>
    <row r="49" spans="3:11">
      <c r="C49" s="25"/>
      <c r="D49" s="195" t="s">
        <v>1984</v>
      </c>
      <c r="E49" s="24"/>
      <c r="F49" s="24"/>
      <c r="G49" s="194"/>
    </row>
    <row r="50" spans="3:11">
      <c r="D50" s="195" t="s">
        <v>1985</v>
      </c>
    </row>
    <row r="52" spans="3:11">
      <c r="D52" s="20" t="s">
        <v>1967</v>
      </c>
    </row>
    <row r="53" spans="3:11">
      <c r="C53" s="138" t="s">
        <v>7</v>
      </c>
      <c r="D53" s="137" t="s">
        <v>415</v>
      </c>
      <c r="E53" s="138" t="s">
        <v>1659</v>
      </c>
      <c r="F53" s="138" t="s">
        <v>1661</v>
      </c>
      <c r="G53" s="193"/>
      <c r="J53" s="191" t="s">
        <v>1657</v>
      </c>
      <c r="K53" s="192">
        <v>35</v>
      </c>
    </row>
    <row r="54" spans="3:11">
      <c r="C54" s="141">
        <v>1</v>
      </c>
      <c r="D54" s="154" t="s">
        <v>1735</v>
      </c>
      <c r="E54" s="141" t="s">
        <v>270</v>
      </c>
      <c r="F54" s="35" t="s">
        <v>1974</v>
      </c>
      <c r="G54" s="193" t="str">
        <f>INDEX('Reuniao Vertical_1505'!P:P,MATCH('Reunião Vertical_1707'!D54,'Reuniao Vertical_1505'!I:I,0))</f>
        <v>x</v>
      </c>
      <c r="J54" t="s">
        <v>1664</v>
      </c>
      <c r="K54" s="24">
        <v>37</v>
      </c>
    </row>
    <row r="55" spans="3:11">
      <c r="C55" s="141">
        <f>+C54+1</f>
        <v>2</v>
      </c>
      <c r="D55" s="154" t="s">
        <v>1526</v>
      </c>
      <c r="E55" s="141" t="s">
        <v>807</v>
      </c>
      <c r="F55" s="167" t="s">
        <v>1970</v>
      </c>
      <c r="G55" s="193" t="e">
        <f>INDEX('Reuniao Vertical_1505'!P:P,MATCH('Reunião Vertical_1707'!D55,'Reuniao Vertical_1505'!I:I,0))</f>
        <v>#N/A</v>
      </c>
      <c r="J55" t="s">
        <v>1667</v>
      </c>
      <c r="K55" s="24">
        <v>10</v>
      </c>
    </row>
    <row r="56" spans="3:11">
      <c r="C56" s="141">
        <f t="shared" ref="C56:C99" si="1">+C55+1</f>
        <v>3</v>
      </c>
      <c r="D56" s="154" t="s">
        <v>1453</v>
      </c>
      <c r="E56" s="141" t="s">
        <v>270</v>
      </c>
      <c r="F56" s="167" t="s">
        <v>1975</v>
      </c>
      <c r="G56" s="193" t="e">
        <f>INDEX('Reuniao Vertical_1505'!P:P,MATCH('Reunião Vertical_1707'!D56,'Reuniao Vertical_1505'!I:I,0))</f>
        <v>#N/A</v>
      </c>
    </row>
    <row r="57" spans="3:11">
      <c r="C57" s="141">
        <f t="shared" si="1"/>
        <v>4</v>
      </c>
      <c r="D57" s="154" t="s">
        <v>1576</v>
      </c>
      <c r="E57" s="141" t="s">
        <v>270</v>
      </c>
      <c r="F57" s="167" t="s">
        <v>1971</v>
      </c>
      <c r="G57" s="193" t="e">
        <f>INDEX('Reuniao Vertical_1505'!P:P,MATCH('Reunião Vertical_1707'!D57,'Reuniao Vertical_1505'!I:I,0))</f>
        <v>#N/A</v>
      </c>
      <c r="J57" t="s">
        <v>1982</v>
      </c>
      <c r="K57" s="24">
        <v>28</v>
      </c>
    </row>
    <row r="58" spans="3:11">
      <c r="C58" s="141">
        <f t="shared" si="1"/>
        <v>5</v>
      </c>
      <c r="D58" s="154" t="s">
        <v>1619</v>
      </c>
      <c r="E58" s="141" t="s">
        <v>444</v>
      </c>
      <c r="F58" s="167" t="s">
        <v>1968</v>
      </c>
      <c r="G58" s="193" t="e">
        <f>INDEX('Reuniao Vertical_1505'!P:P,MATCH('Reunião Vertical_1707'!D58,'Reuniao Vertical_1505'!I:I,0))</f>
        <v>#N/A</v>
      </c>
      <c r="J58" t="s">
        <v>1983</v>
      </c>
      <c r="K58" s="24">
        <f>+K53-K54-K55+K57</f>
        <v>16</v>
      </c>
    </row>
    <row r="59" spans="3:11">
      <c r="C59" s="141">
        <f t="shared" si="1"/>
        <v>6</v>
      </c>
      <c r="D59" s="154" t="s">
        <v>1624</v>
      </c>
      <c r="E59" s="141" t="s">
        <v>1623</v>
      </c>
      <c r="F59" s="167" t="s">
        <v>1973</v>
      </c>
      <c r="G59" s="193" t="e">
        <f>INDEX('Reuniao Vertical_1505'!P:P,MATCH('Reunião Vertical_1707'!D59,'Reuniao Vertical_1505'!I:I,0))</f>
        <v>#N/A</v>
      </c>
    </row>
    <row r="60" spans="3:11">
      <c r="C60" s="141">
        <f t="shared" si="1"/>
        <v>7</v>
      </c>
      <c r="D60" s="154" t="s">
        <v>1630</v>
      </c>
      <c r="E60" s="141" t="s">
        <v>320</v>
      </c>
      <c r="F60" s="167" t="s">
        <v>1969</v>
      </c>
      <c r="G60" s="193" t="e">
        <f>INDEX('Reuniao Vertical_1505'!P:P,MATCH('Reunião Vertical_1707'!D60,'Reuniao Vertical_1505'!I:I,0))</f>
        <v>#N/A</v>
      </c>
    </row>
    <row r="61" spans="3:11">
      <c r="C61" s="141">
        <f t="shared" si="1"/>
        <v>8</v>
      </c>
      <c r="D61" s="154" t="s">
        <v>1636</v>
      </c>
      <c r="E61" s="141" t="s">
        <v>270</v>
      </c>
      <c r="F61" s="167" t="s">
        <v>1975</v>
      </c>
      <c r="G61" s="193" t="e">
        <f>INDEX('Reuniao Vertical_1505'!P:P,MATCH('Reunião Vertical_1707'!D61,'Reuniao Vertical_1505'!I:I,0))</f>
        <v>#N/A</v>
      </c>
    </row>
    <row r="62" spans="3:11">
      <c r="C62" s="141">
        <f t="shared" si="1"/>
        <v>9</v>
      </c>
      <c r="D62" s="154" t="s">
        <v>1638</v>
      </c>
      <c r="E62" s="141" t="s">
        <v>1623</v>
      </c>
      <c r="F62" s="167" t="s">
        <v>2</v>
      </c>
      <c r="G62" s="193" t="e">
        <f>INDEX('Reuniao Vertical_1505'!P:P,MATCH('Reunião Vertical_1707'!D62,'Reuniao Vertical_1505'!I:I,0))</f>
        <v>#N/A</v>
      </c>
    </row>
    <row r="63" spans="3:11">
      <c r="C63" s="141">
        <f t="shared" si="1"/>
        <v>10</v>
      </c>
      <c r="D63" s="154" t="s">
        <v>1640</v>
      </c>
      <c r="E63" s="141" t="s">
        <v>1623</v>
      </c>
      <c r="F63" s="167" t="s">
        <v>2</v>
      </c>
      <c r="G63" s="193" t="e">
        <f>INDEX('Reuniao Vertical_1505'!P:P,MATCH('Reunião Vertical_1707'!D63,'Reuniao Vertical_1505'!I:I,0))</f>
        <v>#N/A</v>
      </c>
    </row>
    <row r="64" spans="3:11">
      <c r="C64" s="141">
        <f t="shared" si="1"/>
        <v>11</v>
      </c>
      <c r="D64" s="154" t="s">
        <v>1641</v>
      </c>
      <c r="E64" s="141" t="s">
        <v>1623</v>
      </c>
      <c r="F64" s="167" t="s">
        <v>2</v>
      </c>
      <c r="G64" s="193" t="e">
        <f>INDEX('Reuniao Vertical_1505'!P:P,MATCH('Reunião Vertical_1707'!D64,'Reuniao Vertical_1505'!I:I,0))</f>
        <v>#N/A</v>
      </c>
    </row>
    <row r="65" spans="3:10">
      <c r="C65" s="141">
        <f t="shared" si="1"/>
        <v>12</v>
      </c>
      <c r="D65" s="154" t="s">
        <v>1642</v>
      </c>
      <c r="E65" s="141" t="s">
        <v>1623</v>
      </c>
      <c r="F65" s="167" t="s">
        <v>2</v>
      </c>
      <c r="G65" s="193" t="e">
        <f>INDEX('Reuniao Vertical_1505'!P:P,MATCH('Reunião Vertical_1707'!D65,'Reuniao Vertical_1505'!I:I,0))</f>
        <v>#N/A</v>
      </c>
    </row>
    <row r="66" spans="3:10">
      <c r="C66" s="141">
        <f t="shared" si="1"/>
        <v>13</v>
      </c>
      <c r="D66" s="154" t="s">
        <v>1644</v>
      </c>
      <c r="E66" s="141" t="s">
        <v>270</v>
      </c>
      <c r="F66" s="167" t="s">
        <v>2</v>
      </c>
      <c r="G66" s="193" t="e">
        <f>INDEX('Reuniao Vertical_1505'!P:P,MATCH('Reunião Vertical_1707'!D66,'Reuniao Vertical_1505'!I:I,0))</f>
        <v>#N/A</v>
      </c>
      <c r="J66">
        <f>2.8*4*12</f>
        <v>134.39999999999998</v>
      </c>
    </row>
    <row r="67" spans="3:10">
      <c r="C67" s="141">
        <f t="shared" si="1"/>
        <v>14</v>
      </c>
      <c r="D67" s="154" t="s">
        <v>1935</v>
      </c>
      <c r="E67" s="141" t="s">
        <v>695</v>
      </c>
      <c r="F67" s="167" t="s">
        <v>2</v>
      </c>
      <c r="G67" s="193" t="e">
        <f>INDEX('Reuniao Vertical_1505'!P:P,MATCH('Reunião Vertical_1707'!D67,'Reuniao Vertical_1505'!I:I,0))</f>
        <v>#N/A</v>
      </c>
    </row>
    <row r="68" spans="3:10">
      <c r="C68" s="141">
        <f t="shared" si="1"/>
        <v>15</v>
      </c>
      <c r="D68" s="154" t="s">
        <v>1940</v>
      </c>
      <c r="E68" s="141" t="s">
        <v>440</v>
      </c>
      <c r="F68" s="167" t="s">
        <v>2</v>
      </c>
      <c r="G68" s="193" t="e">
        <f>INDEX('Reuniao Vertical_1505'!P:P,MATCH('Reunião Vertical_1707'!D68,'Reuniao Vertical_1505'!I:I,0))</f>
        <v>#N/A</v>
      </c>
    </row>
    <row r="69" spans="3:10">
      <c r="C69" s="141">
        <f t="shared" si="1"/>
        <v>16</v>
      </c>
      <c r="D69" s="154" t="s">
        <v>1943</v>
      </c>
      <c r="E69" s="141" t="s">
        <v>1942</v>
      </c>
      <c r="F69" s="167" t="s">
        <v>2</v>
      </c>
      <c r="G69" s="193" t="e">
        <f>INDEX('Reuniao Vertical_1505'!P:P,MATCH('Reunião Vertical_1707'!D69,'Reuniao Vertical_1505'!I:I,0))</f>
        <v>#N/A</v>
      </c>
    </row>
    <row r="70" spans="3:10">
      <c r="C70" s="141">
        <f t="shared" si="1"/>
        <v>17</v>
      </c>
      <c r="D70" s="154" t="s">
        <v>1458</v>
      </c>
      <c r="E70" s="141" t="s">
        <v>304</v>
      </c>
      <c r="F70" s="168" t="s">
        <v>1976</v>
      </c>
      <c r="G70" s="193" t="str">
        <f>INDEX('Reuniao Vertical_1505'!P:P,MATCH('Reunião Vertical_1707'!D70,'Reuniao Vertical_1505'!I:I,0))</f>
        <v>x</v>
      </c>
    </row>
    <row r="71" spans="3:10">
      <c r="C71" s="141">
        <f t="shared" si="1"/>
        <v>18</v>
      </c>
      <c r="D71" s="154" t="s">
        <v>1461</v>
      </c>
      <c r="E71" s="141" t="s">
        <v>320</v>
      </c>
      <c r="F71" s="168" t="s">
        <v>1976</v>
      </c>
      <c r="G71" s="193" t="e">
        <f>INDEX('Reuniao Vertical_1505'!P:P,MATCH('Reunião Vertical_1707'!D71,'Reuniao Vertical_1505'!I:I,0))</f>
        <v>#N/A</v>
      </c>
    </row>
    <row r="72" spans="3:10">
      <c r="C72" s="141">
        <f t="shared" si="1"/>
        <v>19</v>
      </c>
      <c r="D72" s="154" t="s">
        <v>1463</v>
      </c>
      <c r="E72" s="141" t="s">
        <v>320</v>
      </c>
      <c r="F72" s="168" t="s">
        <v>1972</v>
      </c>
      <c r="G72" s="193" t="str">
        <f>INDEX('Reuniao Vertical_1505'!P:P,MATCH('Reunião Vertical_1707'!D72,'Reuniao Vertical_1505'!I:I,0))</f>
        <v>x</v>
      </c>
    </row>
    <row r="73" spans="3:10">
      <c r="C73" s="141">
        <f t="shared" si="1"/>
        <v>20</v>
      </c>
      <c r="D73" s="154" t="s">
        <v>1475</v>
      </c>
      <c r="E73" s="141" t="s">
        <v>270</v>
      </c>
      <c r="F73" s="168" t="s">
        <v>1972</v>
      </c>
      <c r="G73" s="193" t="str">
        <f>INDEX('Reuniao Vertical_1505'!P:P,MATCH('Reunião Vertical_1707'!D73,'Reuniao Vertical_1505'!I:I,0))</f>
        <v>x</v>
      </c>
    </row>
    <row r="74" spans="3:10">
      <c r="C74" s="141">
        <f t="shared" si="1"/>
        <v>21</v>
      </c>
      <c r="D74" s="154" t="s">
        <v>1491</v>
      </c>
      <c r="E74" s="141" t="s">
        <v>86</v>
      </c>
      <c r="F74" s="168" t="s">
        <v>1972</v>
      </c>
      <c r="G74" s="193" t="str">
        <f>INDEX('Reuniao Vertical_1505'!P:P,MATCH('Reunião Vertical_1707'!D74,'Reuniao Vertical_1505'!I:I,0))</f>
        <v>x</v>
      </c>
    </row>
    <row r="75" spans="3:10">
      <c r="C75" s="141">
        <f t="shared" si="1"/>
        <v>22</v>
      </c>
      <c r="D75" s="154" t="s">
        <v>1510</v>
      </c>
      <c r="E75" s="141" t="s">
        <v>86</v>
      </c>
      <c r="F75" s="168" t="s">
        <v>1972</v>
      </c>
      <c r="G75" s="193" t="s">
        <v>691</v>
      </c>
    </row>
    <row r="76" spans="3:10">
      <c r="C76" s="141">
        <f t="shared" si="1"/>
        <v>23</v>
      </c>
      <c r="D76" s="154" t="s">
        <v>1514</v>
      </c>
      <c r="E76" s="141" t="s">
        <v>20</v>
      </c>
      <c r="F76" s="168" t="s">
        <v>1972</v>
      </c>
      <c r="G76" s="193" t="s">
        <v>691</v>
      </c>
    </row>
    <row r="77" spans="3:10">
      <c r="C77" s="141">
        <f t="shared" si="1"/>
        <v>24</v>
      </c>
      <c r="D77" s="154" t="s">
        <v>1518</v>
      </c>
      <c r="E77" s="141" t="s">
        <v>320</v>
      </c>
      <c r="F77" s="168" t="s">
        <v>1972</v>
      </c>
      <c r="G77" s="193" t="s">
        <v>691</v>
      </c>
    </row>
    <row r="78" spans="3:10">
      <c r="C78" s="141">
        <f t="shared" si="1"/>
        <v>25</v>
      </c>
      <c r="D78" s="154" t="s">
        <v>1540</v>
      </c>
      <c r="E78" s="141" t="s">
        <v>444</v>
      </c>
      <c r="F78" s="168" t="s">
        <v>1976</v>
      </c>
      <c r="G78" s="193" t="s">
        <v>691</v>
      </c>
    </row>
    <row r="79" spans="3:10">
      <c r="C79" s="141">
        <f t="shared" si="1"/>
        <v>26</v>
      </c>
      <c r="D79" s="154" t="s">
        <v>1544</v>
      </c>
      <c r="E79" s="141" t="s">
        <v>304</v>
      </c>
      <c r="F79" s="168" t="s">
        <v>1976</v>
      </c>
      <c r="G79" s="193" t="s">
        <v>691</v>
      </c>
    </row>
    <row r="80" spans="3:10">
      <c r="C80" s="141">
        <f t="shared" si="1"/>
        <v>27</v>
      </c>
      <c r="D80" s="154" t="s">
        <v>1552</v>
      </c>
      <c r="E80" s="141" t="s">
        <v>1551</v>
      </c>
      <c r="F80" s="168" t="s">
        <v>1976</v>
      </c>
      <c r="G80" s="193" t="s">
        <v>691</v>
      </c>
    </row>
    <row r="81" spans="3:7">
      <c r="C81" s="141">
        <f t="shared" si="1"/>
        <v>28</v>
      </c>
      <c r="D81" s="154" t="s">
        <v>1556</v>
      </c>
      <c r="E81" s="141" t="s">
        <v>320</v>
      </c>
      <c r="F81" s="168" t="s">
        <v>1976</v>
      </c>
      <c r="G81" s="193" t="e">
        <f>INDEX('Reuniao Vertical_1505'!P:P,MATCH('Reunião Vertical_1707'!D81,'Reuniao Vertical_1505'!I:I,0))</f>
        <v>#N/A</v>
      </c>
    </row>
    <row r="82" spans="3:7">
      <c r="C82" s="141">
        <f t="shared" si="1"/>
        <v>29</v>
      </c>
      <c r="D82" s="154" t="s">
        <v>1558</v>
      </c>
      <c r="E82" s="141" t="s">
        <v>320</v>
      </c>
      <c r="F82" s="168" t="s">
        <v>1976</v>
      </c>
      <c r="G82" s="193" t="e">
        <f>INDEX('Reuniao Vertical_1505'!P:P,MATCH('Reunião Vertical_1707'!D82,'Reuniao Vertical_1505'!I:I,0))</f>
        <v>#N/A</v>
      </c>
    </row>
    <row r="83" spans="3:7">
      <c r="C83" s="141">
        <f t="shared" si="1"/>
        <v>30</v>
      </c>
      <c r="D83" s="154" t="s">
        <v>1561</v>
      </c>
      <c r="E83" s="141" t="s">
        <v>320</v>
      </c>
      <c r="F83" s="168" t="s">
        <v>1976</v>
      </c>
      <c r="G83" s="193" t="e">
        <f>INDEX('Reuniao Vertical_1505'!P:P,MATCH('Reunião Vertical_1707'!D83,'Reuniao Vertical_1505'!I:I,0))</f>
        <v>#N/A</v>
      </c>
    </row>
    <row r="84" spans="3:7">
      <c r="C84" s="141">
        <f t="shared" si="1"/>
        <v>31</v>
      </c>
      <c r="D84" s="154" t="s">
        <v>1564</v>
      </c>
      <c r="E84" s="141" t="s">
        <v>1563</v>
      </c>
      <c r="F84" s="168" t="s">
        <v>1976</v>
      </c>
      <c r="G84" s="193" t="e">
        <f>INDEX('Reuniao Vertical_1505'!P:P,MATCH('Reunião Vertical_1707'!D84,'Reuniao Vertical_1505'!I:I,0))</f>
        <v>#N/A</v>
      </c>
    </row>
    <row r="85" spans="3:7">
      <c r="C85" s="141">
        <f t="shared" si="1"/>
        <v>32</v>
      </c>
      <c r="D85" s="154" t="s">
        <v>1568</v>
      </c>
      <c r="E85" s="141" t="s">
        <v>86</v>
      </c>
      <c r="F85" s="168" t="s">
        <v>1976</v>
      </c>
      <c r="G85" s="193" t="e">
        <f>INDEX('Reuniao Vertical_1505'!P:P,MATCH('Reunião Vertical_1707'!D85,'Reuniao Vertical_1505'!I:I,0))</f>
        <v>#N/A</v>
      </c>
    </row>
    <row r="86" spans="3:7">
      <c r="C86" s="141">
        <f t="shared" si="1"/>
        <v>33</v>
      </c>
      <c r="D86" s="154" t="s">
        <v>1574</v>
      </c>
      <c r="E86" s="141" t="s">
        <v>807</v>
      </c>
      <c r="F86" s="168" t="s">
        <v>1976</v>
      </c>
      <c r="G86" s="193" t="e">
        <f>INDEX('Reuniao Vertical_1505'!P:P,MATCH('Reunião Vertical_1707'!D86,'Reuniao Vertical_1505'!I:I,0))</f>
        <v>#N/A</v>
      </c>
    </row>
    <row r="87" spans="3:7">
      <c r="C87" s="141">
        <f t="shared" si="1"/>
        <v>34</v>
      </c>
      <c r="D87" s="154" t="s">
        <v>1578</v>
      </c>
      <c r="E87" s="141" t="s">
        <v>320</v>
      </c>
      <c r="F87" s="168" t="s">
        <v>1976</v>
      </c>
      <c r="G87" s="193" t="e">
        <f>INDEX('Reuniao Vertical_1505'!P:P,MATCH('Reunião Vertical_1707'!D87,'Reuniao Vertical_1505'!I:I,0))</f>
        <v>#N/A</v>
      </c>
    </row>
    <row r="88" spans="3:7">
      <c r="C88" s="141">
        <f t="shared" si="1"/>
        <v>35</v>
      </c>
      <c r="D88" s="154" t="s">
        <v>1580</v>
      </c>
      <c r="E88" s="141" t="s">
        <v>270</v>
      </c>
      <c r="F88" s="168" t="s">
        <v>1976</v>
      </c>
      <c r="G88" s="193" t="e">
        <f>INDEX('Reuniao Vertical_1505'!P:P,MATCH('Reunião Vertical_1707'!D88,'Reuniao Vertical_1505'!I:I,0))</f>
        <v>#N/A</v>
      </c>
    </row>
    <row r="89" spans="3:7">
      <c r="C89" s="141">
        <f t="shared" si="1"/>
        <v>36</v>
      </c>
      <c r="D89" s="154" t="s">
        <v>1583</v>
      </c>
      <c r="E89" s="141" t="s">
        <v>270</v>
      </c>
      <c r="F89" s="168" t="s">
        <v>1976</v>
      </c>
      <c r="G89" s="193" t="e">
        <f>INDEX('Reuniao Vertical_1505'!P:P,MATCH('Reunião Vertical_1707'!D89,'Reuniao Vertical_1505'!I:I,0))</f>
        <v>#N/A</v>
      </c>
    </row>
    <row r="90" spans="3:7">
      <c r="C90" s="141">
        <f t="shared" si="1"/>
        <v>37</v>
      </c>
      <c r="D90" s="154" t="s">
        <v>1587</v>
      </c>
      <c r="E90" s="141" t="s">
        <v>270</v>
      </c>
      <c r="F90" s="168" t="s">
        <v>1976</v>
      </c>
      <c r="G90" s="193" t="e">
        <f>INDEX('Reuniao Vertical_1505'!P:P,MATCH('Reunião Vertical_1707'!D90,'Reuniao Vertical_1505'!I:I,0))</f>
        <v>#N/A</v>
      </c>
    </row>
    <row r="91" spans="3:7">
      <c r="C91" s="141">
        <f t="shared" si="1"/>
        <v>38</v>
      </c>
      <c r="D91" s="154" t="s">
        <v>1590</v>
      </c>
      <c r="E91" s="141" t="s">
        <v>695</v>
      </c>
      <c r="F91" s="168" t="s">
        <v>1976</v>
      </c>
      <c r="G91" s="193" t="e">
        <f>INDEX('Reuniao Vertical_1505'!P:P,MATCH('Reunião Vertical_1707'!D91,'Reuniao Vertical_1505'!I:I,0))</f>
        <v>#N/A</v>
      </c>
    </row>
    <row r="92" spans="3:7">
      <c r="C92" s="141">
        <f t="shared" si="1"/>
        <v>39</v>
      </c>
      <c r="D92" s="154" t="s">
        <v>1597</v>
      </c>
      <c r="E92" s="141" t="s">
        <v>1596</v>
      </c>
      <c r="F92" s="168" t="s">
        <v>1976</v>
      </c>
      <c r="G92" s="193" t="e">
        <f>INDEX('Reuniao Vertical_1505'!P:P,MATCH('Reunião Vertical_1707'!D92,'Reuniao Vertical_1505'!I:I,0))</f>
        <v>#N/A</v>
      </c>
    </row>
    <row r="93" spans="3:7">
      <c r="C93" s="141">
        <f t="shared" si="1"/>
        <v>40</v>
      </c>
      <c r="D93" s="154" t="s">
        <v>1604</v>
      </c>
      <c r="E93" s="141" t="s">
        <v>1596</v>
      </c>
      <c r="F93" s="168" t="s">
        <v>1976</v>
      </c>
      <c r="G93" s="193" t="e">
        <f>INDEX('Reuniao Vertical_1505'!P:P,MATCH('Reunião Vertical_1707'!D93,'Reuniao Vertical_1505'!I:I,0))</f>
        <v>#N/A</v>
      </c>
    </row>
    <row r="94" spans="3:7">
      <c r="C94" s="141">
        <f t="shared" si="1"/>
        <v>41</v>
      </c>
      <c r="D94" s="154" t="s">
        <v>1607</v>
      </c>
      <c r="E94" s="141" t="s">
        <v>440</v>
      </c>
      <c r="F94" s="168" t="s">
        <v>1976</v>
      </c>
      <c r="G94" s="193" t="e">
        <f>INDEX('Reuniao Vertical_1505'!P:P,MATCH('Reunião Vertical_1707'!D94,'Reuniao Vertical_1505'!I:I,0))</f>
        <v>#N/A</v>
      </c>
    </row>
    <row r="95" spans="3:7">
      <c r="C95" s="141">
        <f t="shared" si="1"/>
        <v>42</v>
      </c>
      <c r="D95" s="154" t="s">
        <v>1610</v>
      </c>
      <c r="E95" s="141" t="s">
        <v>1596</v>
      </c>
      <c r="F95" s="168" t="s">
        <v>1976</v>
      </c>
      <c r="G95" s="193" t="e">
        <f>INDEX('Reuniao Vertical_1505'!P:P,MATCH('Reunião Vertical_1707'!D95,'Reuniao Vertical_1505'!I:I,0))</f>
        <v>#N/A</v>
      </c>
    </row>
    <row r="96" spans="3:7">
      <c r="C96" s="141">
        <f t="shared" si="1"/>
        <v>43</v>
      </c>
      <c r="D96" s="154" t="s">
        <v>1612</v>
      </c>
      <c r="E96" s="141" t="s">
        <v>440</v>
      </c>
      <c r="F96" s="168" t="s">
        <v>1976</v>
      </c>
      <c r="G96" s="193" t="e">
        <f>INDEX('Reuniao Vertical_1505'!P:P,MATCH('Reunião Vertical_1707'!D96,'Reuniao Vertical_1505'!I:I,0))</f>
        <v>#N/A</v>
      </c>
    </row>
    <row r="97" spans="3:7">
      <c r="C97" s="141">
        <f t="shared" si="1"/>
        <v>44</v>
      </c>
      <c r="D97" s="154" t="s">
        <v>1627</v>
      </c>
      <c r="E97" s="141" t="s">
        <v>1623</v>
      </c>
      <c r="F97" s="168" t="s">
        <v>1976</v>
      </c>
      <c r="G97" s="193" t="e">
        <f>INDEX('Reuniao Vertical_1505'!P:P,MATCH('Reunião Vertical_1707'!D97,'Reuniao Vertical_1505'!I:I,0))</f>
        <v>#N/A</v>
      </c>
    </row>
    <row r="98" spans="3:7">
      <c r="C98" s="141">
        <f t="shared" si="1"/>
        <v>45</v>
      </c>
      <c r="D98" s="154" t="s">
        <v>1921</v>
      </c>
      <c r="E98" s="141" t="s">
        <v>86</v>
      </c>
      <c r="F98" s="168" t="s">
        <v>1976</v>
      </c>
      <c r="G98" s="193" t="e">
        <f>INDEX('Reuniao Vertical_1505'!P:P,MATCH('Reunião Vertical_1707'!D98,'Reuniao Vertical_1505'!I:I,0))</f>
        <v>#N/A</v>
      </c>
    </row>
    <row r="99" spans="3:7">
      <c r="C99" s="141">
        <f t="shared" si="1"/>
        <v>46</v>
      </c>
      <c r="D99" s="154" t="s">
        <v>1923</v>
      </c>
      <c r="E99" s="141" t="s">
        <v>86</v>
      </c>
      <c r="F99" s="168" t="s">
        <v>1976</v>
      </c>
      <c r="G99" s="193" t="e">
        <f>INDEX('Reuniao Vertical_1505'!P:P,MATCH('Reunião Vertical_1707'!D99,'Reuniao Vertical_1505'!I:I,0))</f>
        <v>#N/A</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EEC-96F5-4825-B5A2-5FCE0ADD1030}">
  <sheetPr codeName="Sheet6"/>
  <dimension ref="C2:W70"/>
  <sheetViews>
    <sheetView showGridLines="0" topLeftCell="F34" workbookViewId="0">
      <selection activeCell="F64" sqref="F64"/>
    </sheetView>
  </sheetViews>
  <sheetFormatPr defaultRowHeight="14.4" outlineLevelCol="1"/>
  <cols>
    <col min="1" max="2" width="1.6640625" customWidth="1"/>
    <col min="3" max="3" width="36.109375" hidden="1" customWidth="1" outlineLevel="1"/>
    <col min="4" max="4" width="25.109375" hidden="1" customWidth="1" outlineLevel="1"/>
    <col min="5" max="5" width="9.109375" collapsed="1"/>
    <col min="6" max="6" width="22.44140625" bestFit="1" customWidth="1"/>
    <col min="8" max="8" width="5.5546875" customWidth="1"/>
    <col min="9" max="9" width="38.5546875" bestFit="1" customWidth="1"/>
    <col min="10" max="10" width="30.109375" customWidth="1"/>
    <col min="11" max="11" width="27.33203125" customWidth="1"/>
    <col min="12" max="12" width="37.44140625" bestFit="1" customWidth="1"/>
    <col min="13" max="13" width="9.88671875" hidden="1" customWidth="1" outlineLevel="1"/>
    <col min="14" max="15" width="0" hidden="1" customWidth="1" outlineLevel="1"/>
    <col min="16" max="16" width="9.109375" collapsed="1"/>
    <col min="17" max="17" width="12.109375" bestFit="1" customWidth="1"/>
    <col min="18" max="18" width="10.33203125" bestFit="1" customWidth="1"/>
    <col min="19" max="19" width="42.88671875" bestFit="1" customWidth="1"/>
    <col min="22" max="22" width="2" bestFit="1" customWidth="1"/>
    <col min="23" max="23" width="26.88671875" bestFit="1" customWidth="1"/>
  </cols>
  <sheetData>
    <row r="2" spans="6:23">
      <c r="I2" s="20" t="s">
        <v>1656</v>
      </c>
      <c r="M2" s="163">
        <f>+MAX(M4:M24)</f>
        <v>45775</v>
      </c>
    </row>
    <row r="3" spans="6:23">
      <c r="F3" s="176" t="s">
        <v>1657</v>
      </c>
      <c r="G3" s="35">
        <v>11</v>
      </c>
      <c r="H3" s="138" t="s">
        <v>7</v>
      </c>
      <c r="I3" s="156" t="s">
        <v>1658</v>
      </c>
      <c r="J3" s="138" t="s">
        <v>1659</v>
      </c>
      <c r="K3" s="138" t="s">
        <v>1660</v>
      </c>
      <c r="L3" s="138" t="s">
        <v>1661</v>
      </c>
      <c r="Q3" t="s">
        <v>16</v>
      </c>
      <c r="R3" t="s">
        <v>1662</v>
      </c>
      <c r="S3" t="s">
        <v>1663</v>
      </c>
    </row>
    <row r="4" spans="6:23">
      <c r="F4" t="s">
        <v>1664</v>
      </c>
      <c r="G4" s="24">
        <v>15</v>
      </c>
      <c r="H4" s="170">
        <v>1</v>
      </c>
      <c r="I4" s="171" t="s">
        <v>1318</v>
      </c>
      <c r="J4" s="172" t="s">
        <v>329</v>
      </c>
      <c r="K4" s="172" t="s">
        <v>1290</v>
      </c>
      <c r="L4" s="168" t="s">
        <v>1665</v>
      </c>
      <c r="M4" s="164">
        <f>+INDEX(Pipe!F:F,MATCH('Reuniao Vertical_1505'!I4,Pipe!E:E,0))</f>
        <v>45734</v>
      </c>
      <c r="P4" t="s">
        <v>691</v>
      </c>
      <c r="V4" s="24">
        <v>3</v>
      </c>
      <c r="W4" s="171" t="s">
        <v>1666</v>
      </c>
    </row>
    <row r="5" spans="6:23">
      <c r="F5" t="s">
        <v>1667</v>
      </c>
      <c r="G5" s="24">
        <v>13</v>
      </c>
      <c r="H5" s="173">
        <f>+H4+1</f>
        <v>2</v>
      </c>
      <c r="I5" s="174" t="s">
        <v>1362</v>
      </c>
      <c r="J5" s="175" t="s">
        <v>1668</v>
      </c>
      <c r="K5" s="175" t="s">
        <v>1290</v>
      </c>
      <c r="L5" s="165" t="s">
        <v>1669</v>
      </c>
      <c r="M5" s="164">
        <f>+INDEX(Pipe!F:F,MATCH('Reuniao Vertical_1505'!I5,Pipe!E:E,0))</f>
        <v>45751</v>
      </c>
      <c r="P5" t="s">
        <v>691</v>
      </c>
      <c r="Q5" s="24" t="s">
        <v>1670</v>
      </c>
      <c r="R5" s="24">
        <v>1</v>
      </c>
      <c r="S5" t="s">
        <v>1671</v>
      </c>
      <c r="V5" s="24">
        <v>3</v>
      </c>
      <c r="W5" s="174" t="s">
        <v>1376</v>
      </c>
    </row>
    <row r="6" spans="6:23">
      <c r="H6" s="170">
        <f t="shared" ref="H6:H38" si="0">+H5+1</f>
        <v>3</v>
      </c>
      <c r="I6" s="171" t="s">
        <v>1400</v>
      </c>
      <c r="J6" s="172" t="s">
        <v>1672</v>
      </c>
      <c r="K6" s="172" t="s">
        <v>1673</v>
      </c>
      <c r="L6" s="165" t="s">
        <v>1674</v>
      </c>
      <c r="M6" s="164">
        <f>+INDEX(Pipe!F:F,MATCH('Reuniao Vertical_1505'!I6,Pipe!E:E,0))</f>
        <v>45754</v>
      </c>
      <c r="O6" t="s">
        <v>1675</v>
      </c>
      <c r="P6" t="s">
        <v>691</v>
      </c>
      <c r="R6" s="24">
        <v>1</v>
      </c>
      <c r="S6" t="s">
        <v>1676</v>
      </c>
      <c r="V6" s="24">
        <v>4</v>
      </c>
      <c r="W6" s="171" t="s">
        <v>1421</v>
      </c>
    </row>
    <row r="7" spans="6:23">
      <c r="H7" s="173">
        <f t="shared" si="0"/>
        <v>4</v>
      </c>
      <c r="I7" s="174" t="s">
        <v>1677</v>
      </c>
      <c r="J7" s="175" t="s">
        <v>204</v>
      </c>
      <c r="K7" s="175" t="s">
        <v>1678</v>
      </c>
      <c r="L7" s="166" t="s">
        <v>1679</v>
      </c>
      <c r="M7" s="164">
        <f>+INDEX(Pipe!F:F,MATCH('Reuniao Vertical_1505'!I30,Pipe!E:E,0))</f>
        <v>45726</v>
      </c>
      <c r="P7" t="s">
        <v>691</v>
      </c>
      <c r="V7" s="24">
        <v>3</v>
      </c>
      <c r="W7" s="174" t="s">
        <v>1449</v>
      </c>
    </row>
    <row r="8" spans="6:23">
      <c r="H8" s="170">
        <f t="shared" si="0"/>
        <v>5</v>
      </c>
      <c r="I8" s="171" t="s">
        <v>1666</v>
      </c>
      <c r="J8" s="172" t="s">
        <v>329</v>
      </c>
      <c r="K8" s="172" t="s">
        <v>1680</v>
      </c>
      <c r="L8" s="167" t="s">
        <v>1681</v>
      </c>
      <c r="M8" s="164">
        <f>+INDEX(Pipe!F:F,MATCH('Reuniao Vertical_1505'!I31,Pipe!E:E,0))</f>
        <v>45748</v>
      </c>
      <c r="P8" t="s">
        <v>691</v>
      </c>
      <c r="Q8" s="24" t="s">
        <v>1670</v>
      </c>
      <c r="R8" s="24">
        <v>3</v>
      </c>
      <c r="V8" s="24">
        <v>4</v>
      </c>
      <c r="W8" s="171" t="s">
        <v>1408</v>
      </c>
    </row>
    <row r="9" spans="6:23">
      <c r="H9" s="173">
        <f t="shared" si="0"/>
        <v>6</v>
      </c>
      <c r="I9" s="174" t="s">
        <v>1376</v>
      </c>
      <c r="J9" s="175" t="s">
        <v>1045</v>
      </c>
      <c r="K9" s="175" t="s">
        <v>1682</v>
      </c>
      <c r="L9" s="167" t="s">
        <v>1683</v>
      </c>
      <c r="M9" s="164">
        <v>45685</v>
      </c>
      <c r="P9" t="s">
        <v>691</v>
      </c>
      <c r="Q9" s="24" t="s">
        <v>1670</v>
      </c>
      <c r="R9" s="24">
        <v>3</v>
      </c>
      <c r="S9" t="s">
        <v>1684</v>
      </c>
      <c r="V9" s="24">
        <v>4</v>
      </c>
      <c r="W9" s="177" t="s">
        <v>1685</v>
      </c>
    </row>
    <row r="10" spans="6:23">
      <c r="H10" s="170">
        <f t="shared" si="0"/>
        <v>7</v>
      </c>
      <c r="I10" s="171" t="s">
        <v>1421</v>
      </c>
      <c r="J10" s="172" t="s">
        <v>1045</v>
      </c>
      <c r="K10" s="172"/>
      <c r="L10" s="167" t="s">
        <v>1686</v>
      </c>
      <c r="M10" s="164">
        <v>45764</v>
      </c>
      <c r="P10" t="s">
        <v>691</v>
      </c>
      <c r="Q10" s="24" t="s">
        <v>1670</v>
      </c>
      <c r="R10" s="24">
        <v>4</v>
      </c>
      <c r="V10" s="24">
        <v>4</v>
      </c>
      <c r="W10" s="171" t="s">
        <v>1454</v>
      </c>
    </row>
    <row r="11" spans="6:23">
      <c r="H11" s="173">
        <f t="shared" si="0"/>
        <v>8</v>
      </c>
      <c r="I11" s="174" t="s">
        <v>1449</v>
      </c>
      <c r="J11" s="175" t="s">
        <v>1045</v>
      </c>
      <c r="K11" s="175"/>
      <c r="L11" s="167" t="s">
        <v>2</v>
      </c>
      <c r="M11" s="164">
        <f>+INDEX(Pipe!F:F,MATCH('Reuniao Vertical_1505'!I33,Pipe!E:E,0))</f>
        <v>45597</v>
      </c>
      <c r="P11" t="s">
        <v>691</v>
      </c>
      <c r="Q11" s="24" t="s">
        <v>1670</v>
      </c>
      <c r="R11" s="24">
        <v>3</v>
      </c>
      <c r="S11" t="s">
        <v>1687</v>
      </c>
      <c r="V11" s="24">
        <v>1</v>
      </c>
      <c r="W11" s="174" t="s">
        <v>1688</v>
      </c>
    </row>
    <row r="12" spans="6:23">
      <c r="H12" s="170">
        <f t="shared" si="0"/>
        <v>9</v>
      </c>
      <c r="I12" s="171" t="s">
        <v>1408</v>
      </c>
      <c r="J12" s="172" t="s">
        <v>329</v>
      </c>
      <c r="K12" s="172" t="s">
        <v>1689</v>
      </c>
      <c r="L12" s="167" t="s">
        <v>2</v>
      </c>
      <c r="M12" s="164">
        <v>45747</v>
      </c>
      <c r="P12" t="s">
        <v>691</v>
      </c>
      <c r="Q12" s="24" t="s">
        <v>1690</v>
      </c>
      <c r="R12" s="24">
        <v>4</v>
      </c>
      <c r="V12" s="24">
        <v>3</v>
      </c>
      <c r="W12" s="171" t="s">
        <v>1691</v>
      </c>
    </row>
    <row r="13" spans="6:23">
      <c r="H13" s="173">
        <f t="shared" si="0"/>
        <v>10</v>
      </c>
      <c r="I13" s="174" t="s">
        <v>1685</v>
      </c>
      <c r="J13" s="175" t="s">
        <v>204</v>
      </c>
      <c r="K13" s="175" t="s">
        <v>1692</v>
      </c>
      <c r="L13" s="168" t="s">
        <v>1693</v>
      </c>
      <c r="M13" s="164">
        <f>+INDEX(Pipe!F:F,MATCH('Reuniao Vertical_1505'!I34,Pipe!E:E,0))</f>
        <v>45754</v>
      </c>
      <c r="P13" t="s">
        <v>691</v>
      </c>
      <c r="Q13" s="24" t="s">
        <v>1690</v>
      </c>
      <c r="R13" s="24">
        <v>4</v>
      </c>
      <c r="V13" s="24">
        <v>3</v>
      </c>
      <c r="W13" s="174" t="s">
        <v>1488</v>
      </c>
    </row>
    <row r="14" spans="6:23">
      <c r="H14" s="170">
        <f t="shared" si="0"/>
        <v>11</v>
      </c>
      <c r="I14" s="171" t="s">
        <v>1454</v>
      </c>
      <c r="J14" s="172" t="s">
        <v>204</v>
      </c>
      <c r="K14" s="172" t="s">
        <v>1694</v>
      </c>
      <c r="L14" s="167" t="s">
        <v>1695</v>
      </c>
      <c r="M14" s="164">
        <f>+INDEX(Pipe!F:F,MATCH('Reuniao Vertical_1505'!I9,Pipe!E:E,0))</f>
        <v>45751</v>
      </c>
      <c r="P14" t="s">
        <v>691</v>
      </c>
      <c r="Q14" s="24" t="s">
        <v>1696</v>
      </c>
      <c r="R14" s="24">
        <v>4</v>
      </c>
      <c r="S14" t="s">
        <v>1697</v>
      </c>
      <c r="V14" s="24">
        <v>2</v>
      </c>
      <c r="W14" s="171" t="s">
        <v>1494</v>
      </c>
    </row>
    <row r="15" spans="6:23">
      <c r="H15" s="173">
        <f t="shared" si="0"/>
        <v>12</v>
      </c>
      <c r="I15" s="174" t="s">
        <v>1688</v>
      </c>
      <c r="J15" s="175" t="s">
        <v>1698</v>
      </c>
      <c r="K15" s="175" t="s">
        <v>1699</v>
      </c>
      <c r="L15" s="167" t="s">
        <v>2</v>
      </c>
      <c r="M15" s="164">
        <f>+INDEX(Pipe!F:F,MATCH('Reuniao Vertical_1505'!I35,Pipe!E:E,0))</f>
        <v>45744</v>
      </c>
      <c r="P15" t="s">
        <v>691</v>
      </c>
      <c r="R15" s="24">
        <v>1</v>
      </c>
      <c r="S15" t="s">
        <v>1700</v>
      </c>
      <c r="V15" s="24">
        <v>2</v>
      </c>
      <c r="W15" s="174" t="s">
        <v>1701</v>
      </c>
    </row>
    <row r="16" spans="6:23">
      <c r="H16" s="170">
        <f t="shared" si="0"/>
        <v>13</v>
      </c>
      <c r="I16" s="171" t="s">
        <v>1691</v>
      </c>
      <c r="J16" s="172" t="s">
        <v>1045</v>
      </c>
      <c r="K16" s="172" t="s">
        <v>1290</v>
      </c>
      <c r="L16" s="167" t="s">
        <v>2</v>
      </c>
      <c r="M16" s="164">
        <f>+INDEX(Pipe!F:F,MATCH('Reuniao Vertical_1505'!I36,Pipe!E:E,0))</f>
        <v>45751</v>
      </c>
      <c r="P16" t="s">
        <v>691</v>
      </c>
      <c r="Q16" s="24" t="s">
        <v>1670</v>
      </c>
      <c r="R16" s="24">
        <v>3</v>
      </c>
      <c r="S16" t="s">
        <v>1702</v>
      </c>
      <c r="V16" s="24">
        <v>1</v>
      </c>
      <c r="W16" s="171" t="s">
        <v>1509</v>
      </c>
    </row>
    <row r="17" spans="3:19">
      <c r="H17" s="173">
        <f t="shared" si="0"/>
        <v>14</v>
      </c>
      <c r="I17" s="174" t="s">
        <v>1488</v>
      </c>
      <c r="J17" s="175" t="s">
        <v>1045</v>
      </c>
      <c r="K17" s="175" t="s">
        <v>1703</v>
      </c>
      <c r="L17" s="167" t="s">
        <v>1695</v>
      </c>
      <c r="M17" s="164">
        <f>+INDEX(Pipe!F:F,MATCH('Reuniao Vertical_1505'!I37,Pipe!E:E,0))</f>
        <v>45737</v>
      </c>
      <c r="P17" t="s">
        <v>691</v>
      </c>
      <c r="Q17" s="24" t="s">
        <v>1704</v>
      </c>
      <c r="R17" s="24">
        <v>3</v>
      </c>
      <c r="S17" t="s">
        <v>1705</v>
      </c>
    </row>
    <row r="18" spans="3:19">
      <c r="H18" s="170">
        <f t="shared" si="0"/>
        <v>15</v>
      </c>
      <c r="I18" s="171" t="s">
        <v>1494</v>
      </c>
      <c r="J18" s="172" t="s">
        <v>329</v>
      </c>
      <c r="K18" s="172" t="s">
        <v>1706</v>
      </c>
      <c r="L18" s="167" t="s">
        <v>1707</v>
      </c>
      <c r="M18" s="164">
        <f>+INDEX(Pipe!F:F,MATCH('Reuniao Vertical_1505'!I10,Pipe!E:E,0))</f>
        <v>45764</v>
      </c>
      <c r="P18" t="s">
        <v>691</v>
      </c>
      <c r="Q18" s="24" t="s">
        <v>1670</v>
      </c>
      <c r="R18" s="24">
        <v>2</v>
      </c>
      <c r="S18" t="s">
        <v>1708</v>
      </c>
    </row>
    <row r="19" spans="3:19">
      <c r="H19" s="173">
        <f t="shared" si="0"/>
        <v>16</v>
      </c>
      <c r="I19" s="174" t="s">
        <v>1701</v>
      </c>
      <c r="J19" s="175" t="s">
        <v>1045</v>
      </c>
      <c r="K19" s="175" t="s">
        <v>1709</v>
      </c>
      <c r="L19" s="168" t="s">
        <v>1665</v>
      </c>
      <c r="M19" s="164">
        <f>+INDEX(Pipe!F:F,MATCH('Reuniao Vertical_1505'!I11,Pipe!E:E,0))</f>
        <v>45775</v>
      </c>
      <c r="P19" t="s">
        <v>691</v>
      </c>
      <c r="Q19" s="24" t="s">
        <v>1704</v>
      </c>
      <c r="R19" s="24">
        <v>4</v>
      </c>
    </row>
    <row r="20" spans="3:19">
      <c r="H20" s="170">
        <f t="shared" si="0"/>
        <v>17</v>
      </c>
      <c r="I20" s="171" t="s">
        <v>1509</v>
      </c>
      <c r="J20" s="172" t="s">
        <v>1045</v>
      </c>
      <c r="K20" s="172" t="s">
        <v>1710</v>
      </c>
      <c r="L20" s="167" t="s">
        <v>2</v>
      </c>
      <c r="M20" s="164">
        <f>+INDEX(Pipe!F:F,MATCH('Reuniao Vertical_1505'!I12,Pipe!E:E,0))</f>
        <v>45757</v>
      </c>
      <c r="P20" t="s">
        <v>691</v>
      </c>
      <c r="Q20" s="24" t="s">
        <v>1704</v>
      </c>
      <c r="R20" s="24">
        <v>1</v>
      </c>
    </row>
    <row r="21" spans="3:19">
      <c r="F21">
        <f>2.332/1.475</f>
        <v>1.5810169491525421</v>
      </c>
      <c r="H21" s="170">
        <f t="shared" si="0"/>
        <v>18</v>
      </c>
      <c r="I21" s="171" t="s">
        <v>1655</v>
      </c>
      <c r="J21" s="172" t="s">
        <v>329</v>
      </c>
      <c r="K21" s="172" t="s">
        <v>1711</v>
      </c>
      <c r="L21" s="167" t="s">
        <v>2</v>
      </c>
      <c r="M21" s="164"/>
      <c r="P21" t="s">
        <v>691</v>
      </c>
      <c r="Q21" s="24" t="s">
        <v>1670</v>
      </c>
      <c r="R21" s="24">
        <v>1</v>
      </c>
      <c r="S21" t="s">
        <v>1712</v>
      </c>
    </row>
    <row r="22" spans="3:19">
      <c r="H22" s="170">
        <f t="shared" si="0"/>
        <v>19</v>
      </c>
      <c r="I22" s="171" t="s">
        <v>1538</v>
      </c>
      <c r="J22" s="172" t="s">
        <v>1045</v>
      </c>
      <c r="K22" s="172" t="s">
        <v>1713</v>
      </c>
      <c r="L22" s="167" t="s">
        <v>2</v>
      </c>
      <c r="M22" s="164"/>
      <c r="P22" t="s">
        <v>691</v>
      </c>
      <c r="Q22" s="24" t="s">
        <v>1704</v>
      </c>
      <c r="R22" s="24">
        <v>1</v>
      </c>
      <c r="S22" t="s">
        <v>1714</v>
      </c>
    </row>
    <row r="23" spans="3:19">
      <c r="H23" s="170">
        <f t="shared" si="0"/>
        <v>20</v>
      </c>
      <c r="I23" s="171" t="s">
        <v>1063</v>
      </c>
      <c r="J23" s="172" t="s">
        <v>1045</v>
      </c>
      <c r="K23" s="172" t="s">
        <v>1678</v>
      </c>
      <c r="L23" s="167" t="s">
        <v>2</v>
      </c>
      <c r="M23" s="164"/>
      <c r="P23" t="s">
        <v>691</v>
      </c>
      <c r="Q23" s="24" t="s">
        <v>1704</v>
      </c>
      <c r="R23" s="24">
        <v>1</v>
      </c>
    </row>
    <row r="24" spans="3:19">
      <c r="H24" s="170">
        <f t="shared" si="0"/>
        <v>21</v>
      </c>
      <c r="I24" s="174" t="s">
        <v>1447</v>
      </c>
      <c r="J24" s="175" t="s">
        <v>1045</v>
      </c>
      <c r="K24" s="175" t="s">
        <v>1290</v>
      </c>
      <c r="L24" s="168" t="s">
        <v>1715</v>
      </c>
      <c r="M24" s="164">
        <v>45684</v>
      </c>
      <c r="P24" t="s">
        <v>691</v>
      </c>
    </row>
    <row r="25" spans="3:19">
      <c r="H25" s="170">
        <f t="shared" si="0"/>
        <v>22</v>
      </c>
      <c r="I25" s="171" t="s">
        <v>1500</v>
      </c>
      <c r="J25" s="172" t="s">
        <v>1045</v>
      </c>
      <c r="K25" s="172" t="s">
        <v>1716</v>
      </c>
      <c r="L25" s="168" t="s">
        <v>1502</v>
      </c>
      <c r="P25" t="s">
        <v>691</v>
      </c>
    </row>
    <row r="26" spans="3:19">
      <c r="H26" s="170">
        <f t="shared" si="0"/>
        <v>23</v>
      </c>
      <c r="I26" s="174" t="s">
        <v>1503</v>
      </c>
      <c r="J26" s="175" t="s">
        <v>1045</v>
      </c>
      <c r="K26" s="175" t="s">
        <v>1717</v>
      </c>
      <c r="L26" s="168" t="s">
        <v>1469</v>
      </c>
      <c r="P26" t="s">
        <v>691</v>
      </c>
    </row>
    <row r="27" spans="3:19">
      <c r="H27" s="170">
        <f t="shared" si="0"/>
        <v>24</v>
      </c>
      <c r="I27" s="171" t="s">
        <v>1484</v>
      </c>
      <c r="J27" s="172" t="s">
        <v>1045</v>
      </c>
      <c r="K27" s="172" t="s">
        <v>1290</v>
      </c>
      <c r="L27" s="168" t="s">
        <v>1469</v>
      </c>
      <c r="P27" t="s">
        <v>691</v>
      </c>
    </row>
    <row r="28" spans="3:19">
      <c r="H28" s="170">
        <f t="shared" si="0"/>
        <v>25</v>
      </c>
      <c r="I28" s="174" t="s">
        <v>1486</v>
      </c>
      <c r="J28" s="175" t="s">
        <v>1045</v>
      </c>
      <c r="K28" s="175" t="s">
        <v>1718</v>
      </c>
      <c r="L28" s="168" t="s">
        <v>1469</v>
      </c>
      <c r="P28" t="s">
        <v>691</v>
      </c>
    </row>
    <row r="29" spans="3:19">
      <c r="H29" s="170">
        <f t="shared" si="0"/>
        <v>26</v>
      </c>
      <c r="I29" s="171" t="s">
        <v>1467</v>
      </c>
      <c r="J29" s="172" t="s">
        <v>1045</v>
      </c>
      <c r="K29" s="172" t="s">
        <v>1719</v>
      </c>
      <c r="L29" s="168" t="s">
        <v>1720</v>
      </c>
      <c r="P29" t="s">
        <v>691</v>
      </c>
    </row>
    <row r="30" spans="3:19">
      <c r="H30" s="170">
        <f t="shared" si="0"/>
        <v>27</v>
      </c>
      <c r="I30" s="174" t="s">
        <v>1303</v>
      </c>
      <c r="J30" s="175" t="s">
        <v>204</v>
      </c>
      <c r="K30" s="175" t="s">
        <v>1721</v>
      </c>
      <c r="L30" s="168" t="s">
        <v>1722</v>
      </c>
      <c r="P30" t="s">
        <v>691</v>
      </c>
    </row>
    <row r="31" spans="3:19">
      <c r="H31" s="170">
        <f t="shared" si="0"/>
        <v>28</v>
      </c>
      <c r="I31" s="171" t="s">
        <v>1383</v>
      </c>
      <c r="J31" s="172" t="s">
        <v>204</v>
      </c>
      <c r="K31" s="172" t="s">
        <v>1723</v>
      </c>
      <c r="L31" s="168" t="s">
        <v>1722</v>
      </c>
      <c r="P31" t="s">
        <v>691</v>
      </c>
    </row>
    <row r="32" spans="3:19">
      <c r="C32" t="s">
        <v>1424</v>
      </c>
      <c r="D32" t="s">
        <v>304</v>
      </c>
      <c r="H32" s="170">
        <f t="shared" si="0"/>
        <v>29</v>
      </c>
      <c r="I32" s="174" t="s">
        <v>1724</v>
      </c>
      <c r="J32" s="175" t="s">
        <v>1045</v>
      </c>
      <c r="K32" s="175" t="s">
        <v>1725</v>
      </c>
      <c r="L32" s="168" t="s">
        <v>1726</v>
      </c>
      <c r="P32" t="s">
        <v>691</v>
      </c>
    </row>
    <row r="33" spans="3:17">
      <c r="C33" t="s">
        <v>1428</v>
      </c>
      <c r="D33" t="s">
        <v>304</v>
      </c>
      <c r="H33" s="170">
        <f t="shared" si="0"/>
        <v>30</v>
      </c>
      <c r="I33" s="171" t="s">
        <v>906</v>
      </c>
      <c r="J33" s="172" t="s">
        <v>1045</v>
      </c>
      <c r="K33" s="172" t="s">
        <v>1725</v>
      </c>
      <c r="L33" s="168" t="s">
        <v>1727</v>
      </c>
      <c r="P33" t="s">
        <v>691</v>
      </c>
    </row>
    <row r="34" spans="3:17">
      <c r="C34" t="s">
        <v>1431</v>
      </c>
      <c r="D34" t="s">
        <v>807</v>
      </c>
      <c r="H34" s="170">
        <f t="shared" si="0"/>
        <v>31</v>
      </c>
      <c r="I34" s="174" t="s">
        <v>1397</v>
      </c>
      <c r="J34" s="175" t="s">
        <v>1728</v>
      </c>
      <c r="K34" s="175" t="s">
        <v>1682</v>
      </c>
      <c r="L34" s="168" t="s">
        <v>1729</v>
      </c>
      <c r="P34" t="s">
        <v>691</v>
      </c>
    </row>
    <row r="35" spans="3:17">
      <c r="C35" t="s">
        <v>1434</v>
      </c>
      <c r="D35" t="s">
        <v>320</v>
      </c>
      <c r="H35" s="170">
        <f t="shared" si="0"/>
        <v>32</v>
      </c>
      <c r="I35" s="171" t="s">
        <v>1339</v>
      </c>
      <c r="J35" s="172" t="s">
        <v>1045</v>
      </c>
      <c r="K35" s="172" t="s">
        <v>1713</v>
      </c>
      <c r="L35" s="168" t="s">
        <v>1502</v>
      </c>
      <c r="P35" t="s">
        <v>691</v>
      </c>
    </row>
    <row r="36" spans="3:17">
      <c r="C36" t="s">
        <v>1436</v>
      </c>
      <c r="D36" t="s">
        <v>320</v>
      </c>
      <c r="H36" s="170">
        <f t="shared" si="0"/>
        <v>33</v>
      </c>
      <c r="I36" s="174" t="s">
        <v>1372</v>
      </c>
      <c r="J36" s="175" t="s">
        <v>204</v>
      </c>
      <c r="K36" s="175" t="s">
        <v>1730</v>
      </c>
      <c r="L36" s="168" t="s">
        <v>1731</v>
      </c>
      <c r="P36" t="s">
        <v>691</v>
      </c>
    </row>
    <row r="37" spans="3:17">
      <c r="C37" t="s">
        <v>458</v>
      </c>
      <c r="D37" t="s">
        <v>320</v>
      </c>
      <c r="H37" s="170">
        <f t="shared" si="0"/>
        <v>34</v>
      </c>
      <c r="I37" s="171" t="s">
        <v>1732</v>
      </c>
      <c r="J37" s="172" t="s">
        <v>1045</v>
      </c>
      <c r="K37" s="172" t="s">
        <v>1733</v>
      </c>
      <c r="L37" s="168" t="s">
        <v>1720</v>
      </c>
      <c r="P37" t="s">
        <v>691</v>
      </c>
    </row>
    <row r="38" spans="3:17">
      <c r="C38" t="s">
        <v>1440</v>
      </c>
      <c r="D38" t="s">
        <v>304</v>
      </c>
      <c r="H38" s="170">
        <f t="shared" si="0"/>
        <v>35</v>
      </c>
      <c r="I38" s="174" t="s">
        <v>1419</v>
      </c>
      <c r="J38" s="175" t="s">
        <v>1418</v>
      </c>
      <c r="K38" s="175" t="s">
        <v>1734</v>
      </c>
      <c r="L38" s="168" t="s">
        <v>1715</v>
      </c>
      <c r="P38" t="s">
        <v>691</v>
      </c>
    </row>
    <row r="39" spans="3:17">
      <c r="C39" t="s">
        <v>1443</v>
      </c>
      <c r="D39" t="s">
        <v>807</v>
      </c>
    </row>
    <row r="41" spans="3:17">
      <c r="C41" t="s">
        <v>1458</v>
      </c>
      <c r="D41" t="s">
        <v>304</v>
      </c>
      <c r="I41" t="s">
        <v>1656</v>
      </c>
      <c r="M41" s="163">
        <f>+MAX(M43:M55)</f>
        <v>45754</v>
      </c>
    </row>
    <row r="42" spans="3:17">
      <c r="C42" t="s">
        <v>1461</v>
      </c>
      <c r="D42" t="s">
        <v>320</v>
      </c>
      <c r="F42" s="176" t="s">
        <v>1657</v>
      </c>
      <c r="G42" s="35">
        <v>15</v>
      </c>
      <c r="H42" s="138" t="s">
        <v>7</v>
      </c>
      <c r="I42" s="137" t="s">
        <v>415</v>
      </c>
      <c r="J42" s="138" t="s">
        <v>1659</v>
      </c>
      <c r="K42" s="138" t="s">
        <v>1660</v>
      </c>
      <c r="L42" s="138" t="s">
        <v>1661</v>
      </c>
    </row>
    <row r="43" spans="3:17">
      <c r="C43" t="s">
        <v>1463</v>
      </c>
      <c r="D43" t="s">
        <v>320</v>
      </c>
      <c r="F43" t="s">
        <v>1664</v>
      </c>
      <c r="G43" s="24">
        <v>15</v>
      </c>
      <c r="H43" s="141">
        <v>1</v>
      </c>
      <c r="I43" s="154" t="s">
        <v>1735</v>
      </c>
      <c r="J43" s="141" t="s">
        <v>270</v>
      </c>
      <c r="K43" s="141" t="s">
        <v>1717</v>
      </c>
      <c r="L43" s="35" t="s">
        <v>1736</v>
      </c>
      <c r="M43" s="164">
        <f>+INDEX(Pipe!F:F,MATCH('Reuniao Vertical_1505'!I43,Pipe!E:E,0))</f>
        <v>45530</v>
      </c>
      <c r="P43" t="s">
        <v>691</v>
      </c>
    </row>
    <row r="44" spans="3:17">
      <c r="F44" t="s">
        <v>1667</v>
      </c>
      <c r="G44" s="24">
        <v>11</v>
      </c>
      <c r="H44" s="147">
        <f t="shared" ref="H44:H69" si="1">+H43+1</f>
        <v>2</v>
      </c>
      <c r="I44" s="155" t="s">
        <v>1737</v>
      </c>
      <c r="J44" s="147" t="s">
        <v>1738</v>
      </c>
      <c r="K44" s="147" t="s">
        <v>1678</v>
      </c>
      <c r="L44" s="35" t="s">
        <v>1739</v>
      </c>
      <c r="M44" s="164">
        <v>45685</v>
      </c>
      <c r="P44" t="s">
        <v>691</v>
      </c>
    </row>
    <row r="45" spans="3:17">
      <c r="H45" s="141">
        <f t="shared" si="1"/>
        <v>3</v>
      </c>
      <c r="I45" s="154" t="s">
        <v>1740</v>
      </c>
      <c r="J45" s="141" t="s">
        <v>1741</v>
      </c>
      <c r="K45" s="141" t="s">
        <v>1742</v>
      </c>
      <c r="L45" s="35" t="s">
        <v>1743</v>
      </c>
      <c r="M45" s="164">
        <v>45567</v>
      </c>
      <c r="P45" t="s">
        <v>691</v>
      </c>
    </row>
    <row r="46" spans="3:17">
      <c r="C46" t="s">
        <v>1475</v>
      </c>
      <c r="D46" t="s">
        <v>270</v>
      </c>
      <c r="H46" s="147">
        <f t="shared" si="1"/>
        <v>4</v>
      </c>
      <c r="I46" s="155" t="s">
        <v>1744</v>
      </c>
      <c r="J46" s="147" t="s">
        <v>1745</v>
      </c>
      <c r="K46" s="147"/>
      <c r="L46" s="35" t="s">
        <v>1746</v>
      </c>
      <c r="M46" s="164">
        <v>45737</v>
      </c>
      <c r="P46" t="s">
        <v>691</v>
      </c>
    </row>
    <row r="47" spans="3:17">
      <c r="H47" s="141">
        <f t="shared" si="1"/>
        <v>5</v>
      </c>
      <c r="I47" s="154" t="s">
        <v>1434</v>
      </c>
      <c r="J47" s="141" t="s">
        <v>320</v>
      </c>
      <c r="K47" s="141"/>
      <c r="L47" s="35" t="s">
        <v>1674</v>
      </c>
      <c r="M47" s="164">
        <v>45742</v>
      </c>
      <c r="P47" t="s">
        <v>691</v>
      </c>
      <c r="Q47">
        <f>5%*130.15</f>
        <v>6.5075000000000003</v>
      </c>
    </row>
    <row r="48" spans="3:17">
      <c r="H48" s="147">
        <f t="shared" si="1"/>
        <v>6</v>
      </c>
      <c r="I48" s="155" t="s">
        <v>1458</v>
      </c>
      <c r="J48" s="147" t="s">
        <v>304</v>
      </c>
      <c r="K48" s="147"/>
      <c r="L48" s="12" t="s">
        <v>2</v>
      </c>
      <c r="M48" s="164">
        <v>45716</v>
      </c>
      <c r="P48" t="s">
        <v>691</v>
      </c>
    </row>
    <row r="49" spans="3:16">
      <c r="H49" s="141">
        <f t="shared" si="1"/>
        <v>7</v>
      </c>
      <c r="I49" s="154" t="s">
        <v>1440</v>
      </c>
      <c r="J49" s="141" t="s">
        <v>304</v>
      </c>
      <c r="K49" s="141"/>
      <c r="L49" s="12" t="s">
        <v>2</v>
      </c>
      <c r="M49" s="164">
        <f>+INDEX(Pipe!F:F,MATCH('Reuniao Vertical_1505'!I70,Pipe!E:E,0))</f>
        <v>45643</v>
      </c>
      <c r="P49" t="s">
        <v>691</v>
      </c>
    </row>
    <row r="50" spans="3:16">
      <c r="H50" s="147">
        <f t="shared" si="1"/>
        <v>8</v>
      </c>
      <c r="I50" s="155" t="s">
        <v>1121</v>
      </c>
      <c r="J50" s="147" t="s">
        <v>270</v>
      </c>
      <c r="K50" s="147" t="s">
        <v>1717</v>
      </c>
      <c r="L50" s="72" t="s">
        <v>1747</v>
      </c>
      <c r="M50" s="164">
        <f>+INDEX(Pipe!F:F,MATCH('Reuniao Vertical_1505'!I50,Pipe!E:E,0))</f>
        <v>45686</v>
      </c>
      <c r="P50" t="s">
        <v>691</v>
      </c>
    </row>
    <row r="51" spans="3:16">
      <c r="C51" t="s">
        <v>1491</v>
      </c>
      <c r="D51" t="s">
        <v>86</v>
      </c>
      <c r="H51" s="141">
        <f t="shared" si="1"/>
        <v>9</v>
      </c>
      <c r="I51" s="154" t="s">
        <v>1748</v>
      </c>
      <c r="J51" s="141" t="s">
        <v>270</v>
      </c>
      <c r="K51" s="141" t="s">
        <v>1717</v>
      </c>
      <c r="L51" s="9" t="s">
        <v>1749</v>
      </c>
      <c r="M51" s="164">
        <v>45706</v>
      </c>
      <c r="P51" t="s">
        <v>691</v>
      </c>
    </row>
    <row r="52" spans="3:16">
      <c r="C52" t="s">
        <v>1750</v>
      </c>
      <c r="D52" t="s">
        <v>320</v>
      </c>
      <c r="H52" s="147">
        <f t="shared" si="1"/>
        <v>10</v>
      </c>
      <c r="I52" s="155" t="s">
        <v>1751</v>
      </c>
      <c r="J52" s="147" t="s">
        <v>270</v>
      </c>
      <c r="K52" s="147" t="s">
        <v>1717</v>
      </c>
      <c r="L52" s="12" t="s">
        <v>1747</v>
      </c>
      <c r="M52" s="164">
        <f>+INDEX(Pipe!F:F,MATCH('Reuniao Vertical_1505'!I52,Pipe!E:E,0))</f>
        <v>45715</v>
      </c>
      <c r="P52" t="s">
        <v>691</v>
      </c>
    </row>
    <row r="53" spans="3:16">
      <c r="H53" s="141">
        <f t="shared" si="1"/>
        <v>11</v>
      </c>
      <c r="I53" s="154" t="s">
        <v>1752</v>
      </c>
      <c r="J53" s="141" t="s">
        <v>320</v>
      </c>
      <c r="K53" s="141"/>
      <c r="L53" s="12" t="s">
        <v>1753</v>
      </c>
      <c r="M53" s="164">
        <v>45731</v>
      </c>
      <c r="P53" t="s">
        <v>691</v>
      </c>
    </row>
    <row r="54" spans="3:16">
      <c r="C54" t="s">
        <v>1497</v>
      </c>
      <c r="D54" t="s">
        <v>320</v>
      </c>
      <c r="H54" s="147">
        <f t="shared" si="1"/>
        <v>12</v>
      </c>
      <c r="I54" s="155" t="s">
        <v>1388</v>
      </c>
      <c r="J54" s="147" t="s">
        <v>270</v>
      </c>
      <c r="K54" s="147" t="s">
        <v>1710</v>
      </c>
      <c r="L54" s="12" t="s">
        <v>1754</v>
      </c>
      <c r="M54" s="164">
        <f>+INDEX(Pipe!F:F,MATCH('Reuniao Vertical_1505'!I54,Pipe!E:E,0))</f>
        <v>45751</v>
      </c>
      <c r="P54" t="s">
        <v>691</v>
      </c>
    </row>
    <row r="55" spans="3:16">
      <c r="H55" s="141">
        <f t="shared" si="1"/>
        <v>13</v>
      </c>
      <c r="I55" s="154" t="s">
        <v>1393</v>
      </c>
      <c r="J55" s="141" t="s">
        <v>270</v>
      </c>
      <c r="K55" s="141" t="s">
        <v>1755</v>
      </c>
      <c r="L55" s="12" t="s">
        <v>1756</v>
      </c>
      <c r="M55" s="164">
        <f>+INDEX(Pipe!F:F,MATCH('Reuniao Vertical_1505'!I55,Pipe!E:E,0))</f>
        <v>45754</v>
      </c>
      <c r="P55" t="s">
        <v>691</v>
      </c>
    </row>
    <row r="56" spans="3:16">
      <c r="H56" s="147">
        <f t="shared" si="1"/>
        <v>14</v>
      </c>
      <c r="I56" s="155" t="s">
        <v>1426</v>
      </c>
      <c r="J56" s="147" t="s">
        <v>807</v>
      </c>
      <c r="K56" s="147"/>
      <c r="L56" s="12" t="s">
        <v>1754</v>
      </c>
      <c r="P56" t="s">
        <v>691</v>
      </c>
    </row>
    <row r="57" spans="3:16">
      <c r="H57" s="141">
        <f t="shared" si="1"/>
        <v>15</v>
      </c>
      <c r="I57" s="154" t="s">
        <v>1491</v>
      </c>
      <c r="J57" s="141" t="s">
        <v>86</v>
      </c>
      <c r="K57" s="141"/>
      <c r="L57" s="72" t="s">
        <v>2</v>
      </c>
      <c r="P57" t="s">
        <v>691</v>
      </c>
    </row>
    <row r="58" spans="3:16">
      <c r="H58" s="147">
        <f t="shared" si="1"/>
        <v>16</v>
      </c>
      <c r="I58" s="155" t="s">
        <v>1750</v>
      </c>
      <c r="J58" s="147" t="s">
        <v>320</v>
      </c>
      <c r="K58" s="147"/>
      <c r="L58" s="72" t="s">
        <v>2</v>
      </c>
      <c r="P58" t="s">
        <v>691</v>
      </c>
    </row>
    <row r="59" spans="3:16">
      <c r="H59" s="141">
        <f t="shared" si="1"/>
        <v>17</v>
      </c>
      <c r="I59" s="154" t="s">
        <v>1497</v>
      </c>
      <c r="J59" s="141" t="s">
        <v>320</v>
      </c>
      <c r="K59" s="141"/>
      <c r="L59" s="72" t="s">
        <v>2</v>
      </c>
      <c r="P59" t="s">
        <v>691</v>
      </c>
    </row>
    <row r="60" spans="3:16">
      <c r="H60" s="147">
        <f t="shared" si="1"/>
        <v>18</v>
      </c>
      <c r="I60" s="155" t="s">
        <v>1424</v>
      </c>
      <c r="J60" s="147" t="s">
        <v>304</v>
      </c>
      <c r="K60" s="147"/>
      <c r="L60" s="169" t="s">
        <v>1757</v>
      </c>
      <c r="P60" t="s">
        <v>691</v>
      </c>
    </row>
    <row r="61" spans="3:16" ht="28.8">
      <c r="H61" s="141">
        <f t="shared" si="1"/>
        <v>19</v>
      </c>
      <c r="I61" s="154" t="s">
        <v>1428</v>
      </c>
      <c r="J61" s="141" t="s">
        <v>304</v>
      </c>
      <c r="K61" s="141"/>
      <c r="L61" s="5" t="s">
        <v>1430</v>
      </c>
      <c r="P61" t="s">
        <v>691</v>
      </c>
    </row>
    <row r="62" spans="3:16">
      <c r="H62" s="147">
        <f t="shared" si="1"/>
        <v>20</v>
      </c>
      <c r="I62" s="155" t="s">
        <v>1431</v>
      </c>
      <c r="J62" s="147" t="s">
        <v>807</v>
      </c>
      <c r="K62" s="147"/>
      <c r="L62" s="169" t="s">
        <v>1758</v>
      </c>
      <c r="P62" t="s">
        <v>691</v>
      </c>
    </row>
    <row r="63" spans="3:16" ht="28.8">
      <c r="H63" s="141">
        <f t="shared" si="1"/>
        <v>21</v>
      </c>
      <c r="I63" s="154" t="s">
        <v>1436</v>
      </c>
      <c r="J63" s="141" t="s">
        <v>320</v>
      </c>
      <c r="K63" s="141"/>
      <c r="L63" s="169" t="s">
        <v>1437</v>
      </c>
      <c r="P63" t="s">
        <v>691</v>
      </c>
    </row>
    <row r="64" spans="3:16" ht="28.8">
      <c r="H64" s="147">
        <f t="shared" si="1"/>
        <v>22</v>
      </c>
      <c r="I64" s="155" t="s">
        <v>458</v>
      </c>
      <c r="J64" s="147" t="s">
        <v>320</v>
      </c>
      <c r="K64" s="147"/>
      <c r="L64" s="5" t="s">
        <v>1759</v>
      </c>
      <c r="P64" t="s">
        <v>691</v>
      </c>
    </row>
    <row r="65" spans="8:16">
      <c r="H65" s="141">
        <f t="shared" si="1"/>
        <v>23</v>
      </c>
      <c r="I65" s="154" t="s">
        <v>1443</v>
      </c>
      <c r="J65" s="141" t="s">
        <v>807</v>
      </c>
      <c r="K65" s="141"/>
      <c r="L65" s="5" t="s">
        <v>1446</v>
      </c>
      <c r="P65" t="s">
        <v>691</v>
      </c>
    </row>
    <row r="66" spans="8:16">
      <c r="H66" s="147">
        <f t="shared" si="1"/>
        <v>24</v>
      </c>
      <c r="I66" s="155" t="s">
        <v>1463</v>
      </c>
      <c r="J66" s="147" t="s">
        <v>320</v>
      </c>
      <c r="K66" s="147"/>
      <c r="L66" s="5" t="s">
        <v>1760</v>
      </c>
      <c r="P66" t="s">
        <v>691</v>
      </c>
    </row>
    <row r="67" spans="8:16">
      <c r="H67" s="141">
        <f t="shared" si="1"/>
        <v>25</v>
      </c>
      <c r="I67" s="154" t="s">
        <v>1475</v>
      </c>
      <c r="J67" s="141" t="s">
        <v>270</v>
      </c>
      <c r="K67" s="141"/>
      <c r="L67" s="5" t="s">
        <v>1761</v>
      </c>
      <c r="P67" t="s">
        <v>691</v>
      </c>
    </row>
    <row r="68" spans="8:16">
      <c r="H68" s="147">
        <f t="shared" si="1"/>
        <v>26</v>
      </c>
      <c r="I68" s="155" t="s">
        <v>1762</v>
      </c>
      <c r="J68" s="147" t="s">
        <v>695</v>
      </c>
      <c r="K68" s="147" t="s">
        <v>1763</v>
      </c>
      <c r="L68" s="5" t="s">
        <v>1764</v>
      </c>
      <c r="P68" t="s">
        <v>691</v>
      </c>
    </row>
    <row r="69" spans="8:16">
      <c r="H69" s="141">
        <f t="shared" si="1"/>
        <v>27</v>
      </c>
      <c r="I69" s="154" t="s">
        <v>243</v>
      </c>
      <c r="J69" s="141" t="s">
        <v>320</v>
      </c>
      <c r="K69" s="141"/>
      <c r="L69" s="5" t="s">
        <v>1765</v>
      </c>
      <c r="P69" t="s">
        <v>691</v>
      </c>
    </row>
    <row r="70" spans="8:16">
      <c r="H70" s="147">
        <f>+H69+1</f>
        <v>28</v>
      </c>
      <c r="I70" s="155" t="s">
        <v>1766</v>
      </c>
      <c r="J70" s="147" t="s">
        <v>156</v>
      </c>
      <c r="K70" s="147" t="s">
        <v>1763</v>
      </c>
      <c r="L70" s="5" t="s">
        <v>1446</v>
      </c>
      <c r="P70" t="s">
        <v>691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AC168-D983-4C55-9438-15D89976DB95}">
  <sheetPr codeName="Sheet7"/>
  <dimension ref="B1:AP264"/>
  <sheetViews>
    <sheetView showGridLines="0" topLeftCell="H1" zoomScale="55" zoomScaleNormal="55" workbookViewId="0">
      <selection activeCell="AO34" sqref="AO34"/>
    </sheetView>
  </sheetViews>
  <sheetFormatPr defaultRowHeight="14.4" outlineLevelCol="1"/>
  <cols>
    <col min="2" max="2" width="47.5546875" bestFit="1" customWidth="1"/>
    <col min="3" max="3" width="10.109375" customWidth="1"/>
    <col min="4" max="4" width="41.44140625" bestFit="1" customWidth="1"/>
    <col min="5" max="5" width="17.5546875" bestFit="1" customWidth="1"/>
    <col min="8" max="8" width="17.5546875" bestFit="1" customWidth="1"/>
    <col min="14" max="14" width="41.44140625" hidden="1" customWidth="1" outlineLevel="1"/>
    <col min="15" max="16" width="0" hidden="1" customWidth="1" outlineLevel="1"/>
    <col min="17" max="17" width="9.109375" collapsed="1"/>
    <col min="20" max="20" width="15.5546875" customWidth="1"/>
    <col min="23" max="31" width="0" hidden="1" customWidth="1" outlineLevel="1"/>
    <col min="32" max="32" width="17.5546875" hidden="1" customWidth="1" outlineLevel="1"/>
    <col min="33" max="36" width="0" hidden="1" customWidth="1" outlineLevel="1"/>
    <col min="37" max="37" width="20.6640625" hidden="1" customWidth="1" outlineLevel="1"/>
    <col min="38" max="39" width="0" hidden="1" customWidth="1" outlineLevel="1"/>
    <col min="40" max="40" width="9.109375" collapsed="1"/>
    <col min="41" max="41" width="25.88671875" bestFit="1" customWidth="1"/>
  </cols>
  <sheetData>
    <row r="1" spans="2:42">
      <c r="H1" t="s">
        <v>1767</v>
      </c>
    </row>
    <row r="2" spans="2:42">
      <c r="N2" t="s">
        <v>1768</v>
      </c>
      <c r="O2" t="s">
        <v>1768</v>
      </c>
      <c r="AK2" t="s">
        <v>76</v>
      </c>
      <c r="AL2" s="70">
        <f>+AH3</f>
        <v>0.20229007633587787</v>
      </c>
      <c r="AO2" t="s">
        <v>1769</v>
      </c>
      <c r="AP2" s="70">
        <f>+AL9</f>
        <v>0.32442748091603052</v>
      </c>
    </row>
    <row r="3" spans="2:42">
      <c r="B3" t="s">
        <v>1770</v>
      </c>
      <c r="C3" t="s">
        <v>1770</v>
      </c>
      <c r="D3" t="s">
        <v>1770</v>
      </c>
      <c r="E3" t="s">
        <v>1770</v>
      </c>
      <c r="F3" t="s">
        <v>1770</v>
      </c>
      <c r="G3" t="s">
        <v>1770</v>
      </c>
      <c r="H3" t="s">
        <v>1770</v>
      </c>
      <c r="N3" t="s">
        <v>22</v>
      </c>
      <c r="O3" t="s">
        <v>1771</v>
      </c>
      <c r="P3" t="s">
        <v>226</v>
      </c>
      <c r="AF3" t="s">
        <v>76</v>
      </c>
      <c r="AG3">
        <f t="shared" ref="AG3:AG10" si="0">COUNTIF(H:H,AF3)</f>
        <v>53</v>
      </c>
      <c r="AH3" s="70">
        <f>+AG3/$AG$11</f>
        <v>0.20229007633587787</v>
      </c>
      <c r="AK3" t="s">
        <v>1772</v>
      </c>
      <c r="AL3" s="70">
        <f t="shared" ref="AL3:AL9" si="1">+AH4</f>
        <v>0.12213740458015267</v>
      </c>
      <c r="AO3" t="s">
        <v>1773</v>
      </c>
      <c r="AP3" s="70">
        <f>+AL2+AL8</f>
        <v>0.2251908396946565</v>
      </c>
    </row>
    <row r="4" spans="2:42">
      <c r="B4" t="s">
        <v>844</v>
      </c>
      <c r="C4" s="67">
        <v>45583</v>
      </c>
      <c r="D4" t="s">
        <v>845</v>
      </c>
      <c r="E4" s="24">
        <f t="shared" ref="E4:E67" si="2">+INDEX($O$3:$O$132,MATCH(D4,$N$3:$N$132,0))</f>
        <v>0</v>
      </c>
      <c r="F4">
        <v>73</v>
      </c>
      <c r="G4" s="68">
        <f t="shared" ref="G4:G67" si="3">+F4/261</f>
        <v>0.27969348659003829</v>
      </c>
      <c r="H4" t="s">
        <v>226</v>
      </c>
      <c r="N4" t="s">
        <v>30</v>
      </c>
      <c r="O4" t="s">
        <v>872</v>
      </c>
      <c r="P4" t="s">
        <v>872</v>
      </c>
      <c r="T4" t="s">
        <v>76</v>
      </c>
      <c r="U4" s="68">
        <f>+G77</f>
        <v>0.19157088122605365</v>
      </c>
      <c r="AF4" t="s">
        <v>1774</v>
      </c>
      <c r="AG4">
        <f t="shared" si="0"/>
        <v>32</v>
      </c>
      <c r="AH4" s="70">
        <f t="shared" ref="AH4:AH10" si="4">+AG4/$AG$11</f>
        <v>0.12213740458015267</v>
      </c>
      <c r="AK4" t="s">
        <v>1775</v>
      </c>
      <c r="AL4" s="70">
        <f t="shared" si="1"/>
        <v>0.1183206106870229</v>
      </c>
      <c r="AO4" t="s">
        <v>1772</v>
      </c>
      <c r="AP4" s="70">
        <f>+AL3</f>
        <v>0.12213740458015267</v>
      </c>
    </row>
    <row r="5" spans="2:42">
      <c r="B5" t="s">
        <v>353</v>
      </c>
      <c r="C5" s="67">
        <v>45387</v>
      </c>
      <c r="D5" t="s">
        <v>403</v>
      </c>
      <c r="E5" s="24">
        <f t="shared" si="2"/>
        <v>0</v>
      </c>
      <c r="F5">
        <v>73</v>
      </c>
      <c r="G5" s="68">
        <f t="shared" si="3"/>
        <v>0.27969348659003829</v>
      </c>
      <c r="H5" t="s">
        <v>1261</v>
      </c>
      <c r="N5" t="s">
        <v>33</v>
      </c>
      <c r="O5" t="s">
        <v>1776</v>
      </c>
      <c r="P5" t="s">
        <v>226</v>
      </c>
      <c r="T5" t="s">
        <v>1776</v>
      </c>
      <c r="U5" s="68">
        <f>+G158</f>
        <v>3.8314176245210725E-2</v>
      </c>
      <c r="AF5" t="s">
        <v>1767</v>
      </c>
      <c r="AG5">
        <f t="shared" si="0"/>
        <v>31</v>
      </c>
      <c r="AH5" s="70">
        <f t="shared" si="4"/>
        <v>0.1183206106870229</v>
      </c>
      <c r="AK5" t="s">
        <v>1777</v>
      </c>
      <c r="AL5" s="70">
        <f t="shared" si="1"/>
        <v>9.5419847328244281E-2</v>
      </c>
      <c r="AO5" t="s">
        <v>1775</v>
      </c>
      <c r="AP5" s="70">
        <f>+AL4</f>
        <v>0.1183206106870229</v>
      </c>
    </row>
    <row r="6" spans="2:42">
      <c r="B6" t="s">
        <v>402</v>
      </c>
      <c r="C6" s="67">
        <v>45401</v>
      </c>
      <c r="D6" t="s">
        <v>403</v>
      </c>
      <c r="E6" s="24">
        <f t="shared" si="2"/>
        <v>0</v>
      </c>
      <c r="F6">
        <v>73</v>
      </c>
      <c r="G6" s="68">
        <f t="shared" si="3"/>
        <v>0.27969348659003829</v>
      </c>
      <c r="H6" t="s">
        <v>1261</v>
      </c>
      <c r="N6" t="s">
        <v>37</v>
      </c>
      <c r="O6" t="s">
        <v>1778</v>
      </c>
      <c r="P6" t="s">
        <v>226</v>
      </c>
      <c r="T6" t="s">
        <v>1779</v>
      </c>
      <c r="U6" s="68">
        <f>+G167</f>
        <v>3.4482758620689655E-2</v>
      </c>
      <c r="AF6" t="s">
        <v>1261</v>
      </c>
      <c r="AG6">
        <f t="shared" si="0"/>
        <v>25</v>
      </c>
      <c r="AH6" s="70">
        <f t="shared" si="4"/>
        <v>9.5419847328244281E-2</v>
      </c>
      <c r="AK6" t="s">
        <v>1780</v>
      </c>
      <c r="AL6" s="70">
        <f t="shared" si="1"/>
        <v>6.1068702290076333E-2</v>
      </c>
      <c r="AO6" t="s">
        <v>1777</v>
      </c>
      <c r="AP6" s="70">
        <f>+AL5</f>
        <v>9.5419847328244281E-2</v>
      </c>
    </row>
    <row r="7" spans="2:42">
      <c r="B7" t="s">
        <v>980</v>
      </c>
      <c r="C7" s="67">
        <v>45636</v>
      </c>
      <c r="D7" t="s">
        <v>403</v>
      </c>
      <c r="E7" s="24">
        <f t="shared" si="2"/>
        <v>0</v>
      </c>
      <c r="F7">
        <v>73</v>
      </c>
      <c r="G7" s="68">
        <f t="shared" si="3"/>
        <v>0.27969348659003829</v>
      </c>
      <c r="H7" t="s">
        <v>1261</v>
      </c>
      <c r="N7" t="s">
        <v>43</v>
      </c>
      <c r="O7" t="s">
        <v>1781</v>
      </c>
      <c r="P7" t="s">
        <v>226</v>
      </c>
      <c r="T7" t="s">
        <v>1782</v>
      </c>
      <c r="U7" s="68">
        <f>+G176</f>
        <v>2.2988505747126436E-2</v>
      </c>
      <c r="AF7" t="s">
        <v>872</v>
      </c>
      <c r="AG7">
        <f t="shared" si="0"/>
        <v>16</v>
      </c>
      <c r="AH7" s="70">
        <f t="shared" si="4"/>
        <v>6.1068702290076333E-2</v>
      </c>
      <c r="AK7" t="s">
        <v>1783</v>
      </c>
      <c r="AL7" s="70">
        <f t="shared" si="1"/>
        <v>5.3435114503816793E-2</v>
      </c>
      <c r="AO7" t="s">
        <v>1780</v>
      </c>
      <c r="AP7" s="70">
        <f>+AL6</f>
        <v>6.1068702290076333E-2</v>
      </c>
    </row>
    <row r="8" spans="2:42">
      <c r="B8" t="s">
        <v>1014</v>
      </c>
      <c r="C8" s="67">
        <v>45643</v>
      </c>
      <c r="D8" t="s">
        <v>403</v>
      </c>
      <c r="E8" s="24">
        <f t="shared" si="2"/>
        <v>0</v>
      </c>
      <c r="F8">
        <v>73</v>
      </c>
      <c r="G8" s="68">
        <f t="shared" si="3"/>
        <v>0.27969348659003829</v>
      </c>
      <c r="H8" t="s">
        <v>1261</v>
      </c>
      <c r="N8" t="s">
        <v>49</v>
      </c>
      <c r="O8" t="s">
        <v>1784</v>
      </c>
      <c r="P8" t="s">
        <v>226</v>
      </c>
      <c r="T8" t="s">
        <v>1778</v>
      </c>
      <c r="U8" s="68">
        <f>+G182</f>
        <v>2.2988505747126436E-2</v>
      </c>
      <c r="AF8" t="s">
        <v>1193</v>
      </c>
      <c r="AG8">
        <f t="shared" si="0"/>
        <v>14</v>
      </c>
      <c r="AH8" s="70">
        <f t="shared" si="4"/>
        <v>5.3435114503816793E-2</v>
      </c>
      <c r="AK8" t="s">
        <v>1773</v>
      </c>
      <c r="AL8" s="70">
        <f t="shared" si="1"/>
        <v>2.2900763358778626E-2</v>
      </c>
      <c r="AO8" t="s">
        <v>1783</v>
      </c>
      <c r="AP8" s="70">
        <f>+AL7</f>
        <v>5.3435114503816793E-2</v>
      </c>
    </row>
    <row r="9" spans="2:42">
      <c r="B9" t="s">
        <v>860</v>
      </c>
      <c r="C9" s="67">
        <v>45593</v>
      </c>
      <c r="D9" t="s">
        <v>861</v>
      </c>
      <c r="E9" s="24">
        <f t="shared" si="2"/>
        <v>0</v>
      </c>
      <c r="F9">
        <v>73</v>
      </c>
      <c r="G9" s="68">
        <f t="shared" si="3"/>
        <v>0.27969348659003829</v>
      </c>
      <c r="H9" t="s">
        <v>1767</v>
      </c>
      <c r="N9" t="s">
        <v>54</v>
      </c>
      <c r="O9" t="s">
        <v>1785</v>
      </c>
      <c r="P9" t="s">
        <v>872</v>
      </c>
      <c r="T9" t="s">
        <v>1786</v>
      </c>
      <c r="U9" s="68">
        <f>+G188</f>
        <v>2.2988505747126436E-2</v>
      </c>
      <c r="AF9" t="s">
        <v>1252</v>
      </c>
      <c r="AG9">
        <f t="shared" si="0"/>
        <v>6</v>
      </c>
      <c r="AH9" s="70">
        <f t="shared" si="4"/>
        <v>2.2900763358778626E-2</v>
      </c>
      <c r="AK9" t="s">
        <v>1769</v>
      </c>
      <c r="AL9" s="70">
        <f t="shared" si="1"/>
        <v>0.32442748091603052</v>
      </c>
    </row>
    <row r="10" spans="2:42">
      <c r="C10" s="67">
        <v>45525</v>
      </c>
      <c r="D10" t="s">
        <v>669</v>
      </c>
      <c r="E10" s="24">
        <f t="shared" si="2"/>
        <v>0</v>
      </c>
      <c r="F10">
        <v>73</v>
      </c>
      <c r="G10" s="68">
        <f t="shared" si="3"/>
        <v>0.27969348659003829</v>
      </c>
      <c r="H10" t="s">
        <v>1252</v>
      </c>
      <c r="N10" t="s">
        <v>59</v>
      </c>
      <c r="O10" t="s">
        <v>76</v>
      </c>
      <c r="T10" t="s">
        <v>1787</v>
      </c>
      <c r="U10" s="68">
        <f>1-SUM(U4:U9)</f>
        <v>0.66666666666666674</v>
      </c>
      <c r="AF10" t="s">
        <v>226</v>
      </c>
      <c r="AG10">
        <f t="shared" si="0"/>
        <v>85</v>
      </c>
      <c r="AH10" s="70">
        <f t="shared" si="4"/>
        <v>0.32442748091603052</v>
      </c>
    </row>
    <row r="11" spans="2:42">
      <c r="B11" t="s">
        <v>765</v>
      </c>
      <c r="C11" s="67">
        <v>45548</v>
      </c>
      <c r="D11" t="s">
        <v>766</v>
      </c>
      <c r="E11" s="24">
        <f t="shared" si="2"/>
        <v>0</v>
      </c>
      <c r="F11">
        <v>73</v>
      </c>
      <c r="G11" s="68">
        <f t="shared" si="3"/>
        <v>0.27969348659003829</v>
      </c>
      <c r="H11" t="s">
        <v>872</v>
      </c>
      <c r="N11" t="s">
        <v>65</v>
      </c>
      <c r="O11" t="s">
        <v>1788</v>
      </c>
      <c r="P11" t="s">
        <v>1252</v>
      </c>
      <c r="AG11">
        <f>+SUM(AG3:AG10)</f>
        <v>262</v>
      </c>
    </row>
    <row r="12" spans="2:42">
      <c r="B12" t="s">
        <v>572</v>
      </c>
      <c r="C12" s="67">
        <v>45478</v>
      </c>
      <c r="D12" t="s">
        <v>573</v>
      </c>
      <c r="E12" s="24">
        <f t="shared" si="2"/>
        <v>0</v>
      </c>
      <c r="F12">
        <v>73</v>
      </c>
      <c r="G12" s="68">
        <f t="shared" si="3"/>
        <v>0.27969348659003829</v>
      </c>
      <c r="H12" t="s">
        <v>872</v>
      </c>
      <c r="N12" t="s">
        <v>70</v>
      </c>
      <c r="O12" t="s">
        <v>76</v>
      </c>
    </row>
    <row r="13" spans="2:42">
      <c r="B13" t="s">
        <v>771</v>
      </c>
      <c r="C13" s="67">
        <v>45560</v>
      </c>
      <c r="D13" t="s">
        <v>772</v>
      </c>
      <c r="E13" s="24">
        <f t="shared" si="2"/>
        <v>0</v>
      </c>
      <c r="F13">
        <v>73</v>
      </c>
      <c r="G13" s="68">
        <f t="shared" si="3"/>
        <v>0.27969348659003829</v>
      </c>
      <c r="H13" t="s">
        <v>226</v>
      </c>
      <c r="N13" t="s">
        <v>76</v>
      </c>
      <c r="O13" t="s">
        <v>76</v>
      </c>
      <c r="T13" t="s">
        <v>1787</v>
      </c>
      <c r="U13" s="68">
        <f>+U10</f>
        <v>0.66666666666666674</v>
      </c>
    </row>
    <row r="14" spans="2:42">
      <c r="B14" t="s">
        <v>742</v>
      </c>
      <c r="C14" s="67">
        <v>45541</v>
      </c>
      <c r="D14" t="s">
        <v>743</v>
      </c>
      <c r="E14" s="24">
        <f t="shared" si="2"/>
        <v>0</v>
      </c>
      <c r="F14">
        <v>73</v>
      </c>
      <c r="G14" s="68">
        <f t="shared" si="3"/>
        <v>0.27969348659003829</v>
      </c>
      <c r="H14" t="s">
        <v>226</v>
      </c>
      <c r="N14" t="s">
        <v>82</v>
      </c>
      <c r="O14" t="s">
        <v>1789</v>
      </c>
      <c r="T14" t="s">
        <v>1786</v>
      </c>
      <c r="U14" s="68">
        <f>+U9</f>
        <v>2.2988505747126436E-2</v>
      </c>
    </row>
    <row r="15" spans="2:42">
      <c r="B15" t="s">
        <v>968</v>
      </c>
      <c r="C15" s="67">
        <v>45638</v>
      </c>
      <c r="D15" t="s">
        <v>969</v>
      </c>
      <c r="E15" s="24">
        <f t="shared" si="2"/>
        <v>0</v>
      </c>
      <c r="F15">
        <v>73</v>
      </c>
      <c r="G15" s="68">
        <f t="shared" si="3"/>
        <v>0.27969348659003829</v>
      </c>
      <c r="H15" t="s">
        <v>1774</v>
      </c>
      <c r="N15" t="s">
        <v>88</v>
      </c>
      <c r="O15" t="s">
        <v>1790</v>
      </c>
      <c r="P15" t="s">
        <v>226</v>
      </c>
      <c r="T15" t="s">
        <v>1778</v>
      </c>
      <c r="U15" s="68">
        <f>+U8</f>
        <v>2.2988505747126436E-2</v>
      </c>
    </row>
    <row r="16" spans="2:42">
      <c r="B16" t="s">
        <v>993</v>
      </c>
      <c r="C16" s="67">
        <v>45637</v>
      </c>
      <c r="D16" t="s">
        <v>994</v>
      </c>
      <c r="E16" s="24">
        <f t="shared" si="2"/>
        <v>0</v>
      </c>
      <c r="F16">
        <v>73</v>
      </c>
      <c r="G16" s="68">
        <f t="shared" si="3"/>
        <v>0.27969348659003829</v>
      </c>
      <c r="H16" t="s">
        <v>226</v>
      </c>
      <c r="N16" t="s">
        <v>93</v>
      </c>
      <c r="O16" t="s">
        <v>1791</v>
      </c>
      <c r="P16" t="s">
        <v>872</v>
      </c>
      <c r="T16" t="s">
        <v>1782</v>
      </c>
      <c r="U16" s="68">
        <f>+U7</f>
        <v>2.2988505747126436E-2</v>
      </c>
    </row>
    <row r="17" spans="2:21">
      <c r="B17" t="s">
        <v>396</v>
      </c>
      <c r="C17" s="67">
        <v>45401</v>
      </c>
      <c r="D17" t="s">
        <v>397</v>
      </c>
      <c r="E17" s="24">
        <f t="shared" si="2"/>
        <v>0</v>
      </c>
      <c r="F17">
        <v>73</v>
      </c>
      <c r="G17" s="68">
        <f t="shared" si="3"/>
        <v>0.27969348659003829</v>
      </c>
      <c r="H17" t="s">
        <v>1193</v>
      </c>
      <c r="N17" t="s">
        <v>108</v>
      </c>
      <c r="O17" t="s">
        <v>1785</v>
      </c>
      <c r="P17" t="s">
        <v>872</v>
      </c>
      <c r="T17" t="s">
        <v>1779</v>
      </c>
      <c r="U17" s="68">
        <f>+U6</f>
        <v>3.4482758620689655E-2</v>
      </c>
    </row>
    <row r="18" spans="2:21">
      <c r="B18" t="s">
        <v>1028</v>
      </c>
      <c r="C18" s="67">
        <v>45643</v>
      </c>
      <c r="D18" t="s">
        <v>820</v>
      </c>
      <c r="E18" s="24">
        <f t="shared" si="2"/>
        <v>0</v>
      </c>
      <c r="F18">
        <v>73</v>
      </c>
      <c r="G18" s="68">
        <f t="shared" si="3"/>
        <v>0.27969348659003829</v>
      </c>
      <c r="H18" t="s">
        <v>1767</v>
      </c>
      <c r="N18" t="s">
        <v>206</v>
      </c>
      <c r="O18" t="s">
        <v>1786</v>
      </c>
      <c r="P18" t="s">
        <v>1193</v>
      </c>
      <c r="T18" t="s">
        <v>1776</v>
      </c>
      <c r="U18" s="68">
        <f>+U5</f>
        <v>3.8314176245210725E-2</v>
      </c>
    </row>
    <row r="19" spans="2:21">
      <c r="C19" s="67">
        <v>45614</v>
      </c>
      <c r="D19" t="s">
        <v>929</v>
      </c>
      <c r="E19" s="24">
        <f t="shared" si="2"/>
        <v>0</v>
      </c>
      <c r="F19">
        <v>73</v>
      </c>
      <c r="G19" s="68">
        <f t="shared" si="3"/>
        <v>0.27969348659003829</v>
      </c>
      <c r="H19" t="s">
        <v>226</v>
      </c>
      <c r="N19" t="s">
        <v>119</v>
      </c>
      <c r="O19" t="s">
        <v>1779</v>
      </c>
      <c r="P19" t="s">
        <v>1261</v>
      </c>
      <c r="T19" t="s">
        <v>76</v>
      </c>
      <c r="U19" s="68">
        <f>+U4</f>
        <v>0.19157088122605365</v>
      </c>
    </row>
    <row r="20" spans="2:21">
      <c r="B20" t="s">
        <v>431</v>
      </c>
      <c r="C20" s="67">
        <v>45425</v>
      </c>
      <c r="D20" t="s">
        <v>432</v>
      </c>
      <c r="E20" s="24">
        <f t="shared" si="2"/>
        <v>0</v>
      </c>
      <c r="F20">
        <v>73</v>
      </c>
      <c r="G20" s="68">
        <f t="shared" si="3"/>
        <v>0.27969348659003829</v>
      </c>
      <c r="H20" t="s">
        <v>1774</v>
      </c>
      <c r="N20" t="s">
        <v>129</v>
      </c>
      <c r="O20" t="s">
        <v>1792</v>
      </c>
      <c r="P20" t="s">
        <v>226</v>
      </c>
    </row>
    <row r="21" spans="2:21">
      <c r="B21" t="s">
        <v>29</v>
      </c>
      <c r="C21" s="67">
        <v>45315</v>
      </c>
      <c r="D21" t="s">
        <v>30</v>
      </c>
      <c r="E21" s="24" t="str">
        <f t="shared" si="2"/>
        <v>Asset</v>
      </c>
      <c r="F21">
        <v>73</v>
      </c>
      <c r="G21" s="68">
        <f t="shared" si="3"/>
        <v>0.27969348659003829</v>
      </c>
      <c r="H21" t="s">
        <v>872</v>
      </c>
      <c r="N21" t="s">
        <v>139</v>
      </c>
      <c r="O21" t="s">
        <v>1791</v>
      </c>
      <c r="P21" t="s">
        <v>872</v>
      </c>
    </row>
    <row r="22" spans="2:21">
      <c r="B22" t="s">
        <v>480</v>
      </c>
      <c r="C22" s="67">
        <v>45440</v>
      </c>
      <c r="D22" t="s">
        <v>480</v>
      </c>
      <c r="E22" s="24">
        <f t="shared" si="2"/>
        <v>0</v>
      </c>
      <c r="F22">
        <v>73</v>
      </c>
      <c r="G22" s="68">
        <f t="shared" si="3"/>
        <v>0.27969348659003829</v>
      </c>
      <c r="H22" t="s">
        <v>1767</v>
      </c>
      <c r="N22" t="s">
        <v>144</v>
      </c>
      <c r="O22" t="s">
        <v>1793</v>
      </c>
      <c r="P22" t="s">
        <v>1794</v>
      </c>
    </row>
    <row r="23" spans="2:21">
      <c r="B23" t="s">
        <v>645</v>
      </c>
      <c r="C23" s="67">
        <v>45520</v>
      </c>
      <c r="D23" t="s">
        <v>646</v>
      </c>
      <c r="E23" s="24">
        <f t="shared" si="2"/>
        <v>0</v>
      </c>
      <c r="F23">
        <v>73</v>
      </c>
      <c r="G23" s="68">
        <f t="shared" si="3"/>
        <v>0.27969348659003829</v>
      </c>
      <c r="H23" t="s">
        <v>1261</v>
      </c>
      <c r="N23" t="s">
        <v>158</v>
      </c>
    </row>
    <row r="24" spans="2:21">
      <c r="C24" s="67">
        <v>45636</v>
      </c>
      <c r="D24" t="s">
        <v>646</v>
      </c>
      <c r="E24" s="24">
        <f t="shared" si="2"/>
        <v>0</v>
      </c>
      <c r="F24">
        <v>73</v>
      </c>
      <c r="G24" s="68">
        <f t="shared" si="3"/>
        <v>0.27969348659003829</v>
      </c>
      <c r="H24" t="s">
        <v>1261</v>
      </c>
      <c r="N24" t="s">
        <v>163</v>
      </c>
      <c r="O24" t="s">
        <v>1795</v>
      </c>
      <c r="P24" t="s">
        <v>1261</v>
      </c>
    </row>
    <row r="25" spans="2:21">
      <c r="B25" t="s">
        <v>547</v>
      </c>
      <c r="C25" s="67">
        <v>45461</v>
      </c>
      <c r="D25" t="s">
        <v>548</v>
      </c>
      <c r="E25" s="24">
        <f t="shared" si="2"/>
        <v>0</v>
      </c>
      <c r="F25">
        <v>73</v>
      </c>
      <c r="G25" s="68">
        <f t="shared" si="3"/>
        <v>0.27969348659003829</v>
      </c>
      <c r="H25" t="s">
        <v>76</v>
      </c>
      <c r="N25" t="s">
        <v>170</v>
      </c>
      <c r="O25" t="s">
        <v>1796</v>
      </c>
      <c r="P25" t="s">
        <v>1261</v>
      </c>
    </row>
    <row r="26" spans="2:21">
      <c r="B26" t="s">
        <v>564</v>
      </c>
      <c r="C26" s="67">
        <v>45469</v>
      </c>
      <c r="D26" t="s">
        <v>548</v>
      </c>
      <c r="E26" s="24">
        <f t="shared" si="2"/>
        <v>0</v>
      </c>
      <c r="F26">
        <v>73</v>
      </c>
      <c r="G26" s="68">
        <f t="shared" si="3"/>
        <v>0.27969348659003829</v>
      </c>
      <c r="H26" t="s">
        <v>76</v>
      </c>
      <c r="N26" t="s">
        <v>175</v>
      </c>
      <c r="O26" t="s">
        <v>1796</v>
      </c>
      <c r="P26" t="s">
        <v>1261</v>
      </c>
    </row>
    <row r="27" spans="2:21">
      <c r="B27" t="s">
        <v>1001</v>
      </c>
      <c r="C27" s="67">
        <v>45637</v>
      </c>
      <c r="D27" t="s">
        <v>1002</v>
      </c>
      <c r="E27" s="24">
        <f t="shared" si="2"/>
        <v>0</v>
      </c>
      <c r="F27">
        <v>73</v>
      </c>
      <c r="G27" s="68">
        <f t="shared" si="3"/>
        <v>0.27969348659003829</v>
      </c>
      <c r="H27" t="s">
        <v>872</v>
      </c>
      <c r="N27" t="s">
        <v>185</v>
      </c>
      <c r="O27" t="s">
        <v>1797</v>
      </c>
      <c r="P27" t="s">
        <v>226</v>
      </c>
    </row>
    <row r="28" spans="2:21">
      <c r="B28" t="s">
        <v>696</v>
      </c>
      <c r="C28" s="67">
        <v>45527</v>
      </c>
      <c r="D28" t="s">
        <v>697</v>
      </c>
      <c r="E28" s="24">
        <f t="shared" si="2"/>
        <v>0</v>
      </c>
      <c r="F28">
        <v>73</v>
      </c>
      <c r="G28" s="68">
        <f t="shared" si="3"/>
        <v>0.27969348659003829</v>
      </c>
      <c r="H28" t="s">
        <v>1767</v>
      </c>
      <c r="N28" t="s">
        <v>189</v>
      </c>
      <c r="O28" t="s">
        <v>1789</v>
      </c>
    </row>
    <row r="29" spans="2:21">
      <c r="B29" t="s">
        <v>358</v>
      </c>
      <c r="C29" s="67">
        <v>45322</v>
      </c>
      <c r="D29" t="s">
        <v>359</v>
      </c>
      <c r="E29" s="24">
        <f t="shared" si="2"/>
        <v>0</v>
      </c>
      <c r="F29">
        <v>73</v>
      </c>
      <c r="G29" s="68">
        <f t="shared" si="3"/>
        <v>0.27969348659003829</v>
      </c>
      <c r="H29" t="s">
        <v>1774</v>
      </c>
      <c r="N29" t="s">
        <v>195</v>
      </c>
      <c r="O29" t="s">
        <v>1781</v>
      </c>
      <c r="P29" t="s">
        <v>226</v>
      </c>
    </row>
    <row r="30" spans="2:21">
      <c r="B30" t="s">
        <v>517</v>
      </c>
      <c r="C30" s="67">
        <v>45457</v>
      </c>
      <c r="D30" t="s">
        <v>518</v>
      </c>
      <c r="E30" s="24">
        <f t="shared" si="2"/>
        <v>0</v>
      </c>
      <c r="F30">
        <v>73</v>
      </c>
      <c r="G30" s="68">
        <f t="shared" si="3"/>
        <v>0.27969348659003829</v>
      </c>
      <c r="H30" t="s">
        <v>1774</v>
      </c>
      <c r="N30" t="s">
        <v>200</v>
      </c>
      <c r="O30" t="s">
        <v>1798</v>
      </c>
      <c r="P30" t="s">
        <v>1794</v>
      </c>
    </row>
    <row r="31" spans="2:21">
      <c r="C31" s="67">
        <v>45639</v>
      </c>
      <c r="D31" t="s">
        <v>1009</v>
      </c>
      <c r="E31" s="24">
        <f t="shared" si="2"/>
        <v>0</v>
      </c>
      <c r="F31">
        <v>73</v>
      </c>
      <c r="G31" s="68">
        <f t="shared" si="3"/>
        <v>0.27969348659003829</v>
      </c>
      <c r="H31" t="s">
        <v>226</v>
      </c>
      <c r="N31" t="s">
        <v>375</v>
      </c>
      <c r="O31" t="s">
        <v>1799</v>
      </c>
      <c r="P31" t="s">
        <v>1193</v>
      </c>
    </row>
    <row r="32" spans="2:21">
      <c r="B32" t="s">
        <v>758</v>
      </c>
      <c r="C32" s="67">
        <v>45546</v>
      </c>
      <c r="D32" t="s">
        <v>759</v>
      </c>
      <c r="E32" s="24">
        <f t="shared" si="2"/>
        <v>0</v>
      </c>
      <c r="F32">
        <v>73</v>
      </c>
      <c r="G32" s="68">
        <f t="shared" si="3"/>
        <v>0.27969348659003829</v>
      </c>
      <c r="H32" t="s">
        <v>226</v>
      </c>
      <c r="N32" t="s">
        <v>211</v>
      </c>
      <c r="O32" t="s">
        <v>1800</v>
      </c>
      <c r="P32" t="s">
        <v>1261</v>
      </c>
    </row>
    <row r="33" spans="2:16">
      <c r="B33" t="s">
        <v>943</v>
      </c>
      <c r="C33" s="67">
        <v>45622</v>
      </c>
      <c r="D33" t="s">
        <v>944</v>
      </c>
      <c r="E33" s="24">
        <f t="shared" si="2"/>
        <v>0</v>
      </c>
      <c r="F33">
        <v>73</v>
      </c>
      <c r="G33" s="68">
        <f t="shared" si="3"/>
        <v>0.27969348659003829</v>
      </c>
      <c r="H33" t="s">
        <v>226</v>
      </c>
      <c r="N33" t="s">
        <v>217</v>
      </c>
      <c r="O33" t="s">
        <v>76</v>
      </c>
    </row>
    <row r="34" spans="2:16">
      <c r="B34" t="s">
        <v>579</v>
      </c>
      <c r="C34" s="67">
        <v>45523</v>
      </c>
      <c r="D34" t="s">
        <v>580</v>
      </c>
      <c r="E34" s="24">
        <f t="shared" si="2"/>
        <v>0</v>
      </c>
      <c r="F34">
        <v>73</v>
      </c>
      <c r="G34" s="68">
        <f t="shared" si="3"/>
        <v>0.27969348659003829</v>
      </c>
      <c r="H34" t="s">
        <v>226</v>
      </c>
      <c r="N34" t="s">
        <v>226</v>
      </c>
      <c r="O34" t="s">
        <v>1778</v>
      </c>
      <c r="P34" t="s">
        <v>226</v>
      </c>
    </row>
    <row r="35" spans="2:16">
      <c r="B35" t="s">
        <v>808</v>
      </c>
      <c r="C35" s="67">
        <v>45572</v>
      </c>
      <c r="D35" t="s">
        <v>809</v>
      </c>
      <c r="E35" s="24">
        <f t="shared" si="2"/>
        <v>0</v>
      </c>
      <c r="F35">
        <v>73</v>
      </c>
      <c r="G35" s="68">
        <f t="shared" si="3"/>
        <v>0.27969348659003829</v>
      </c>
      <c r="H35" t="s">
        <v>226</v>
      </c>
      <c r="N35" t="s">
        <v>235</v>
      </c>
      <c r="O35" t="s">
        <v>1789</v>
      </c>
    </row>
    <row r="36" spans="2:16">
      <c r="B36" t="s">
        <v>811</v>
      </c>
      <c r="C36" s="67">
        <v>45572</v>
      </c>
      <c r="D36" t="s">
        <v>809</v>
      </c>
      <c r="E36" s="24">
        <f t="shared" si="2"/>
        <v>0</v>
      </c>
      <c r="F36">
        <v>73</v>
      </c>
      <c r="G36" s="68">
        <f t="shared" si="3"/>
        <v>0.27969348659003829</v>
      </c>
      <c r="H36" t="s">
        <v>226</v>
      </c>
      <c r="N36" t="s">
        <v>256</v>
      </c>
      <c r="O36" t="s">
        <v>1789</v>
      </c>
    </row>
    <row r="37" spans="2:16">
      <c r="B37" t="s">
        <v>986</v>
      </c>
      <c r="C37" s="67">
        <v>45636</v>
      </c>
      <c r="D37" t="s">
        <v>987</v>
      </c>
      <c r="E37" s="24">
        <f t="shared" si="2"/>
        <v>0</v>
      </c>
      <c r="F37">
        <v>73</v>
      </c>
      <c r="G37" s="68">
        <f t="shared" si="3"/>
        <v>0.27969348659003829</v>
      </c>
      <c r="H37" t="s">
        <v>872</v>
      </c>
      <c r="N37" t="s">
        <v>265</v>
      </c>
      <c r="O37" t="s">
        <v>1801</v>
      </c>
      <c r="P37" t="s">
        <v>1794</v>
      </c>
    </row>
    <row r="38" spans="2:16">
      <c r="B38" t="s">
        <v>407</v>
      </c>
      <c r="C38" s="67">
        <v>45401</v>
      </c>
      <c r="D38" t="s">
        <v>408</v>
      </c>
      <c r="E38" s="24">
        <f t="shared" si="2"/>
        <v>0</v>
      </c>
      <c r="F38">
        <v>73</v>
      </c>
      <c r="G38" s="68">
        <f t="shared" si="3"/>
        <v>0.27969348659003829</v>
      </c>
      <c r="H38" t="s">
        <v>226</v>
      </c>
      <c r="N38" t="s">
        <v>275</v>
      </c>
      <c r="O38" t="s">
        <v>1802</v>
      </c>
      <c r="P38" t="s">
        <v>872</v>
      </c>
    </row>
    <row r="39" spans="2:16">
      <c r="C39" s="67">
        <v>45503</v>
      </c>
      <c r="D39" t="s">
        <v>605</v>
      </c>
      <c r="E39" s="24">
        <f t="shared" si="2"/>
        <v>0</v>
      </c>
      <c r="F39">
        <v>73</v>
      </c>
      <c r="G39" s="68">
        <f t="shared" si="3"/>
        <v>0.27969348659003829</v>
      </c>
      <c r="H39" t="s">
        <v>1774</v>
      </c>
      <c r="N39" t="s">
        <v>130</v>
      </c>
      <c r="O39" t="s">
        <v>1803</v>
      </c>
      <c r="P39" t="s">
        <v>1794</v>
      </c>
    </row>
    <row r="40" spans="2:16">
      <c r="B40" t="s">
        <v>700</v>
      </c>
      <c r="C40" s="67">
        <v>45530</v>
      </c>
      <c r="D40" t="s">
        <v>701</v>
      </c>
      <c r="E40" s="24">
        <f t="shared" si="2"/>
        <v>0</v>
      </c>
      <c r="F40">
        <v>73</v>
      </c>
      <c r="G40" s="68">
        <f t="shared" si="3"/>
        <v>0.27969348659003829</v>
      </c>
      <c r="H40" t="s">
        <v>1767</v>
      </c>
      <c r="N40" t="s">
        <v>284</v>
      </c>
      <c r="O40" t="s">
        <v>1804</v>
      </c>
      <c r="P40" t="s">
        <v>872</v>
      </c>
    </row>
    <row r="41" spans="2:16">
      <c r="B41" t="s">
        <v>511</v>
      </c>
      <c r="C41" s="67">
        <v>45453</v>
      </c>
      <c r="D41" t="s">
        <v>512</v>
      </c>
      <c r="E41" s="24">
        <f t="shared" si="2"/>
        <v>0</v>
      </c>
      <c r="F41">
        <v>73</v>
      </c>
      <c r="G41" s="68">
        <f t="shared" si="3"/>
        <v>0.27969348659003829</v>
      </c>
      <c r="H41" t="s">
        <v>1767</v>
      </c>
      <c r="N41" t="s">
        <v>306</v>
      </c>
      <c r="O41" t="s">
        <v>1805</v>
      </c>
      <c r="P41" t="s">
        <v>226</v>
      </c>
    </row>
    <row r="42" spans="2:16">
      <c r="B42" t="s">
        <v>870</v>
      </c>
      <c r="C42" s="67">
        <v>45597</v>
      </c>
      <c r="D42" t="s">
        <v>871</v>
      </c>
      <c r="E42" s="24">
        <f t="shared" si="2"/>
        <v>0</v>
      </c>
      <c r="F42">
        <v>73</v>
      </c>
      <c r="G42" s="68">
        <f t="shared" si="3"/>
        <v>0.27969348659003829</v>
      </c>
      <c r="H42" t="s">
        <v>872</v>
      </c>
      <c r="N42" t="s">
        <v>311</v>
      </c>
      <c r="O42" t="s">
        <v>76</v>
      </c>
    </row>
    <row r="43" spans="2:16">
      <c r="B43" t="s">
        <v>801</v>
      </c>
      <c r="C43" s="67">
        <v>45567</v>
      </c>
      <c r="D43" t="s">
        <v>801</v>
      </c>
      <c r="E43" s="24">
        <f t="shared" si="2"/>
        <v>0</v>
      </c>
      <c r="F43">
        <v>73</v>
      </c>
      <c r="G43" s="68">
        <f t="shared" si="3"/>
        <v>0.27969348659003829</v>
      </c>
      <c r="H43" t="s">
        <v>1767</v>
      </c>
      <c r="N43" t="s">
        <v>316</v>
      </c>
      <c r="O43" t="s">
        <v>1806</v>
      </c>
      <c r="P43" t="s">
        <v>226</v>
      </c>
    </row>
    <row r="44" spans="2:16">
      <c r="B44" t="s">
        <v>633</v>
      </c>
      <c r="C44" s="67">
        <v>45520</v>
      </c>
      <c r="D44" t="s">
        <v>653</v>
      </c>
      <c r="E44" s="24">
        <f t="shared" si="2"/>
        <v>0</v>
      </c>
      <c r="F44">
        <v>73</v>
      </c>
      <c r="G44" s="68">
        <f t="shared" si="3"/>
        <v>0.27969348659003829</v>
      </c>
      <c r="H44" t="s">
        <v>226</v>
      </c>
      <c r="N44" t="s">
        <v>331</v>
      </c>
      <c r="O44" t="s">
        <v>1807</v>
      </c>
      <c r="P44" t="s">
        <v>1794</v>
      </c>
    </row>
    <row r="45" spans="2:16">
      <c r="B45" t="s">
        <v>1023</v>
      </c>
      <c r="C45" s="67">
        <v>45643</v>
      </c>
      <c r="D45" t="s">
        <v>1024</v>
      </c>
      <c r="E45" s="24">
        <f t="shared" si="2"/>
        <v>0</v>
      </c>
      <c r="F45">
        <v>73</v>
      </c>
      <c r="G45" s="68">
        <f t="shared" si="3"/>
        <v>0.27969348659003829</v>
      </c>
      <c r="H45" t="s">
        <v>1767</v>
      </c>
      <c r="N45" t="s">
        <v>344</v>
      </c>
      <c r="O45" t="s">
        <v>1808</v>
      </c>
      <c r="P45" t="s">
        <v>872</v>
      </c>
    </row>
    <row r="46" spans="2:16">
      <c r="B46" t="s">
        <v>473</v>
      </c>
      <c r="C46" s="67">
        <v>45446</v>
      </c>
      <c r="D46" t="s">
        <v>474</v>
      </c>
      <c r="E46" s="24">
        <f t="shared" si="2"/>
        <v>0</v>
      </c>
      <c r="F46">
        <v>73</v>
      </c>
      <c r="G46" s="68">
        <f t="shared" si="3"/>
        <v>0.27969348659003829</v>
      </c>
      <c r="H46" t="s">
        <v>226</v>
      </c>
      <c r="N46" t="s">
        <v>403</v>
      </c>
    </row>
    <row r="47" spans="2:16">
      <c r="B47" t="s">
        <v>887</v>
      </c>
      <c r="C47" s="67">
        <v>45594</v>
      </c>
      <c r="D47" t="s">
        <v>888</v>
      </c>
      <c r="E47" s="24">
        <f t="shared" si="2"/>
        <v>0</v>
      </c>
      <c r="F47">
        <v>73</v>
      </c>
      <c r="G47" s="68">
        <f t="shared" si="3"/>
        <v>0.27969348659003829</v>
      </c>
      <c r="H47" t="s">
        <v>872</v>
      </c>
      <c r="N47" t="s">
        <v>359</v>
      </c>
    </row>
    <row r="48" spans="2:16">
      <c r="B48" t="s">
        <v>649</v>
      </c>
      <c r="C48" s="67">
        <v>45520</v>
      </c>
      <c r="D48" t="s">
        <v>650</v>
      </c>
      <c r="E48" s="24">
        <f t="shared" si="2"/>
        <v>0</v>
      </c>
      <c r="F48">
        <v>73</v>
      </c>
      <c r="G48" s="68">
        <f t="shared" si="3"/>
        <v>0.27969348659003829</v>
      </c>
      <c r="H48" t="s">
        <v>226</v>
      </c>
      <c r="N48" t="s">
        <v>364</v>
      </c>
    </row>
    <row r="49" spans="2:16">
      <c r="B49" t="s">
        <v>673</v>
      </c>
      <c r="C49" s="67">
        <v>45527</v>
      </c>
      <c r="D49" t="s">
        <v>674</v>
      </c>
      <c r="E49" s="24">
        <f t="shared" si="2"/>
        <v>0</v>
      </c>
      <c r="F49">
        <v>73</v>
      </c>
      <c r="G49" s="68">
        <f t="shared" si="3"/>
        <v>0.27969348659003829</v>
      </c>
      <c r="H49" t="s">
        <v>226</v>
      </c>
      <c r="N49" t="s">
        <v>367</v>
      </c>
      <c r="O49" t="s">
        <v>1809</v>
      </c>
      <c r="P49" t="s">
        <v>226</v>
      </c>
    </row>
    <row r="50" spans="2:16">
      <c r="B50" t="s">
        <v>528</v>
      </c>
      <c r="C50" s="67">
        <v>45460</v>
      </c>
      <c r="D50" t="s">
        <v>529</v>
      </c>
      <c r="E50" s="24">
        <f t="shared" si="2"/>
        <v>0</v>
      </c>
      <c r="F50">
        <v>73</v>
      </c>
      <c r="G50" s="68">
        <f t="shared" si="3"/>
        <v>0.27969348659003829</v>
      </c>
      <c r="H50" t="s">
        <v>226</v>
      </c>
      <c r="N50" t="s">
        <v>1193</v>
      </c>
      <c r="O50" t="s">
        <v>1810</v>
      </c>
      <c r="P50" t="s">
        <v>1193</v>
      </c>
    </row>
    <row r="51" spans="2:16">
      <c r="C51" s="67">
        <v>45524</v>
      </c>
      <c r="D51" t="s">
        <v>689</v>
      </c>
      <c r="E51" s="24">
        <f t="shared" si="2"/>
        <v>0</v>
      </c>
      <c r="F51">
        <v>73</v>
      </c>
      <c r="G51" s="68">
        <f t="shared" si="3"/>
        <v>0.27969348659003829</v>
      </c>
      <c r="H51" t="s">
        <v>1774</v>
      </c>
      <c r="N51" t="s">
        <v>553</v>
      </c>
      <c r="O51" t="s">
        <v>1811</v>
      </c>
      <c r="P51" t="s">
        <v>1193</v>
      </c>
    </row>
    <row r="52" spans="2:16">
      <c r="B52" t="s">
        <v>1017</v>
      </c>
      <c r="C52" s="67">
        <v>45643</v>
      </c>
      <c r="D52" t="s">
        <v>1018</v>
      </c>
      <c r="E52" s="24">
        <f t="shared" si="2"/>
        <v>0</v>
      </c>
      <c r="F52">
        <v>73</v>
      </c>
      <c r="G52" s="68">
        <f t="shared" si="3"/>
        <v>0.27969348659003829</v>
      </c>
      <c r="H52" t="s">
        <v>872</v>
      </c>
      <c r="N52" t="s">
        <v>397</v>
      </c>
    </row>
    <row r="53" spans="2:16">
      <c r="B53" t="s">
        <v>533</v>
      </c>
      <c r="C53" s="67">
        <v>45460</v>
      </c>
      <c r="D53" t="s">
        <v>534</v>
      </c>
      <c r="E53" s="24">
        <f t="shared" si="2"/>
        <v>0</v>
      </c>
      <c r="F53">
        <v>73</v>
      </c>
      <c r="G53" s="68">
        <f t="shared" si="3"/>
        <v>0.27969348659003829</v>
      </c>
      <c r="H53" t="s">
        <v>1774</v>
      </c>
      <c r="N53" t="s">
        <v>408</v>
      </c>
    </row>
    <row r="54" spans="2:16">
      <c r="C54" s="67">
        <v>45401</v>
      </c>
      <c r="D54" t="s">
        <v>416</v>
      </c>
      <c r="E54" s="24">
        <f t="shared" si="2"/>
        <v>0</v>
      </c>
      <c r="F54">
        <v>73</v>
      </c>
      <c r="G54" s="68">
        <f t="shared" si="3"/>
        <v>0.27969348659003829</v>
      </c>
      <c r="H54" t="s">
        <v>1774</v>
      </c>
      <c r="N54" t="s">
        <v>416</v>
      </c>
    </row>
    <row r="55" spans="2:16">
      <c r="B55" t="s">
        <v>775</v>
      </c>
      <c r="C55" s="67">
        <v>45560</v>
      </c>
      <c r="D55" t="s">
        <v>776</v>
      </c>
      <c r="E55" s="24">
        <f t="shared" si="2"/>
        <v>0</v>
      </c>
      <c r="F55">
        <v>73</v>
      </c>
      <c r="G55" s="68">
        <f t="shared" si="3"/>
        <v>0.27969348659003829</v>
      </c>
      <c r="H55" t="s">
        <v>1261</v>
      </c>
      <c r="N55" t="s">
        <v>418</v>
      </c>
      <c r="O55" t="s">
        <v>1812</v>
      </c>
      <c r="P55" t="s">
        <v>226</v>
      </c>
    </row>
    <row r="56" spans="2:16">
      <c r="B56" t="s">
        <v>723</v>
      </c>
      <c r="C56" s="67">
        <v>45541</v>
      </c>
      <c r="D56" t="s">
        <v>724</v>
      </c>
      <c r="E56" s="24">
        <f t="shared" si="2"/>
        <v>0</v>
      </c>
      <c r="F56">
        <v>73</v>
      </c>
      <c r="G56" s="68">
        <f t="shared" si="3"/>
        <v>0.27969348659003829</v>
      </c>
      <c r="H56" t="s">
        <v>1774</v>
      </c>
      <c r="N56" t="s">
        <v>425</v>
      </c>
      <c r="O56" t="s">
        <v>1796</v>
      </c>
      <c r="P56" t="s">
        <v>1261</v>
      </c>
    </row>
    <row r="57" spans="2:16">
      <c r="B57" t="s">
        <v>820</v>
      </c>
      <c r="C57" s="67"/>
      <c r="D57" t="s">
        <v>724</v>
      </c>
      <c r="E57" s="24">
        <f t="shared" si="2"/>
        <v>0</v>
      </c>
      <c r="F57">
        <v>73</v>
      </c>
      <c r="G57" s="68">
        <f t="shared" si="3"/>
        <v>0.27969348659003829</v>
      </c>
      <c r="H57" t="s">
        <v>1774</v>
      </c>
      <c r="N57" t="s">
        <v>432</v>
      </c>
    </row>
    <row r="58" spans="2:16">
      <c r="C58" s="67"/>
      <c r="D58" t="s">
        <v>804</v>
      </c>
      <c r="E58" s="24">
        <f t="shared" si="2"/>
        <v>0</v>
      </c>
      <c r="F58">
        <v>73</v>
      </c>
      <c r="G58" s="68">
        <f t="shared" si="3"/>
        <v>0.27969348659003829</v>
      </c>
      <c r="H58" t="s">
        <v>1774</v>
      </c>
      <c r="N58" t="s">
        <v>442</v>
      </c>
      <c r="O58" t="s">
        <v>1813</v>
      </c>
      <c r="P58" t="s">
        <v>226</v>
      </c>
    </row>
    <row r="59" spans="2:16">
      <c r="B59" t="s">
        <v>958</v>
      </c>
      <c r="C59" s="67">
        <v>45624</v>
      </c>
      <c r="D59" t="s">
        <v>959</v>
      </c>
      <c r="E59" s="24">
        <f t="shared" si="2"/>
        <v>0</v>
      </c>
      <c r="F59">
        <v>73</v>
      </c>
      <c r="G59" s="68">
        <f t="shared" si="3"/>
        <v>0.27969348659003829</v>
      </c>
      <c r="H59" t="s">
        <v>1774</v>
      </c>
      <c r="N59" t="s">
        <v>446</v>
      </c>
    </row>
    <row r="60" spans="2:16">
      <c r="B60" t="s">
        <v>736</v>
      </c>
      <c r="C60" s="67">
        <v>45541</v>
      </c>
      <c r="D60" t="s">
        <v>737</v>
      </c>
      <c r="E60" s="24">
        <f t="shared" si="2"/>
        <v>0</v>
      </c>
      <c r="F60">
        <v>73</v>
      </c>
      <c r="G60" s="68">
        <f t="shared" si="3"/>
        <v>0.27969348659003829</v>
      </c>
      <c r="H60" t="s">
        <v>872</v>
      </c>
      <c r="N60" t="s">
        <v>460</v>
      </c>
      <c r="O60" t="s">
        <v>1814</v>
      </c>
      <c r="P60" t="s">
        <v>1794</v>
      </c>
    </row>
    <row r="61" spans="2:16">
      <c r="B61" t="s">
        <v>848</v>
      </c>
      <c r="C61" s="67">
        <v>45583</v>
      </c>
      <c r="D61" t="s">
        <v>849</v>
      </c>
      <c r="E61" s="24">
        <f t="shared" si="2"/>
        <v>0</v>
      </c>
      <c r="F61">
        <v>73</v>
      </c>
      <c r="G61" s="68">
        <f t="shared" si="3"/>
        <v>0.27969348659003829</v>
      </c>
      <c r="H61" t="s">
        <v>226</v>
      </c>
      <c r="N61" t="s">
        <v>469</v>
      </c>
      <c r="O61" t="s">
        <v>1261</v>
      </c>
      <c r="P61" t="s">
        <v>1261</v>
      </c>
    </row>
    <row r="62" spans="2:16">
      <c r="B62" t="s">
        <v>445</v>
      </c>
      <c r="C62" s="67">
        <v>45436</v>
      </c>
      <c r="D62" t="s">
        <v>446</v>
      </c>
      <c r="E62" s="24">
        <f t="shared" si="2"/>
        <v>0</v>
      </c>
      <c r="F62">
        <v>73</v>
      </c>
      <c r="G62" s="68">
        <f t="shared" si="3"/>
        <v>0.27969348659003829</v>
      </c>
      <c r="H62" t="s">
        <v>226</v>
      </c>
      <c r="N62" t="s">
        <v>474</v>
      </c>
    </row>
    <row r="63" spans="2:16">
      <c r="B63" t="s">
        <v>539</v>
      </c>
      <c r="C63" s="67">
        <v>45461</v>
      </c>
      <c r="D63" t="s">
        <v>446</v>
      </c>
      <c r="E63" s="24">
        <f t="shared" si="2"/>
        <v>0</v>
      </c>
      <c r="F63">
        <v>73</v>
      </c>
      <c r="G63" s="68">
        <f t="shared" si="3"/>
        <v>0.27969348659003829</v>
      </c>
      <c r="H63" t="s">
        <v>226</v>
      </c>
      <c r="N63" t="s">
        <v>480</v>
      </c>
    </row>
    <row r="64" spans="2:16">
      <c r="B64" t="s">
        <v>615</v>
      </c>
      <c r="C64" s="67">
        <v>45503</v>
      </c>
      <c r="D64" t="s">
        <v>446</v>
      </c>
      <c r="E64" s="24">
        <f t="shared" si="2"/>
        <v>0</v>
      </c>
      <c r="F64">
        <v>73</v>
      </c>
      <c r="G64" s="68">
        <f t="shared" si="3"/>
        <v>0.27969348659003829</v>
      </c>
      <c r="H64" t="s">
        <v>226</v>
      </c>
      <c r="N64" t="s">
        <v>487</v>
      </c>
      <c r="O64" t="s">
        <v>1815</v>
      </c>
      <c r="P64" t="s">
        <v>226</v>
      </c>
    </row>
    <row r="65" spans="2:16">
      <c r="B65" t="s">
        <v>378</v>
      </c>
      <c r="C65" s="67">
        <v>45621</v>
      </c>
      <c r="D65" t="s">
        <v>933</v>
      </c>
      <c r="E65" s="24">
        <f t="shared" si="2"/>
        <v>0</v>
      </c>
      <c r="F65">
        <v>73</v>
      </c>
      <c r="G65" s="68">
        <f t="shared" si="3"/>
        <v>0.27969348659003829</v>
      </c>
      <c r="H65" t="s">
        <v>1767</v>
      </c>
      <c r="N65" t="s">
        <v>508</v>
      </c>
      <c r="O65" t="s">
        <v>1789</v>
      </c>
    </row>
    <row r="66" spans="2:16">
      <c r="B66" t="s">
        <v>706</v>
      </c>
      <c r="C66" s="67">
        <v>45534</v>
      </c>
      <c r="D66" t="s">
        <v>707</v>
      </c>
      <c r="E66" s="24">
        <f t="shared" si="2"/>
        <v>0</v>
      </c>
      <c r="F66">
        <v>73</v>
      </c>
      <c r="G66" s="68">
        <f t="shared" si="3"/>
        <v>0.27969348659003829</v>
      </c>
      <c r="H66" t="s">
        <v>226</v>
      </c>
      <c r="N66" t="s">
        <v>512</v>
      </c>
    </row>
    <row r="67" spans="2:16">
      <c r="C67" s="67"/>
      <c r="D67" t="s">
        <v>884</v>
      </c>
      <c r="E67" s="24">
        <f t="shared" si="2"/>
        <v>0</v>
      </c>
      <c r="F67">
        <v>73</v>
      </c>
      <c r="G67" s="68">
        <f t="shared" si="3"/>
        <v>0.27969348659003829</v>
      </c>
      <c r="H67" t="s">
        <v>226</v>
      </c>
      <c r="N67" t="s">
        <v>518</v>
      </c>
    </row>
    <row r="68" spans="2:16">
      <c r="B68" t="s">
        <v>727</v>
      </c>
      <c r="C68" s="67">
        <v>45541</v>
      </c>
      <c r="D68" t="s">
        <v>728</v>
      </c>
      <c r="E68" s="24">
        <f t="shared" ref="E68:E131" si="5">+INDEX($O$3:$O$132,MATCH(D68,$N$3:$N$132,0))</f>
        <v>0</v>
      </c>
      <c r="F68">
        <v>73</v>
      </c>
      <c r="G68" s="68">
        <f t="shared" ref="G68:G131" si="6">+F68/261</f>
        <v>0.27969348659003829</v>
      </c>
      <c r="H68" t="s">
        <v>1261</v>
      </c>
      <c r="N68" t="s">
        <v>529</v>
      </c>
    </row>
    <row r="69" spans="2:16">
      <c r="B69" t="s">
        <v>875</v>
      </c>
      <c r="C69" s="67">
        <v>45597</v>
      </c>
      <c r="D69" t="s">
        <v>876</v>
      </c>
      <c r="E69" s="24">
        <f t="shared" si="5"/>
        <v>0</v>
      </c>
      <c r="F69">
        <v>73</v>
      </c>
      <c r="G69" s="68">
        <f t="shared" si="6"/>
        <v>0.27969348659003829</v>
      </c>
      <c r="H69" t="s">
        <v>1261</v>
      </c>
      <c r="N69" t="s">
        <v>534</v>
      </c>
    </row>
    <row r="70" spans="2:16">
      <c r="B70" t="s">
        <v>589</v>
      </c>
      <c r="C70" s="67">
        <v>45503</v>
      </c>
      <c r="D70" t="s">
        <v>590</v>
      </c>
      <c r="E70" s="24">
        <f t="shared" si="5"/>
        <v>0</v>
      </c>
      <c r="F70">
        <v>73</v>
      </c>
      <c r="G70" s="68">
        <f t="shared" si="6"/>
        <v>0.27969348659003829</v>
      </c>
      <c r="H70" t="s">
        <v>1261</v>
      </c>
      <c r="N70" t="s">
        <v>544</v>
      </c>
      <c r="O70" t="s">
        <v>1789</v>
      </c>
    </row>
    <row r="71" spans="2:16">
      <c r="B71" t="s">
        <v>732</v>
      </c>
      <c r="C71" s="67">
        <v>45541</v>
      </c>
      <c r="D71" t="s">
        <v>590</v>
      </c>
      <c r="E71" s="24">
        <f t="shared" si="5"/>
        <v>0</v>
      </c>
      <c r="F71">
        <v>73</v>
      </c>
      <c r="G71" s="68">
        <f t="shared" si="6"/>
        <v>0.27969348659003829</v>
      </c>
      <c r="H71" t="s">
        <v>1261</v>
      </c>
      <c r="N71" t="s">
        <v>548</v>
      </c>
    </row>
    <row r="72" spans="2:16">
      <c r="B72" t="s">
        <v>363</v>
      </c>
      <c r="C72" s="67">
        <v>45386</v>
      </c>
      <c r="D72" t="s">
        <v>364</v>
      </c>
      <c r="E72" s="24">
        <f t="shared" si="5"/>
        <v>0</v>
      </c>
      <c r="F72">
        <v>73</v>
      </c>
      <c r="G72" s="68">
        <f t="shared" si="6"/>
        <v>0.27969348659003829</v>
      </c>
      <c r="H72" t="s">
        <v>1261</v>
      </c>
      <c r="N72" t="s">
        <v>662</v>
      </c>
      <c r="O72" t="s">
        <v>1816</v>
      </c>
      <c r="P72" t="s">
        <v>1193</v>
      </c>
    </row>
    <row r="73" spans="2:16">
      <c r="B73" t="s">
        <v>788</v>
      </c>
      <c r="C73" s="67">
        <v>45553</v>
      </c>
      <c r="D73" t="s">
        <v>789</v>
      </c>
      <c r="E73" s="24">
        <f t="shared" si="5"/>
        <v>0</v>
      </c>
      <c r="F73">
        <v>73</v>
      </c>
      <c r="G73" s="68">
        <f t="shared" si="6"/>
        <v>0.27969348659003829</v>
      </c>
      <c r="H73" t="s">
        <v>1774</v>
      </c>
      <c r="N73" t="s">
        <v>568</v>
      </c>
    </row>
    <row r="74" spans="2:16">
      <c r="B74" t="s">
        <v>841</v>
      </c>
      <c r="C74" s="67">
        <v>45583</v>
      </c>
      <c r="D74" t="s">
        <v>789</v>
      </c>
      <c r="E74" s="24">
        <f t="shared" si="5"/>
        <v>0</v>
      </c>
      <c r="F74">
        <v>73</v>
      </c>
      <c r="G74" s="68">
        <f t="shared" si="6"/>
        <v>0.27969348659003829</v>
      </c>
      <c r="H74" t="s">
        <v>1774</v>
      </c>
      <c r="N74" t="s">
        <v>573</v>
      </c>
    </row>
    <row r="75" spans="2:16">
      <c r="B75" t="s">
        <v>157</v>
      </c>
      <c r="C75" s="67">
        <v>45337</v>
      </c>
      <c r="D75" t="s">
        <v>158</v>
      </c>
      <c r="E75" s="24">
        <f t="shared" si="5"/>
        <v>0</v>
      </c>
      <c r="F75">
        <v>73</v>
      </c>
      <c r="G75" s="68">
        <f t="shared" si="6"/>
        <v>0.27969348659003829</v>
      </c>
      <c r="H75" t="s">
        <v>226</v>
      </c>
      <c r="N75" t="s">
        <v>580</v>
      </c>
    </row>
    <row r="76" spans="2:16">
      <c r="B76" t="s">
        <v>567</v>
      </c>
      <c r="C76" s="67">
        <v>45474</v>
      </c>
      <c r="D76" t="s">
        <v>568</v>
      </c>
      <c r="E76" s="24">
        <f t="shared" si="5"/>
        <v>0</v>
      </c>
      <c r="F76">
        <v>73</v>
      </c>
      <c r="G76" s="68">
        <f t="shared" si="6"/>
        <v>0.27969348659003829</v>
      </c>
      <c r="H76" t="s">
        <v>76</v>
      </c>
      <c r="N76" t="s">
        <v>590</v>
      </c>
    </row>
    <row r="77" spans="2:16">
      <c r="B77" t="s">
        <v>69</v>
      </c>
      <c r="C77" s="67" t="s">
        <v>24</v>
      </c>
      <c r="D77" t="s">
        <v>70</v>
      </c>
      <c r="E77" s="24" t="str">
        <f t="shared" si="5"/>
        <v>JGP FA</v>
      </c>
      <c r="F77">
        <v>50</v>
      </c>
      <c r="G77" s="68">
        <f t="shared" si="6"/>
        <v>0.19157088122605365</v>
      </c>
      <c r="H77" s="24" t="s">
        <v>76</v>
      </c>
      <c r="N77" t="s">
        <v>598</v>
      </c>
      <c r="O77" t="s">
        <v>1817</v>
      </c>
      <c r="P77" t="s">
        <v>226</v>
      </c>
    </row>
    <row r="78" spans="2:16">
      <c r="B78" t="s">
        <v>75</v>
      </c>
      <c r="C78" s="67" t="s">
        <v>24</v>
      </c>
      <c r="D78" t="s">
        <v>76</v>
      </c>
      <c r="E78" s="24" t="str">
        <f t="shared" si="5"/>
        <v>JGP FA</v>
      </c>
      <c r="F78">
        <v>50</v>
      </c>
      <c r="G78" s="68">
        <f t="shared" si="6"/>
        <v>0.19157088122605365</v>
      </c>
      <c r="H78" s="24" t="s">
        <v>76</v>
      </c>
      <c r="N78" t="s">
        <v>605</v>
      </c>
    </row>
    <row r="79" spans="2:16">
      <c r="B79" t="s">
        <v>97</v>
      </c>
      <c r="C79" s="67">
        <v>45366</v>
      </c>
      <c r="D79" t="s">
        <v>76</v>
      </c>
      <c r="E79" s="24" t="str">
        <f t="shared" si="5"/>
        <v>JGP FA</v>
      </c>
      <c r="F79">
        <v>50</v>
      </c>
      <c r="G79" s="68">
        <f t="shared" si="6"/>
        <v>0.19157088122605365</v>
      </c>
      <c r="H79" s="24" t="s">
        <v>76</v>
      </c>
      <c r="N79" t="s">
        <v>608</v>
      </c>
      <c r="O79" t="s">
        <v>1818</v>
      </c>
      <c r="P79" t="s">
        <v>226</v>
      </c>
    </row>
    <row r="80" spans="2:16">
      <c r="B80" t="s">
        <v>123</v>
      </c>
      <c r="C80" s="67"/>
      <c r="D80" t="s">
        <v>76</v>
      </c>
      <c r="E80" s="24" t="str">
        <f t="shared" si="5"/>
        <v>JGP FA</v>
      </c>
      <c r="F80">
        <v>50</v>
      </c>
      <c r="G80" s="68">
        <f t="shared" si="6"/>
        <v>0.19157088122605365</v>
      </c>
      <c r="H80" s="24" t="s">
        <v>76</v>
      </c>
      <c r="N80" t="s">
        <v>622</v>
      </c>
      <c r="O80" t="s">
        <v>1819</v>
      </c>
      <c r="P80" t="s">
        <v>226</v>
      </c>
    </row>
    <row r="81" spans="2:16">
      <c r="B81" t="s">
        <v>134</v>
      </c>
      <c r="C81" s="67"/>
      <c r="D81" t="s">
        <v>76</v>
      </c>
      <c r="E81" s="24" t="str">
        <f t="shared" si="5"/>
        <v>JGP FA</v>
      </c>
      <c r="F81">
        <v>50</v>
      </c>
      <c r="G81" s="68">
        <f t="shared" si="6"/>
        <v>0.19157088122605365</v>
      </c>
      <c r="H81" s="24" t="s">
        <v>76</v>
      </c>
      <c r="N81" t="s">
        <v>646</v>
      </c>
    </row>
    <row r="82" spans="2:16">
      <c r="B82" t="s">
        <v>152</v>
      </c>
      <c r="C82" s="67">
        <v>45337</v>
      </c>
      <c r="D82" t="s">
        <v>76</v>
      </c>
      <c r="E82" s="24" t="str">
        <f t="shared" si="5"/>
        <v>JGP FA</v>
      </c>
      <c r="F82">
        <v>50</v>
      </c>
      <c r="G82" s="68">
        <f t="shared" si="6"/>
        <v>0.19157088122605365</v>
      </c>
      <c r="H82" s="24" t="s">
        <v>76</v>
      </c>
      <c r="N82" t="s">
        <v>650</v>
      </c>
    </row>
    <row r="83" spans="2:16">
      <c r="B83" t="s">
        <v>180</v>
      </c>
      <c r="C83" s="67">
        <v>45342</v>
      </c>
      <c r="D83" t="s">
        <v>76</v>
      </c>
      <c r="E83" s="24" t="str">
        <f t="shared" si="5"/>
        <v>JGP FA</v>
      </c>
      <c r="F83">
        <v>50</v>
      </c>
      <c r="G83" s="68">
        <f t="shared" si="6"/>
        <v>0.19157088122605365</v>
      </c>
      <c r="H83" s="24" t="s">
        <v>76</v>
      </c>
      <c r="N83" t="s">
        <v>653</v>
      </c>
    </row>
    <row r="84" spans="2:16">
      <c r="B84" t="s">
        <v>231</v>
      </c>
      <c r="C84" s="67">
        <v>45366</v>
      </c>
      <c r="D84" t="s">
        <v>76</v>
      </c>
      <c r="E84" s="24" t="str">
        <f t="shared" si="5"/>
        <v>JGP FA</v>
      </c>
      <c r="F84">
        <v>50</v>
      </c>
      <c r="G84" s="68">
        <f t="shared" si="6"/>
        <v>0.19157088122605365</v>
      </c>
      <c r="H84" s="24" t="s">
        <v>76</v>
      </c>
      <c r="N84" t="s">
        <v>114</v>
      </c>
      <c r="O84" t="s">
        <v>1820</v>
      </c>
      <c r="P84" t="s">
        <v>1193</v>
      </c>
    </row>
    <row r="85" spans="2:16">
      <c r="B85" t="s">
        <v>259</v>
      </c>
      <c r="C85" s="67">
        <v>45366</v>
      </c>
      <c r="D85" t="s">
        <v>76</v>
      </c>
      <c r="E85" s="24" t="str">
        <f t="shared" si="5"/>
        <v>JGP FA</v>
      </c>
      <c r="F85">
        <v>50</v>
      </c>
      <c r="G85" s="68">
        <f t="shared" si="6"/>
        <v>0.19157088122605365</v>
      </c>
      <c r="H85" s="24" t="s">
        <v>76</v>
      </c>
      <c r="N85" t="s">
        <v>669</v>
      </c>
    </row>
    <row r="86" spans="2:16">
      <c r="B86" t="s">
        <v>261</v>
      </c>
      <c r="C86" s="67">
        <v>45366</v>
      </c>
      <c r="D86" t="s">
        <v>76</v>
      </c>
      <c r="E86" s="24" t="str">
        <f t="shared" si="5"/>
        <v>JGP FA</v>
      </c>
      <c r="F86">
        <v>50</v>
      </c>
      <c r="G86" s="68">
        <f t="shared" si="6"/>
        <v>0.19157088122605365</v>
      </c>
      <c r="H86" s="24" t="s">
        <v>76</v>
      </c>
      <c r="N86" t="s">
        <v>674</v>
      </c>
    </row>
    <row r="87" spans="2:16">
      <c r="B87" t="s">
        <v>294</v>
      </c>
      <c r="C87" s="67">
        <v>45366</v>
      </c>
      <c r="D87" t="s">
        <v>76</v>
      </c>
      <c r="E87" s="24" t="str">
        <f t="shared" si="5"/>
        <v>JGP FA</v>
      </c>
      <c r="F87">
        <v>50</v>
      </c>
      <c r="G87" s="68">
        <f t="shared" si="6"/>
        <v>0.19157088122605365</v>
      </c>
      <c r="H87" s="24" t="s">
        <v>76</v>
      </c>
      <c r="N87" t="s">
        <v>678</v>
      </c>
      <c r="O87" t="s">
        <v>1789</v>
      </c>
      <c r="P87" t="s">
        <v>1789</v>
      </c>
    </row>
    <row r="88" spans="2:16">
      <c r="B88" t="s">
        <v>298</v>
      </c>
      <c r="C88" s="67">
        <v>45366</v>
      </c>
      <c r="D88" t="s">
        <v>76</v>
      </c>
      <c r="E88" s="24" t="str">
        <f t="shared" si="5"/>
        <v>JGP FA</v>
      </c>
      <c r="F88">
        <v>50</v>
      </c>
      <c r="G88" s="68">
        <f t="shared" si="6"/>
        <v>0.19157088122605365</v>
      </c>
      <c r="H88" s="24" t="s">
        <v>76</v>
      </c>
      <c r="N88" t="s">
        <v>689</v>
      </c>
    </row>
    <row r="89" spans="2:16">
      <c r="B89" t="s">
        <v>321</v>
      </c>
      <c r="C89" s="67">
        <v>45377</v>
      </c>
      <c r="D89" t="s">
        <v>76</v>
      </c>
      <c r="E89" s="24" t="str">
        <f t="shared" si="5"/>
        <v>JGP FA</v>
      </c>
      <c r="F89">
        <v>50</v>
      </c>
      <c r="G89" s="68">
        <f t="shared" si="6"/>
        <v>0.19157088122605365</v>
      </c>
      <c r="H89" s="24" t="s">
        <v>76</v>
      </c>
      <c r="N89" t="s">
        <v>694</v>
      </c>
      <c r="O89" t="s">
        <v>1821</v>
      </c>
      <c r="P89" t="s">
        <v>226</v>
      </c>
    </row>
    <row r="90" spans="2:16">
      <c r="B90" t="s">
        <v>325</v>
      </c>
      <c r="C90" s="67">
        <v>45377</v>
      </c>
      <c r="D90" t="s">
        <v>76</v>
      </c>
      <c r="E90" s="24" t="str">
        <f t="shared" si="5"/>
        <v>JGP FA</v>
      </c>
      <c r="F90">
        <v>50</v>
      </c>
      <c r="G90" s="68">
        <f t="shared" si="6"/>
        <v>0.19157088122605365</v>
      </c>
      <c r="H90" s="24" t="s">
        <v>76</v>
      </c>
      <c r="N90" t="s">
        <v>697</v>
      </c>
    </row>
    <row r="91" spans="2:16">
      <c r="B91" t="s">
        <v>336</v>
      </c>
      <c r="C91" s="67">
        <v>45379</v>
      </c>
      <c r="D91" t="s">
        <v>76</v>
      </c>
      <c r="E91" s="24" t="str">
        <f t="shared" si="5"/>
        <v>JGP FA</v>
      </c>
      <c r="F91">
        <v>50</v>
      </c>
      <c r="G91" s="68">
        <f t="shared" si="6"/>
        <v>0.19157088122605365</v>
      </c>
      <c r="H91" s="24" t="s">
        <v>76</v>
      </c>
      <c r="N91" t="s">
        <v>701</v>
      </c>
    </row>
    <row r="92" spans="2:16">
      <c r="B92" t="s">
        <v>348</v>
      </c>
      <c r="C92" s="67"/>
      <c r="D92" t="s">
        <v>76</v>
      </c>
      <c r="E92" s="24" t="str">
        <f t="shared" si="5"/>
        <v>JGP FA</v>
      </c>
      <c r="F92">
        <v>50</v>
      </c>
      <c r="G92" s="68">
        <f t="shared" si="6"/>
        <v>0.19157088122605365</v>
      </c>
      <c r="H92" s="24" t="s">
        <v>76</v>
      </c>
      <c r="N92" t="s">
        <v>707</v>
      </c>
    </row>
    <row r="93" spans="2:16">
      <c r="B93" t="s">
        <v>388</v>
      </c>
      <c r="C93" s="67">
        <v>45390</v>
      </c>
      <c r="D93" t="s">
        <v>76</v>
      </c>
      <c r="E93" s="24" t="str">
        <f t="shared" si="5"/>
        <v>JGP FA</v>
      </c>
      <c r="F93">
        <v>50</v>
      </c>
      <c r="G93" s="68">
        <f t="shared" si="6"/>
        <v>0.19157088122605365</v>
      </c>
      <c r="H93" s="24" t="s">
        <v>76</v>
      </c>
      <c r="N93" t="s">
        <v>712</v>
      </c>
    </row>
    <row r="94" spans="2:16">
      <c r="B94" t="s">
        <v>412</v>
      </c>
      <c r="C94" s="67">
        <v>45401</v>
      </c>
      <c r="D94" t="s">
        <v>76</v>
      </c>
      <c r="E94" s="24" t="str">
        <f t="shared" si="5"/>
        <v>JGP FA</v>
      </c>
      <c r="F94">
        <v>50</v>
      </c>
      <c r="G94" s="68">
        <f t="shared" si="6"/>
        <v>0.19157088122605365</v>
      </c>
      <c r="H94" s="24" t="s">
        <v>76</v>
      </c>
      <c r="N94" t="s">
        <v>724</v>
      </c>
    </row>
    <row r="95" spans="2:16">
      <c r="B95" t="s">
        <v>454</v>
      </c>
      <c r="C95" s="67">
        <v>45436</v>
      </c>
      <c r="D95" t="s">
        <v>76</v>
      </c>
      <c r="E95" s="24" t="str">
        <f t="shared" si="5"/>
        <v>JGP FA</v>
      </c>
      <c r="F95">
        <v>50</v>
      </c>
      <c r="G95" s="68">
        <f t="shared" si="6"/>
        <v>0.19157088122605365</v>
      </c>
      <c r="H95" s="24" t="s">
        <v>76</v>
      </c>
      <c r="N95" t="s">
        <v>728</v>
      </c>
    </row>
    <row r="96" spans="2:16">
      <c r="B96" t="s">
        <v>483</v>
      </c>
      <c r="C96" s="67">
        <v>45441</v>
      </c>
      <c r="D96" t="s">
        <v>76</v>
      </c>
      <c r="E96" s="24" t="str">
        <f t="shared" si="5"/>
        <v>JGP FA</v>
      </c>
      <c r="F96">
        <v>50</v>
      </c>
      <c r="G96" s="68">
        <f t="shared" si="6"/>
        <v>0.19157088122605365</v>
      </c>
      <c r="H96" s="24" t="s">
        <v>76</v>
      </c>
      <c r="N96" t="s">
        <v>737</v>
      </c>
    </row>
    <row r="97" spans="2:16">
      <c r="B97" t="s">
        <v>500</v>
      </c>
      <c r="C97" s="67">
        <v>45449</v>
      </c>
      <c r="D97" t="s">
        <v>76</v>
      </c>
      <c r="E97" s="24" t="str">
        <f t="shared" si="5"/>
        <v>JGP FA</v>
      </c>
      <c r="F97">
        <v>50</v>
      </c>
      <c r="G97" s="68">
        <f t="shared" si="6"/>
        <v>0.19157088122605365</v>
      </c>
      <c r="H97" s="24" t="s">
        <v>76</v>
      </c>
      <c r="N97" t="s">
        <v>743</v>
      </c>
    </row>
    <row r="98" spans="2:16">
      <c r="B98" t="s">
        <v>536</v>
      </c>
      <c r="C98" s="67">
        <v>45464</v>
      </c>
      <c r="D98" t="s">
        <v>76</v>
      </c>
      <c r="E98" s="24" t="str">
        <f t="shared" si="5"/>
        <v>JGP FA</v>
      </c>
      <c r="F98">
        <v>50</v>
      </c>
      <c r="G98" s="68">
        <f t="shared" si="6"/>
        <v>0.19157088122605365</v>
      </c>
      <c r="H98" s="24" t="s">
        <v>76</v>
      </c>
      <c r="N98" t="s">
        <v>759</v>
      </c>
    </row>
    <row r="99" spans="2:16">
      <c r="B99" t="s">
        <v>560</v>
      </c>
      <c r="C99" s="67">
        <v>45468</v>
      </c>
      <c r="D99" t="s">
        <v>76</v>
      </c>
      <c r="E99" s="24" t="str">
        <f t="shared" si="5"/>
        <v>JGP FA</v>
      </c>
      <c r="F99">
        <v>50</v>
      </c>
      <c r="G99" s="68">
        <f t="shared" si="6"/>
        <v>0.19157088122605365</v>
      </c>
      <c r="H99" s="24" t="s">
        <v>76</v>
      </c>
      <c r="N99" t="s">
        <v>766</v>
      </c>
    </row>
    <row r="100" spans="2:16">
      <c r="B100" t="s">
        <v>584</v>
      </c>
      <c r="C100" s="67"/>
      <c r="D100" t="s">
        <v>76</v>
      </c>
      <c r="E100" s="24" t="str">
        <f t="shared" si="5"/>
        <v>JGP FA</v>
      </c>
      <c r="F100">
        <v>50</v>
      </c>
      <c r="G100" s="68">
        <f t="shared" si="6"/>
        <v>0.19157088122605365</v>
      </c>
      <c r="H100" s="24" t="s">
        <v>76</v>
      </c>
      <c r="N100" t="s">
        <v>772</v>
      </c>
    </row>
    <row r="101" spans="2:16">
      <c r="B101" t="s">
        <v>602</v>
      </c>
      <c r="C101" s="67">
        <v>45503</v>
      </c>
      <c r="D101" t="s">
        <v>76</v>
      </c>
      <c r="E101" s="24" t="str">
        <f t="shared" si="5"/>
        <v>JGP FA</v>
      </c>
      <c r="F101">
        <v>50</v>
      </c>
      <c r="G101" s="68">
        <f t="shared" si="6"/>
        <v>0.19157088122605365</v>
      </c>
      <c r="H101" s="24" t="s">
        <v>76</v>
      </c>
      <c r="N101" t="s">
        <v>776</v>
      </c>
    </row>
    <row r="102" spans="2:16">
      <c r="B102" t="s">
        <v>613</v>
      </c>
      <c r="C102" s="67">
        <v>45503</v>
      </c>
      <c r="D102" t="s">
        <v>76</v>
      </c>
      <c r="E102" s="24" t="str">
        <f t="shared" si="5"/>
        <v>JGP FA</v>
      </c>
      <c r="F102">
        <v>50</v>
      </c>
      <c r="G102" s="68">
        <f t="shared" si="6"/>
        <v>0.19157088122605365</v>
      </c>
      <c r="H102" s="24" t="s">
        <v>76</v>
      </c>
      <c r="N102" t="s">
        <v>779</v>
      </c>
      <c r="O102" t="s">
        <v>1822</v>
      </c>
      <c r="P102" t="s">
        <v>1252</v>
      </c>
    </row>
    <row r="103" spans="2:16">
      <c r="B103" t="s">
        <v>626</v>
      </c>
      <c r="C103" s="67">
        <v>45503</v>
      </c>
      <c r="D103" t="s">
        <v>76</v>
      </c>
      <c r="E103" s="24" t="str">
        <f t="shared" si="5"/>
        <v>JGP FA</v>
      </c>
      <c r="F103">
        <v>50</v>
      </c>
      <c r="G103" s="68">
        <f t="shared" si="6"/>
        <v>0.19157088122605365</v>
      </c>
      <c r="H103" s="24" t="s">
        <v>76</v>
      </c>
      <c r="N103" t="s">
        <v>789</v>
      </c>
    </row>
    <row r="104" spans="2:16">
      <c r="B104" t="s">
        <v>630</v>
      </c>
      <c r="C104" s="67">
        <v>45512</v>
      </c>
      <c r="D104" t="s">
        <v>76</v>
      </c>
      <c r="E104" s="24" t="str">
        <f t="shared" si="5"/>
        <v>JGP FA</v>
      </c>
      <c r="F104">
        <v>50</v>
      </c>
      <c r="G104" s="68">
        <f t="shared" si="6"/>
        <v>0.19157088122605365</v>
      </c>
      <c r="H104" s="24" t="s">
        <v>76</v>
      </c>
      <c r="N104" t="s">
        <v>801</v>
      </c>
    </row>
    <row r="105" spans="2:16">
      <c r="B105" t="s">
        <v>641</v>
      </c>
      <c r="C105" s="67">
        <v>45516</v>
      </c>
      <c r="D105" t="s">
        <v>76</v>
      </c>
      <c r="E105" s="24" t="str">
        <f t="shared" si="5"/>
        <v>JGP FA</v>
      </c>
      <c r="F105">
        <v>50</v>
      </c>
      <c r="G105" s="68">
        <f t="shared" si="6"/>
        <v>0.19157088122605365</v>
      </c>
      <c r="H105" s="24" t="s">
        <v>76</v>
      </c>
      <c r="N105" t="s">
        <v>804</v>
      </c>
    </row>
    <row r="106" spans="2:16">
      <c r="B106" t="s">
        <v>198</v>
      </c>
      <c r="C106" s="67">
        <v>45527</v>
      </c>
      <c r="D106" t="s">
        <v>76</v>
      </c>
      <c r="E106" s="24" t="str">
        <f t="shared" si="5"/>
        <v>JGP FA</v>
      </c>
      <c r="F106">
        <v>50</v>
      </c>
      <c r="G106" s="68">
        <f t="shared" si="6"/>
        <v>0.19157088122605365</v>
      </c>
      <c r="H106" s="24" t="s">
        <v>76</v>
      </c>
      <c r="N106" t="s">
        <v>809</v>
      </c>
    </row>
    <row r="107" spans="2:16">
      <c r="B107" t="s">
        <v>454</v>
      </c>
      <c r="C107" s="67">
        <v>45548</v>
      </c>
      <c r="D107" t="s">
        <v>76</v>
      </c>
      <c r="E107" s="24" t="str">
        <f t="shared" si="5"/>
        <v>JGP FA</v>
      </c>
      <c r="F107">
        <v>50</v>
      </c>
      <c r="G107" s="68">
        <f t="shared" si="6"/>
        <v>0.19157088122605365</v>
      </c>
      <c r="H107" s="24" t="s">
        <v>76</v>
      </c>
      <c r="N107" t="s">
        <v>832</v>
      </c>
      <c r="O107" t="s">
        <v>1823</v>
      </c>
      <c r="P107" t="s">
        <v>226</v>
      </c>
    </row>
    <row r="108" spans="2:16">
      <c r="B108" t="s">
        <v>794</v>
      </c>
      <c r="C108" s="67">
        <v>45553</v>
      </c>
      <c r="D108" t="s">
        <v>76</v>
      </c>
      <c r="E108" s="24" t="str">
        <f t="shared" si="5"/>
        <v>JGP FA</v>
      </c>
      <c r="F108">
        <v>50</v>
      </c>
      <c r="G108" s="68">
        <f t="shared" si="6"/>
        <v>0.19157088122605365</v>
      </c>
      <c r="H108" s="24" t="s">
        <v>76</v>
      </c>
      <c r="N108" t="s">
        <v>839</v>
      </c>
      <c r="O108" t="s">
        <v>1796</v>
      </c>
      <c r="P108" t="s">
        <v>1261</v>
      </c>
    </row>
    <row r="109" spans="2:16">
      <c r="B109" t="s">
        <v>797</v>
      </c>
      <c r="C109" s="67">
        <v>45553</v>
      </c>
      <c r="D109" t="s">
        <v>76</v>
      </c>
      <c r="E109" s="24" t="str">
        <f t="shared" si="5"/>
        <v>JGP FA</v>
      </c>
      <c r="F109">
        <v>50</v>
      </c>
      <c r="G109" s="68">
        <f t="shared" si="6"/>
        <v>0.19157088122605365</v>
      </c>
      <c r="H109" s="24" t="s">
        <v>76</v>
      </c>
      <c r="N109" t="s">
        <v>845</v>
      </c>
    </row>
    <row r="110" spans="2:16">
      <c r="B110" t="s">
        <v>824</v>
      </c>
      <c r="C110" s="67">
        <v>45575</v>
      </c>
      <c r="D110" t="s">
        <v>76</v>
      </c>
      <c r="E110" s="24" t="str">
        <f t="shared" si="5"/>
        <v>JGP FA</v>
      </c>
      <c r="F110">
        <v>50</v>
      </c>
      <c r="G110" s="68">
        <f t="shared" si="6"/>
        <v>0.19157088122605365</v>
      </c>
      <c r="H110" s="24" t="s">
        <v>76</v>
      </c>
      <c r="N110" t="s">
        <v>849</v>
      </c>
    </row>
    <row r="111" spans="2:16">
      <c r="B111" t="s">
        <v>854</v>
      </c>
      <c r="C111" s="67">
        <v>45583</v>
      </c>
      <c r="D111" t="s">
        <v>76</v>
      </c>
      <c r="E111" s="24" t="str">
        <f t="shared" si="5"/>
        <v>JGP FA</v>
      </c>
      <c r="F111">
        <v>50</v>
      </c>
      <c r="G111" s="68">
        <f t="shared" si="6"/>
        <v>0.19157088122605365</v>
      </c>
      <c r="H111" s="24" t="s">
        <v>76</v>
      </c>
      <c r="N111" t="s">
        <v>861</v>
      </c>
    </row>
    <row r="112" spans="2:16">
      <c r="B112" t="s">
        <v>857</v>
      </c>
      <c r="C112" s="67">
        <v>45587</v>
      </c>
      <c r="D112" t="s">
        <v>76</v>
      </c>
      <c r="E112" s="24" t="str">
        <f t="shared" si="5"/>
        <v>JGP FA</v>
      </c>
      <c r="F112">
        <v>50</v>
      </c>
      <c r="G112" s="68">
        <f t="shared" si="6"/>
        <v>0.19157088122605365</v>
      </c>
      <c r="H112" s="24" t="s">
        <v>76</v>
      </c>
      <c r="N112" t="s">
        <v>866</v>
      </c>
      <c r="O112" t="s">
        <v>76</v>
      </c>
    </row>
    <row r="113" spans="2:16">
      <c r="B113" t="s">
        <v>906</v>
      </c>
      <c r="C113" s="67">
        <v>45597</v>
      </c>
      <c r="D113" t="s">
        <v>76</v>
      </c>
      <c r="E113" s="24" t="str">
        <f t="shared" si="5"/>
        <v>JGP FA</v>
      </c>
      <c r="F113">
        <v>50</v>
      </c>
      <c r="G113" s="68">
        <f t="shared" si="6"/>
        <v>0.19157088122605365</v>
      </c>
      <c r="H113" s="24" t="s">
        <v>76</v>
      </c>
      <c r="N113" t="s">
        <v>871</v>
      </c>
    </row>
    <row r="114" spans="2:16">
      <c r="B114" t="s">
        <v>911</v>
      </c>
      <c r="C114" s="67">
        <v>45609</v>
      </c>
      <c r="D114" t="s">
        <v>76</v>
      </c>
      <c r="E114" s="24" t="str">
        <f t="shared" si="5"/>
        <v>JGP FA</v>
      </c>
      <c r="F114">
        <v>50</v>
      </c>
      <c r="G114" s="68">
        <f t="shared" si="6"/>
        <v>0.19157088122605365</v>
      </c>
      <c r="H114" s="24" t="s">
        <v>76</v>
      </c>
      <c r="N114" t="s">
        <v>876</v>
      </c>
    </row>
    <row r="115" spans="2:16">
      <c r="B115" t="s">
        <v>915</v>
      </c>
      <c r="C115" s="67">
        <v>45608</v>
      </c>
      <c r="D115" t="s">
        <v>76</v>
      </c>
      <c r="E115" s="24" t="str">
        <f t="shared" si="5"/>
        <v>JGP FA</v>
      </c>
      <c r="F115">
        <v>50</v>
      </c>
      <c r="G115" s="68">
        <f t="shared" si="6"/>
        <v>0.19157088122605365</v>
      </c>
      <c r="H115" s="24" t="s">
        <v>76</v>
      </c>
      <c r="N115" t="s">
        <v>880</v>
      </c>
      <c r="O115" t="s">
        <v>1824</v>
      </c>
      <c r="P115" t="s">
        <v>226</v>
      </c>
    </row>
    <row r="116" spans="2:16">
      <c r="B116" t="s">
        <v>923</v>
      </c>
      <c r="C116" s="67">
        <v>45614</v>
      </c>
      <c r="D116" t="s">
        <v>76</v>
      </c>
      <c r="E116" s="24" t="str">
        <f t="shared" si="5"/>
        <v>JGP FA</v>
      </c>
      <c r="F116">
        <v>50</v>
      </c>
      <c r="G116" s="68">
        <f t="shared" si="6"/>
        <v>0.19157088122605365</v>
      </c>
      <c r="H116" s="24" t="s">
        <v>76</v>
      </c>
      <c r="N116" t="s">
        <v>884</v>
      </c>
    </row>
    <row r="117" spans="2:16">
      <c r="B117" t="s">
        <v>936</v>
      </c>
      <c r="C117" s="67">
        <v>45618</v>
      </c>
      <c r="D117" t="s">
        <v>76</v>
      </c>
      <c r="E117" s="24" t="str">
        <f t="shared" si="5"/>
        <v>JGP FA</v>
      </c>
      <c r="F117">
        <v>50</v>
      </c>
      <c r="G117" s="68">
        <f t="shared" si="6"/>
        <v>0.19157088122605365</v>
      </c>
      <c r="H117" s="24" t="s">
        <v>76</v>
      </c>
      <c r="N117" t="s">
        <v>888</v>
      </c>
    </row>
    <row r="118" spans="2:16">
      <c r="B118" t="s">
        <v>946</v>
      </c>
      <c r="C118" s="67">
        <v>45622</v>
      </c>
      <c r="D118" t="s">
        <v>76</v>
      </c>
      <c r="E118" s="24" t="str">
        <f t="shared" si="5"/>
        <v>JGP FA</v>
      </c>
      <c r="F118">
        <v>50</v>
      </c>
      <c r="G118" s="68">
        <f t="shared" si="6"/>
        <v>0.19157088122605365</v>
      </c>
      <c r="H118" s="24" t="s">
        <v>76</v>
      </c>
      <c r="N118" t="s">
        <v>918</v>
      </c>
      <c r="O118" t="s">
        <v>1825</v>
      </c>
      <c r="P118" t="s">
        <v>226</v>
      </c>
    </row>
    <row r="119" spans="2:16">
      <c r="B119" t="s">
        <v>964</v>
      </c>
      <c r="C119" s="67">
        <v>45636</v>
      </c>
      <c r="D119" t="s">
        <v>76</v>
      </c>
      <c r="E119" s="24" t="str">
        <f t="shared" si="5"/>
        <v>JGP FA</v>
      </c>
      <c r="F119">
        <v>50</v>
      </c>
      <c r="G119" s="68">
        <f t="shared" si="6"/>
        <v>0.19157088122605365</v>
      </c>
      <c r="H119" s="24" t="s">
        <v>76</v>
      </c>
      <c r="N119" t="s">
        <v>929</v>
      </c>
    </row>
    <row r="120" spans="2:16">
      <c r="B120" t="s">
        <v>983</v>
      </c>
      <c r="C120" s="67">
        <v>45636</v>
      </c>
      <c r="D120" t="s">
        <v>76</v>
      </c>
      <c r="E120" s="24" t="str">
        <f t="shared" si="5"/>
        <v>JGP FA</v>
      </c>
      <c r="F120">
        <v>50</v>
      </c>
      <c r="G120" s="68">
        <f t="shared" si="6"/>
        <v>0.19157088122605365</v>
      </c>
      <c r="H120" s="24" t="s">
        <v>76</v>
      </c>
      <c r="N120" t="s">
        <v>933</v>
      </c>
    </row>
    <row r="121" spans="2:16">
      <c r="B121" t="s">
        <v>216</v>
      </c>
      <c r="C121" s="67">
        <v>45364</v>
      </c>
      <c r="D121" t="s">
        <v>217</v>
      </c>
      <c r="E121" s="24" t="str">
        <f t="shared" si="5"/>
        <v>JGP FA</v>
      </c>
      <c r="F121">
        <v>50</v>
      </c>
      <c r="G121" s="68">
        <f t="shared" si="6"/>
        <v>0.19157088122605365</v>
      </c>
      <c r="H121" s="24" t="s">
        <v>76</v>
      </c>
      <c r="N121" t="s">
        <v>944</v>
      </c>
    </row>
    <row r="122" spans="2:16">
      <c r="B122" t="s">
        <v>865</v>
      </c>
      <c r="C122" s="67">
        <v>45593</v>
      </c>
      <c r="D122" t="s">
        <v>866</v>
      </c>
      <c r="E122" s="24" t="str">
        <f t="shared" si="5"/>
        <v>JGP FA</v>
      </c>
      <c r="F122">
        <v>50</v>
      </c>
      <c r="G122" s="68">
        <f t="shared" si="6"/>
        <v>0.19157088122605365</v>
      </c>
      <c r="H122" s="24" t="s">
        <v>76</v>
      </c>
      <c r="N122" t="s">
        <v>959</v>
      </c>
    </row>
    <row r="123" spans="2:16">
      <c r="B123" t="s">
        <v>310</v>
      </c>
      <c r="C123" s="67">
        <v>45370</v>
      </c>
      <c r="D123" t="s">
        <v>311</v>
      </c>
      <c r="E123" s="24" t="str">
        <f t="shared" si="5"/>
        <v>JGP FA</v>
      </c>
      <c r="F123">
        <v>50</v>
      </c>
      <c r="G123" s="68">
        <f t="shared" si="6"/>
        <v>0.19157088122605365</v>
      </c>
      <c r="H123" s="24" t="s">
        <v>76</v>
      </c>
      <c r="N123" t="s">
        <v>969</v>
      </c>
    </row>
    <row r="124" spans="2:16">
      <c r="B124" t="s">
        <v>58</v>
      </c>
      <c r="C124" s="67">
        <v>45314</v>
      </c>
      <c r="D124" t="s">
        <v>59</v>
      </c>
      <c r="E124" s="24" t="str">
        <f t="shared" si="5"/>
        <v>JGP FA</v>
      </c>
      <c r="F124">
        <v>50</v>
      </c>
      <c r="G124" s="68">
        <f t="shared" si="6"/>
        <v>0.19157088122605365</v>
      </c>
      <c r="H124" s="24" t="s">
        <v>76</v>
      </c>
      <c r="N124" t="s">
        <v>974</v>
      </c>
      <c r="O124" t="s">
        <v>1814</v>
      </c>
      <c r="P124" t="s">
        <v>1794</v>
      </c>
    </row>
    <row r="125" spans="2:16">
      <c r="B125" t="s">
        <v>755</v>
      </c>
      <c r="C125" s="67">
        <v>45544</v>
      </c>
      <c r="D125" t="s">
        <v>59</v>
      </c>
      <c r="E125" s="24" t="str">
        <f t="shared" si="5"/>
        <v>JGP FA</v>
      </c>
      <c r="F125">
        <v>50</v>
      </c>
      <c r="G125" s="68">
        <f t="shared" si="6"/>
        <v>0.19157088122605365</v>
      </c>
      <c r="H125" s="24" t="s">
        <v>76</v>
      </c>
      <c r="N125" t="s">
        <v>987</v>
      </c>
    </row>
    <row r="126" spans="2:16">
      <c r="C126" s="67">
        <v>45593</v>
      </c>
      <c r="D126" t="s">
        <v>59</v>
      </c>
      <c r="E126" s="24" t="str">
        <f t="shared" si="5"/>
        <v>JGP FA</v>
      </c>
      <c r="F126">
        <v>50</v>
      </c>
      <c r="G126" s="68">
        <f t="shared" si="6"/>
        <v>0.19157088122605365</v>
      </c>
      <c r="H126" s="24" t="s">
        <v>76</v>
      </c>
      <c r="N126" t="s">
        <v>994</v>
      </c>
    </row>
    <row r="127" spans="2:16">
      <c r="B127" t="s">
        <v>543</v>
      </c>
      <c r="C127" s="67">
        <v>45467</v>
      </c>
      <c r="D127" t="s">
        <v>544</v>
      </c>
      <c r="E127" s="24" t="str">
        <f t="shared" si="5"/>
        <v>Originação própria</v>
      </c>
      <c r="F127">
        <v>19</v>
      </c>
      <c r="G127" s="68">
        <f t="shared" si="6"/>
        <v>7.2796934865900387E-2</v>
      </c>
      <c r="H127" t="s">
        <v>1767</v>
      </c>
      <c r="N127" t="s">
        <v>1002</v>
      </c>
    </row>
    <row r="128" spans="2:16">
      <c r="B128" t="s">
        <v>507</v>
      </c>
      <c r="C128" s="67">
        <v>45450</v>
      </c>
      <c r="D128" t="s">
        <v>508</v>
      </c>
      <c r="E128" s="24" t="str">
        <f t="shared" si="5"/>
        <v>Originação própria</v>
      </c>
      <c r="F128">
        <v>19</v>
      </c>
      <c r="G128" s="68">
        <f t="shared" si="6"/>
        <v>7.2796934865900387E-2</v>
      </c>
      <c r="H128" t="s">
        <v>1767</v>
      </c>
      <c r="N128" t="s">
        <v>1009</v>
      </c>
    </row>
    <row r="129" spans="2:16">
      <c r="B129" t="s">
        <v>81</v>
      </c>
      <c r="C129" s="67">
        <v>45320</v>
      </c>
      <c r="D129" t="s">
        <v>82</v>
      </c>
      <c r="E129" s="24" t="str">
        <f t="shared" si="5"/>
        <v>Originação própria</v>
      </c>
      <c r="F129">
        <v>19</v>
      </c>
      <c r="G129" s="68">
        <f t="shared" si="6"/>
        <v>7.2796934865900387E-2</v>
      </c>
      <c r="H129" t="s">
        <v>1767</v>
      </c>
      <c r="N129" t="s">
        <v>1012</v>
      </c>
      <c r="O129" t="s">
        <v>1818</v>
      </c>
      <c r="P129" t="s">
        <v>226</v>
      </c>
    </row>
    <row r="130" spans="2:16">
      <c r="B130" t="s">
        <v>188</v>
      </c>
      <c r="C130" s="67"/>
      <c r="D130" t="s">
        <v>189</v>
      </c>
      <c r="E130" s="24" t="str">
        <f t="shared" si="5"/>
        <v>Originação própria</v>
      </c>
      <c r="F130">
        <v>19</v>
      </c>
      <c r="G130" s="68">
        <f t="shared" si="6"/>
        <v>7.2796934865900387E-2</v>
      </c>
      <c r="H130" t="s">
        <v>1767</v>
      </c>
      <c r="N130" t="s">
        <v>1018</v>
      </c>
    </row>
    <row r="131" spans="2:16">
      <c r="B131" t="s">
        <v>222</v>
      </c>
      <c r="C131" s="67">
        <v>45366</v>
      </c>
      <c r="D131" t="s">
        <v>189</v>
      </c>
      <c r="E131" s="24" t="str">
        <f t="shared" si="5"/>
        <v>Originação própria</v>
      </c>
      <c r="F131">
        <v>19</v>
      </c>
      <c r="G131" s="68">
        <f t="shared" si="6"/>
        <v>7.2796934865900387E-2</v>
      </c>
      <c r="H131" t="s">
        <v>1767</v>
      </c>
      <c r="N131" t="s">
        <v>1024</v>
      </c>
    </row>
    <row r="132" spans="2:16">
      <c r="B132" t="s">
        <v>251</v>
      </c>
      <c r="C132" s="67">
        <v>45366</v>
      </c>
      <c r="D132" t="s">
        <v>189</v>
      </c>
      <c r="E132" s="24" t="str">
        <f t="shared" ref="E132:E195" si="7">+INDEX($O$3:$O$132,MATCH(D132,$N$3:$N$132,0))</f>
        <v>Originação própria</v>
      </c>
      <c r="F132">
        <v>19</v>
      </c>
      <c r="G132" s="68">
        <f t="shared" ref="G132:G195" si="8">+F132/261</f>
        <v>7.2796934865900387E-2</v>
      </c>
      <c r="H132" t="s">
        <v>1767</v>
      </c>
      <c r="N132" t="s">
        <v>820</v>
      </c>
    </row>
    <row r="133" spans="2:16">
      <c r="B133" t="s">
        <v>292</v>
      </c>
      <c r="C133" s="67"/>
      <c r="D133" t="s">
        <v>189</v>
      </c>
      <c r="E133" s="24" t="str">
        <f t="shared" si="7"/>
        <v>Originação própria</v>
      </c>
      <c r="F133">
        <v>19</v>
      </c>
      <c r="G133" s="68">
        <f t="shared" si="8"/>
        <v>7.2796934865900387E-2</v>
      </c>
      <c r="H133" t="s">
        <v>1767</v>
      </c>
    </row>
    <row r="134" spans="2:16">
      <c r="B134" t="s">
        <v>378</v>
      </c>
      <c r="C134" s="67"/>
      <c r="D134" t="s">
        <v>189</v>
      </c>
      <c r="E134" s="24" t="str">
        <f t="shared" si="7"/>
        <v>Originação própria</v>
      </c>
      <c r="F134">
        <v>19</v>
      </c>
      <c r="G134" s="68">
        <f t="shared" si="8"/>
        <v>7.2796934865900387E-2</v>
      </c>
      <c r="H134" t="s">
        <v>1767</v>
      </c>
    </row>
    <row r="135" spans="2:16">
      <c r="B135" t="s">
        <v>381</v>
      </c>
      <c r="C135" s="67">
        <v>45390</v>
      </c>
      <c r="D135" t="s">
        <v>189</v>
      </c>
      <c r="E135" s="24" t="str">
        <f t="shared" si="7"/>
        <v>Originação própria</v>
      </c>
      <c r="F135">
        <v>19</v>
      </c>
      <c r="G135" s="68">
        <f t="shared" si="8"/>
        <v>7.2796934865900387E-2</v>
      </c>
      <c r="H135" t="s">
        <v>1767</v>
      </c>
    </row>
    <row r="136" spans="2:16">
      <c r="B136" t="s">
        <v>234</v>
      </c>
      <c r="C136" s="67">
        <v>45453</v>
      </c>
      <c r="D136" t="s">
        <v>189</v>
      </c>
      <c r="E136" s="24" t="str">
        <f t="shared" si="7"/>
        <v>Originação própria</v>
      </c>
      <c r="F136">
        <v>19</v>
      </c>
      <c r="G136" s="68">
        <f t="shared" si="8"/>
        <v>7.2796934865900387E-2</v>
      </c>
      <c r="H136" t="s">
        <v>1767</v>
      </c>
    </row>
    <row r="137" spans="2:16">
      <c r="B137" t="s">
        <v>525</v>
      </c>
      <c r="C137" s="67">
        <v>45457</v>
      </c>
      <c r="D137" t="s">
        <v>189</v>
      </c>
      <c r="E137" s="24" t="str">
        <f t="shared" si="7"/>
        <v>Originação própria</v>
      </c>
      <c r="F137">
        <v>19</v>
      </c>
      <c r="G137" s="68">
        <f t="shared" si="8"/>
        <v>7.2796934865900387E-2</v>
      </c>
      <c r="H137" t="s">
        <v>1767</v>
      </c>
    </row>
    <row r="138" spans="2:16">
      <c r="B138" t="s">
        <v>557</v>
      </c>
      <c r="C138" s="67">
        <v>45474</v>
      </c>
      <c r="D138" t="s">
        <v>189</v>
      </c>
      <c r="E138" s="24" t="str">
        <f t="shared" si="7"/>
        <v>Originação própria</v>
      </c>
      <c r="F138">
        <v>19</v>
      </c>
      <c r="G138" s="68">
        <f t="shared" si="8"/>
        <v>7.2796934865900387E-2</v>
      </c>
      <c r="H138" t="s">
        <v>1767</v>
      </c>
    </row>
    <row r="139" spans="2:16">
      <c r="B139" t="s">
        <v>716</v>
      </c>
      <c r="C139" s="67">
        <v>45537</v>
      </c>
      <c r="D139" t="s">
        <v>189</v>
      </c>
      <c r="E139" s="24" t="str">
        <f t="shared" si="7"/>
        <v>Originação própria</v>
      </c>
      <c r="F139">
        <v>19</v>
      </c>
      <c r="G139" s="68">
        <f t="shared" si="8"/>
        <v>7.2796934865900387E-2</v>
      </c>
      <c r="H139" t="s">
        <v>1767</v>
      </c>
    </row>
    <row r="140" spans="2:16">
      <c r="B140" t="s">
        <v>768</v>
      </c>
      <c r="C140" s="67">
        <v>45551</v>
      </c>
      <c r="D140" t="s">
        <v>189</v>
      </c>
      <c r="E140" s="24" t="str">
        <f t="shared" si="7"/>
        <v>Originação própria</v>
      </c>
      <c r="F140">
        <v>19</v>
      </c>
      <c r="G140" s="68">
        <f t="shared" si="8"/>
        <v>7.2796934865900387E-2</v>
      </c>
      <c r="H140" t="s">
        <v>1767</v>
      </c>
    </row>
    <row r="141" spans="2:16">
      <c r="C141" s="67"/>
      <c r="D141" t="s">
        <v>189</v>
      </c>
      <c r="E141" s="24" t="str">
        <f t="shared" si="7"/>
        <v>Originação própria</v>
      </c>
      <c r="F141">
        <v>19</v>
      </c>
      <c r="G141" s="68">
        <f t="shared" si="8"/>
        <v>7.2796934865900387E-2</v>
      </c>
      <c r="H141" t="s">
        <v>1767</v>
      </c>
    </row>
    <row r="142" spans="2:16">
      <c r="B142" t="s">
        <v>255</v>
      </c>
      <c r="C142" s="67">
        <v>45366</v>
      </c>
      <c r="D142" t="s">
        <v>256</v>
      </c>
      <c r="E142" s="24" t="str">
        <f t="shared" si="7"/>
        <v>Originação própria</v>
      </c>
      <c r="F142">
        <v>19</v>
      </c>
      <c r="G142" s="68">
        <f t="shared" si="8"/>
        <v>7.2796934865900387E-2</v>
      </c>
      <c r="H142" t="s">
        <v>1767</v>
      </c>
    </row>
    <row r="143" spans="2:16">
      <c r="B143" t="s">
        <v>234</v>
      </c>
      <c r="C143" s="67">
        <v>45365</v>
      </c>
      <c r="D143" t="s">
        <v>235</v>
      </c>
      <c r="E143" s="24" t="str">
        <f t="shared" si="7"/>
        <v>Originação própria</v>
      </c>
      <c r="F143">
        <v>19</v>
      </c>
      <c r="G143" s="68">
        <f t="shared" si="8"/>
        <v>7.2796934865900387E-2</v>
      </c>
      <c r="H143" t="s">
        <v>1767</v>
      </c>
    </row>
    <row r="144" spans="2:16">
      <c r="B144" t="s">
        <v>240</v>
      </c>
      <c r="C144" s="67">
        <v>45365</v>
      </c>
      <c r="D144" t="s">
        <v>235</v>
      </c>
      <c r="E144" s="24" t="str">
        <f t="shared" si="7"/>
        <v>Originação própria</v>
      </c>
      <c r="F144">
        <v>19</v>
      </c>
      <c r="G144" s="68">
        <f t="shared" si="8"/>
        <v>7.2796934865900387E-2</v>
      </c>
      <c r="H144" t="s">
        <v>1767</v>
      </c>
    </row>
    <row r="145" spans="2:8">
      <c r="B145" t="s">
        <v>244</v>
      </c>
      <c r="C145" s="67">
        <v>45365</v>
      </c>
      <c r="D145" t="s">
        <v>235</v>
      </c>
      <c r="E145" s="24" t="str">
        <f t="shared" si="7"/>
        <v>Originação própria</v>
      </c>
      <c r="F145">
        <v>19</v>
      </c>
      <c r="G145" s="68">
        <f t="shared" si="8"/>
        <v>7.2796934865900387E-2</v>
      </c>
      <c r="H145" t="s">
        <v>1767</v>
      </c>
    </row>
    <row r="146" spans="2:8">
      <c r="B146" t="s">
        <v>225</v>
      </c>
      <c r="C146" s="67">
        <v>45366</v>
      </c>
      <c r="D146" t="s">
        <v>226</v>
      </c>
      <c r="E146" s="24" t="str">
        <f t="shared" si="7"/>
        <v>Broker B</v>
      </c>
      <c r="F146">
        <v>11</v>
      </c>
      <c r="G146" s="68">
        <f t="shared" si="8"/>
        <v>4.2145593869731802E-2</v>
      </c>
      <c r="H146" t="s">
        <v>226</v>
      </c>
    </row>
    <row r="147" spans="2:8">
      <c r="B147" t="s">
        <v>287</v>
      </c>
      <c r="C147" s="67">
        <v>45366</v>
      </c>
      <c r="D147" t="s">
        <v>226</v>
      </c>
      <c r="E147" s="24" t="str">
        <f t="shared" si="7"/>
        <v>Broker B</v>
      </c>
      <c r="F147">
        <v>11</v>
      </c>
      <c r="G147" s="68">
        <f t="shared" si="8"/>
        <v>4.2145593869731802E-2</v>
      </c>
      <c r="H147" t="s">
        <v>226</v>
      </c>
    </row>
    <row r="148" spans="2:8">
      <c r="B148" t="s">
        <v>339</v>
      </c>
      <c r="C148" s="67">
        <v>45383</v>
      </c>
      <c r="D148" t="s">
        <v>226</v>
      </c>
      <c r="E148" s="24" t="str">
        <f t="shared" si="7"/>
        <v>Broker B</v>
      </c>
      <c r="F148">
        <v>11</v>
      </c>
      <c r="G148" s="68">
        <f t="shared" si="8"/>
        <v>4.2145593869731802E-2</v>
      </c>
      <c r="H148" t="s">
        <v>226</v>
      </c>
    </row>
    <row r="149" spans="2:8">
      <c r="B149" t="s">
        <v>350</v>
      </c>
      <c r="C149" s="67"/>
      <c r="D149" t="s">
        <v>226</v>
      </c>
      <c r="E149" s="24" t="str">
        <f t="shared" si="7"/>
        <v>Broker B</v>
      </c>
      <c r="F149">
        <v>11</v>
      </c>
      <c r="G149" s="68">
        <f t="shared" si="8"/>
        <v>4.2145593869731802E-2</v>
      </c>
      <c r="H149" t="s">
        <v>226</v>
      </c>
    </row>
    <row r="150" spans="2:8">
      <c r="B150" t="s">
        <v>496</v>
      </c>
      <c r="C150" s="67">
        <v>45447</v>
      </c>
      <c r="D150" t="s">
        <v>226</v>
      </c>
      <c r="E150" s="24" t="str">
        <f t="shared" si="7"/>
        <v>Broker B</v>
      </c>
      <c r="F150">
        <v>11</v>
      </c>
      <c r="G150" s="68">
        <f t="shared" si="8"/>
        <v>4.2145593869731802E-2</v>
      </c>
      <c r="H150" t="s">
        <v>226</v>
      </c>
    </row>
    <row r="151" spans="2:8">
      <c r="C151" s="67">
        <v>45449</v>
      </c>
      <c r="D151" t="s">
        <v>226</v>
      </c>
      <c r="E151" s="24" t="str">
        <f t="shared" si="7"/>
        <v>Broker B</v>
      </c>
      <c r="F151">
        <v>11</v>
      </c>
      <c r="G151" s="68">
        <f t="shared" si="8"/>
        <v>4.2145593869731802E-2</v>
      </c>
      <c r="H151" t="s">
        <v>226</v>
      </c>
    </row>
    <row r="152" spans="2:8">
      <c r="B152" t="s">
        <v>555</v>
      </c>
      <c r="C152" s="67"/>
      <c r="D152" t="s">
        <v>226</v>
      </c>
      <c r="E152" s="24" t="str">
        <f t="shared" si="7"/>
        <v>Broker B</v>
      </c>
      <c r="F152">
        <v>11</v>
      </c>
      <c r="G152" s="68">
        <f t="shared" si="8"/>
        <v>4.2145593869731802E-2</v>
      </c>
      <c r="H152" t="s">
        <v>226</v>
      </c>
    </row>
    <row r="153" spans="2:8">
      <c r="B153" t="s">
        <v>618</v>
      </c>
      <c r="C153" s="67">
        <v>45503</v>
      </c>
      <c r="D153" t="s">
        <v>226</v>
      </c>
      <c r="E153" s="24" t="str">
        <f t="shared" si="7"/>
        <v>Broker B</v>
      </c>
      <c r="F153">
        <v>11</v>
      </c>
      <c r="G153" s="68">
        <f t="shared" si="8"/>
        <v>4.2145593869731802E-2</v>
      </c>
      <c r="H153" t="s">
        <v>226</v>
      </c>
    </row>
    <row r="154" spans="2:8">
      <c r="B154" t="s">
        <v>891</v>
      </c>
      <c r="C154" s="67">
        <v>45594</v>
      </c>
      <c r="D154" t="s">
        <v>226</v>
      </c>
      <c r="E154" s="24" t="str">
        <f t="shared" si="7"/>
        <v>Broker B</v>
      </c>
      <c r="F154">
        <v>11</v>
      </c>
      <c r="G154" s="68">
        <f t="shared" si="8"/>
        <v>4.2145593869731802E-2</v>
      </c>
      <c r="H154" t="s">
        <v>226</v>
      </c>
    </row>
    <row r="155" spans="2:8">
      <c r="B155" t="s">
        <v>949</v>
      </c>
      <c r="C155" s="67">
        <v>45624</v>
      </c>
      <c r="D155" t="s">
        <v>226</v>
      </c>
      <c r="E155" s="24" t="str">
        <f t="shared" si="7"/>
        <v>Broker B</v>
      </c>
      <c r="F155">
        <v>11</v>
      </c>
      <c r="G155" s="68">
        <f t="shared" si="8"/>
        <v>4.2145593869731802E-2</v>
      </c>
      <c r="H155" t="s">
        <v>226</v>
      </c>
    </row>
    <row r="156" spans="2:8">
      <c r="B156" t="s">
        <v>36</v>
      </c>
      <c r="C156" s="67">
        <v>45314</v>
      </c>
      <c r="D156" t="s">
        <v>37</v>
      </c>
      <c r="E156" s="24" t="str">
        <f t="shared" si="7"/>
        <v>Broker B</v>
      </c>
      <c r="F156">
        <v>11</v>
      </c>
      <c r="G156" s="68">
        <f t="shared" si="8"/>
        <v>4.2145593869731802E-2</v>
      </c>
      <c r="H156" t="s">
        <v>226</v>
      </c>
    </row>
    <row r="157" spans="2:8">
      <c r="C157" s="67">
        <v>45639</v>
      </c>
      <c r="D157" t="s">
        <v>1012</v>
      </c>
      <c r="E157" s="24" t="str">
        <f t="shared" si="7"/>
        <v>Broker U</v>
      </c>
      <c r="F157">
        <v>10</v>
      </c>
      <c r="G157" s="68">
        <f t="shared" si="8"/>
        <v>3.8314176245210725E-2</v>
      </c>
      <c r="H157" t="s">
        <v>226</v>
      </c>
    </row>
    <row r="158" spans="2:8">
      <c r="C158" s="67">
        <v>45506</v>
      </c>
      <c r="D158" t="s">
        <v>608</v>
      </c>
      <c r="E158" s="24" t="str">
        <f t="shared" si="7"/>
        <v>Broker U</v>
      </c>
      <c r="F158">
        <v>10</v>
      </c>
      <c r="G158" s="68">
        <f t="shared" si="8"/>
        <v>3.8314176245210725E-2</v>
      </c>
      <c r="H158" t="s">
        <v>226</v>
      </c>
    </row>
    <row r="159" spans="2:8">
      <c r="B159" t="s">
        <v>682</v>
      </c>
      <c r="C159" s="67">
        <v>45527</v>
      </c>
      <c r="D159" t="s">
        <v>608</v>
      </c>
      <c r="E159" s="24" t="str">
        <f t="shared" si="7"/>
        <v>Broker U</v>
      </c>
      <c r="F159">
        <v>10</v>
      </c>
      <c r="G159" s="68">
        <f t="shared" si="8"/>
        <v>3.8314176245210725E-2</v>
      </c>
      <c r="H159" t="s">
        <v>226</v>
      </c>
    </row>
    <row r="160" spans="2:8">
      <c r="B160" t="s">
        <v>369</v>
      </c>
      <c r="C160" s="67">
        <v>45534</v>
      </c>
      <c r="D160" t="s">
        <v>608</v>
      </c>
      <c r="E160" s="24" t="str">
        <f t="shared" si="7"/>
        <v>Broker U</v>
      </c>
      <c r="F160">
        <v>10</v>
      </c>
      <c r="G160" s="68">
        <f t="shared" si="8"/>
        <v>3.8314176245210725E-2</v>
      </c>
      <c r="H160" t="s">
        <v>226</v>
      </c>
    </row>
    <row r="161" spans="2:8">
      <c r="B161" t="s">
        <v>909</v>
      </c>
      <c r="C161" s="67">
        <v>45609</v>
      </c>
      <c r="D161" t="s">
        <v>608</v>
      </c>
      <c r="E161" s="24" t="str">
        <f t="shared" si="7"/>
        <v>Broker U</v>
      </c>
      <c r="F161">
        <v>10</v>
      </c>
      <c r="G161" s="68">
        <f t="shared" si="8"/>
        <v>3.8314176245210725E-2</v>
      </c>
      <c r="H161" t="s">
        <v>226</v>
      </c>
    </row>
    <row r="162" spans="2:8">
      <c r="B162" t="s">
        <v>920</v>
      </c>
      <c r="C162" s="67">
        <v>45614</v>
      </c>
      <c r="D162" t="s">
        <v>608</v>
      </c>
      <c r="E162" s="24" t="str">
        <f t="shared" si="7"/>
        <v>Broker U</v>
      </c>
      <c r="F162">
        <v>10</v>
      </c>
      <c r="G162" s="68">
        <f t="shared" si="8"/>
        <v>3.8314176245210725E-2</v>
      </c>
      <c r="H162" t="s">
        <v>226</v>
      </c>
    </row>
    <row r="163" spans="2:8">
      <c r="B163" t="s">
        <v>955</v>
      </c>
      <c r="C163" s="67">
        <v>45628</v>
      </c>
      <c r="D163" t="s">
        <v>608</v>
      </c>
      <c r="E163" s="24" t="str">
        <f t="shared" si="7"/>
        <v>Broker U</v>
      </c>
      <c r="F163">
        <v>10</v>
      </c>
      <c r="G163" s="68">
        <f t="shared" si="8"/>
        <v>3.8314176245210725E-2</v>
      </c>
      <c r="H163" t="s">
        <v>226</v>
      </c>
    </row>
    <row r="164" spans="2:8">
      <c r="B164" t="s">
        <v>996</v>
      </c>
      <c r="C164" s="67">
        <v>45637</v>
      </c>
      <c r="D164" t="s">
        <v>608</v>
      </c>
      <c r="E164" s="24" t="str">
        <f t="shared" si="7"/>
        <v>Broker U</v>
      </c>
      <c r="F164">
        <v>10</v>
      </c>
      <c r="G164" s="68">
        <f t="shared" si="8"/>
        <v>3.8314176245210725E-2</v>
      </c>
      <c r="H164" t="s">
        <v>226</v>
      </c>
    </row>
    <row r="165" spans="2:8">
      <c r="B165" t="s">
        <v>998</v>
      </c>
      <c r="C165" s="67">
        <v>45637</v>
      </c>
      <c r="D165" t="s">
        <v>608</v>
      </c>
      <c r="E165" s="24" t="str">
        <f t="shared" si="7"/>
        <v>Broker U</v>
      </c>
      <c r="F165">
        <v>10</v>
      </c>
      <c r="G165" s="68">
        <f t="shared" si="8"/>
        <v>3.8314176245210725E-2</v>
      </c>
      <c r="H165" t="s">
        <v>226</v>
      </c>
    </row>
    <row r="166" spans="2:8">
      <c r="B166" t="s">
        <v>1006</v>
      </c>
      <c r="C166" s="67">
        <v>45637</v>
      </c>
      <c r="D166" t="s">
        <v>608</v>
      </c>
      <c r="E166" s="24" t="str">
        <f t="shared" si="7"/>
        <v>Broker U</v>
      </c>
      <c r="F166">
        <v>10</v>
      </c>
      <c r="G166" s="68">
        <f t="shared" si="8"/>
        <v>3.8314176245210725E-2</v>
      </c>
      <c r="H166" t="s">
        <v>226</v>
      </c>
    </row>
    <row r="167" spans="2:8">
      <c r="B167" t="s">
        <v>838</v>
      </c>
      <c r="C167" s="67">
        <v>45583</v>
      </c>
      <c r="D167" t="s">
        <v>839</v>
      </c>
      <c r="E167" s="24" t="str">
        <f t="shared" si="7"/>
        <v>Consultoria B</v>
      </c>
      <c r="F167">
        <v>9</v>
      </c>
      <c r="G167" s="68">
        <f t="shared" si="8"/>
        <v>3.4482758620689655E-2</v>
      </c>
      <c r="H167" t="s">
        <v>1261</v>
      </c>
    </row>
    <row r="168" spans="2:8">
      <c r="B168" t="s">
        <v>424</v>
      </c>
      <c r="C168" s="67">
        <v>45419</v>
      </c>
      <c r="D168" t="s">
        <v>425</v>
      </c>
      <c r="E168" s="24" t="str">
        <f t="shared" si="7"/>
        <v>Consultoria B</v>
      </c>
      <c r="F168">
        <v>9</v>
      </c>
      <c r="G168" s="68">
        <f t="shared" si="8"/>
        <v>3.4482758620689655E-2</v>
      </c>
      <c r="H168" t="s">
        <v>1261</v>
      </c>
    </row>
    <row r="169" spans="2:8">
      <c r="B169" t="s">
        <v>428</v>
      </c>
      <c r="C169" s="67">
        <v>45419</v>
      </c>
      <c r="D169" t="s">
        <v>425</v>
      </c>
      <c r="E169" s="24" t="str">
        <f t="shared" si="7"/>
        <v>Consultoria B</v>
      </c>
      <c r="F169">
        <v>9</v>
      </c>
      <c r="G169" s="68">
        <f t="shared" si="8"/>
        <v>3.4482758620689655E-2</v>
      </c>
      <c r="H169" t="s">
        <v>1261</v>
      </c>
    </row>
    <row r="170" spans="2:8">
      <c r="B170" t="s">
        <v>424</v>
      </c>
      <c r="C170" s="67">
        <v>45425</v>
      </c>
      <c r="D170" t="s">
        <v>425</v>
      </c>
      <c r="E170" s="24" t="str">
        <f t="shared" si="7"/>
        <v>Consultoria B</v>
      </c>
      <c r="F170">
        <v>9</v>
      </c>
      <c r="G170" s="68">
        <f t="shared" si="8"/>
        <v>3.4482758620689655E-2</v>
      </c>
      <c r="H170" t="s">
        <v>1261</v>
      </c>
    </row>
    <row r="171" spans="2:8">
      <c r="B171" t="s">
        <v>437</v>
      </c>
      <c r="C171" s="67">
        <v>45425</v>
      </c>
      <c r="D171" t="s">
        <v>425</v>
      </c>
      <c r="E171" s="24" t="str">
        <f t="shared" si="7"/>
        <v>Consultoria B</v>
      </c>
      <c r="F171">
        <v>9</v>
      </c>
      <c r="G171" s="68">
        <f t="shared" si="8"/>
        <v>3.4482758620689655E-2</v>
      </c>
      <c r="H171" t="s">
        <v>1261</v>
      </c>
    </row>
    <row r="172" spans="2:8">
      <c r="B172" t="s">
        <v>720</v>
      </c>
      <c r="C172" s="67">
        <v>45541</v>
      </c>
      <c r="D172" t="s">
        <v>425</v>
      </c>
      <c r="E172" s="24" t="str">
        <f t="shared" si="7"/>
        <v>Consultoria B</v>
      </c>
      <c r="F172">
        <v>9</v>
      </c>
      <c r="G172" s="68">
        <f t="shared" si="8"/>
        <v>3.4482758620689655E-2</v>
      </c>
      <c r="H172" t="s">
        <v>1261</v>
      </c>
    </row>
    <row r="173" spans="2:8">
      <c r="B173" t="s">
        <v>815</v>
      </c>
      <c r="C173" s="67">
        <v>45568</v>
      </c>
      <c r="D173" t="s">
        <v>425</v>
      </c>
      <c r="E173" s="24" t="str">
        <f t="shared" si="7"/>
        <v>Consultoria B</v>
      </c>
      <c r="F173">
        <v>9</v>
      </c>
      <c r="G173" s="68">
        <f t="shared" si="8"/>
        <v>3.4482758620689655E-2</v>
      </c>
      <c r="H173" t="s">
        <v>1261</v>
      </c>
    </row>
    <row r="174" spans="2:8">
      <c r="B174" t="s">
        <v>174</v>
      </c>
      <c r="C174" s="67">
        <v>45343</v>
      </c>
      <c r="D174" t="s">
        <v>175</v>
      </c>
      <c r="E174" s="24" t="str">
        <f t="shared" si="7"/>
        <v>Consultoria B</v>
      </c>
      <c r="F174">
        <v>9</v>
      </c>
      <c r="G174" s="68">
        <f t="shared" si="8"/>
        <v>3.4482758620689655E-2</v>
      </c>
      <c r="H174" t="s">
        <v>1261</v>
      </c>
    </row>
    <row r="175" spans="2:8">
      <c r="B175" t="s">
        <v>169</v>
      </c>
      <c r="C175" s="67">
        <v>45342</v>
      </c>
      <c r="D175" t="s">
        <v>170</v>
      </c>
      <c r="E175" s="24" t="str">
        <f t="shared" si="7"/>
        <v>Consultoria B</v>
      </c>
      <c r="F175">
        <v>9</v>
      </c>
      <c r="G175" s="68">
        <f t="shared" si="8"/>
        <v>3.4482758620689655E-2</v>
      </c>
      <c r="H175" t="s">
        <v>1261</v>
      </c>
    </row>
    <row r="176" spans="2:8">
      <c r="B176" t="s">
        <v>277</v>
      </c>
      <c r="C176" s="67">
        <v>45366</v>
      </c>
      <c r="D176" t="s">
        <v>130</v>
      </c>
      <c r="E176" s="24" t="str">
        <f t="shared" si="7"/>
        <v>Escritório Adv D</v>
      </c>
      <c r="F176">
        <v>6</v>
      </c>
      <c r="G176" s="68">
        <f t="shared" si="8"/>
        <v>2.2988505747126436E-2</v>
      </c>
      <c r="H176" t="s">
        <v>1774</v>
      </c>
    </row>
    <row r="177" spans="2:8">
      <c r="B177" t="s">
        <v>290</v>
      </c>
      <c r="C177" s="67">
        <v>45366</v>
      </c>
      <c r="D177" t="s">
        <v>130</v>
      </c>
      <c r="E177" s="24" t="str">
        <f t="shared" si="7"/>
        <v>Escritório Adv D</v>
      </c>
      <c r="F177">
        <v>6</v>
      </c>
      <c r="G177" s="68">
        <f t="shared" si="8"/>
        <v>2.2988505747126436E-2</v>
      </c>
      <c r="H177" t="s">
        <v>1774</v>
      </c>
    </row>
    <row r="178" spans="2:8">
      <c r="B178" t="s">
        <v>852</v>
      </c>
      <c r="C178" s="67">
        <v>45583</v>
      </c>
      <c r="D178" t="s">
        <v>130</v>
      </c>
      <c r="E178" s="24" t="str">
        <f t="shared" si="7"/>
        <v>Escritório Adv D</v>
      </c>
      <c r="F178">
        <v>6</v>
      </c>
      <c r="G178" s="68">
        <f t="shared" si="8"/>
        <v>2.2988505747126436E-2</v>
      </c>
      <c r="H178" t="s">
        <v>1774</v>
      </c>
    </row>
    <row r="179" spans="2:8">
      <c r="B179" t="s">
        <v>895</v>
      </c>
      <c r="C179" s="67">
        <v>45600</v>
      </c>
      <c r="D179" t="s">
        <v>130</v>
      </c>
      <c r="E179" s="24" t="str">
        <f t="shared" si="7"/>
        <v>Escritório Adv D</v>
      </c>
      <c r="F179">
        <v>6</v>
      </c>
      <c r="G179" s="68">
        <f t="shared" si="8"/>
        <v>2.2988505747126436E-2</v>
      </c>
      <c r="H179" t="s">
        <v>1774</v>
      </c>
    </row>
    <row r="180" spans="2:8">
      <c r="B180" t="s">
        <v>898</v>
      </c>
      <c r="C180" s="67">
        <v>45608</v>
      </c>
      <c r="D180" t="s">
        <v>130</v>
      </c>
      <c r="E180" s="24" t="str">
        <f t="shared" si="7"/>
        <v>Escritório Adv D</v>
      </c>
      <c r="F180">
        <v>6</v>
      </c>
      <c r="G180" s="68">
        <f t="shared" si="8"/>
        <v>2.2988505747126436E-2</v>
      </c>
      <c r="H180" t="s">
        <v>1774</v>
      </c>
    </row>
    <row r="181" spans="2:8">
      <c r="B181" t="s">
        <v>902</v>
      </c>
      <c r="C181" s="67">
        <v>45604</v>
      </c>
      <c r="D181" t="s">
        <v>130</v>
      </c>
      <c r="E181" s="24" t="str">
        <f t="shared" si="7"/>
        <v>Escritório Adv D</v>
      </c>
      <c r="F181">
        <v>6</v>
      </c>
      <c r="G181" s="68">
        <f t="shared" si="8"/>
        <v>2.2988505747126436E-2</v>
      </c>
      <c r="H181" t="s">
        <v>1774</v>
      </c>
    </row>
    <row r="182" spans="2:8">
      <c r="B182" t="s">
        <v>367</v>
      </c>
      <c r="C182" s="67"/>
      <c r="D182" t="s">
        <v>367</v>
      </c>
      <c r="E182" s="24" t="str">
        <f t="shared" si="7"/>
        <v>Broker K</v>
      </c>
      <c r="F182">
        <v>6</v>
      </c>
      <c r="G182" s="68">
        <f t="shared" si="8"/>
        <v>2.2988505747126436E-2</v>
      </c>
      <c r="H182" t="s">
        <v>226</v>
      </c>
    </row>
    <row r="183" spans="2:8">
      <c r="B183" t="s">
        <v>421</v>
      </c>
      <c r="C183" s="67">
        <v>45419</v>
      </c>
      <c r="D183" t="s">
        <v>367</v>
      </c>
      <c r="E183" s="24" t="str">
        <f t="shared" si="7"/>
        <v>Broker K</v>
      </c>
      <c r="F183">
        <v>6</v>
      </c>
      <c r="G183" s="68">
        <f t="shared" si="8"/>
        <v>2.2988505747126436E-2</v>
      </c>
      <c r="H183" t="s">
        <v>226</v>
      </c>
    </row>
    <row r="184" spans="2:8">
      <c r="B184" t="s">
        <v>826</v>
      </c>
      <c r="C184" s="67">
        <v>45575</v>
      </c>
      <c r="D184" t="s">
        <v>367</v>
      </c>
      <c r="E184" s="24" t="str">
        <f t="shared" si="7"/>
        <v>Broker K</v>
      </c>
      <c r="F184">
        <v>6</v>
      </c>
      <c r="G184" s="68">
        <f t="shared" si="8"/>
        <v>2.2988505747126436E-2</v>
      </c>
      <c r="H184" t="s">
        <v>226</v>
      </c>
    </row>
    <row r="185" spans="2:8">
      <c r="B185" t="s">
        <v>931</v>
      </c>
      <c r="C185" s="67">
        <v>45614</v>
      </c>
      <c r="D185" t="s">
        <v>367</v>
      </c>
      <c r="E185" s="24" t="str">
        <f t="shared" si="7"/>
        <v>Broker K</v>
      </c>
      <c r="F185">
        <v>6</v>
      </c>
      <c r="G185" s="68">
        <f t="shared" si="8"/>
        <v>2.2988505747126436E-2</v>
      </c>
      <c r="H185" t="s">
        <v>226</v>
      </c>
    </row>
    <row r="186" spans="2:8">
      <c r="B186" t="s">
        <v>990</v>
      </c>
      <c r="C186" s="67">
        <v>45635</v>
      </c>
      <c r="D186" t="s">
        <v>367</v>
      </c>
      <c r="E186" s="24" t="str">
        <f t="shared" si="7"/>
        <v>Broker K</v>
      </c>
      <c r="F186">
        <v>6</v>
      </c>
      <c r="G186" s="68">
        <f t="shared" si="8"/>
        <v>2.2988505747126436E-2</v>
      </c>
      <c r="H186" t="s">
        <v>226</v>
      </c>
    </row>
    <row r="187" spans="2:8">
      <c r="B187" t="s">
        <v>468</v>
      </c>
      <c r="C187" s="67">
        <v>45446</v>
      </c>
      <c r="D187" t="s">
        <v>469</v>
      </c>
      <c r="E187" s="24" t="str">
        <f t="shared" si="7"/>
        <v>Consultoria</v>
      </c>
      <c r="F187">
        <v>6</v>
      </c>
      <c r="G187" s="68">
        <f t="shared" si="8"/>
        <v>2.2988505747126436E-2</v>
      </c>
      <c r="H187" t="s">
        <v>1261</v>
      </c>
    </row>
    <row r="188" spans="2:8">
      <c r="B188" t="s">
        <v>205</v>
      </c>
      <c r="C188" s="67">
        <v>45350</v>
      </c>
      <c r="D188" t="s">
        <v>206</v>
      </c>
      <c r="E188" s="24" t="str">
        <f t="shared" si="7"/>
        <v>Banco A</v>
      </c>
      <c r="F188">
        <v>6</v>
      </c>
      <c r="G188" s="68">
        <f t="shared" si="8"/>
        <v>2.2988505747126436E-2</v>
      </c>
      <c r="H188" t="s">
        <v>1193</v>
      </c>
    </row>
    <row r="189" spans="2:8">
      <c r="B189" t="s">
        <v>386</v>
      </c>
      <c r="C189" s="67"/>
      <c r="D189" t="s">
        <v>206</v>
      </c>
      <c r="E189" s="24" t="str">
        <f t="shared" si="7"/>
        <v>Banco A</v>
      </c>
      <c r="F189">
        <v>6</v>
      </c>
      <c r="G189" s="68">
        <f t="shared" si="8"/>
        <v>2.2988505747126436E-2</v>
      </c>
      <c r="H189" t="s">
        <v>1193</v>
      </c>
    </row>
    <row r="190" spans="2:8">
      <c r="B190" t="s">
        <v>464</v>
      </c>
      <c r="C190" s="67">
        <v>45436</v>
      </c>
      <c r="D190" t="s">
        <v>206</v>
      </c>
      <c r="E190" s="24" t="str">
        <f t="shared" si="7"/>
        <v>Banco A</v>
      </c>
      <c r="F190">
        <v>6</v>
      </c>
      <c r="G190" s="68">
        <f t="shared" si="8"/>
        <v>2.2988505747126436E-2</v>
      </c>
      <c r="H190" t="s">
        <v>1193</v>
      </c>
    </row>
    <row r="191" spans="2:8">
      <c r="B191" t="s">
        <v>464</v>
      </c>
      <c r="C191" s="67">
        <v>45453</v>
      </c>
      <c r="D191" t="s">
        <v>206</v>
      </c>
      <c r="E191" s="24" t="str">
        <f t="shared" si="7"/>
        <v>Banco A</v>
      </c>
      <c r="F191">
        <v>6</v>
      </c>
      <c r="G191" s="68">
        <f t="shared" si="8"/>
        <v>2.2988505747126436E-2</v>
      </c>
      <c r="H191" t="s">
        <v>1193</v>
      </c>
    </row>
    <row r="192" spans="2:8">
      <c r="C192" s="67">
        <v>45524</v>
      </c>
      <c r="D192" t="s">
        <v>206</v>
      </c>
      <c r="E192" s="24" t="str">
        <f t="shared" si="7"/>
        <v>Banco A</v>
      </c>
      <c r="F192">
        <v>6</v>
      </c>
      <c r="G192" s="68">
        <f t="shared" si="8"/>
        <v>2.2988505747126436E-2</v>
      </c>
      <c r="H192" t="s">
        <v>1193</v>
      </c>
    </row>
    <row r="193" spans="2:8">
      <c r="B193" t="s">
        <v>751</v>
      </c>
      <c r="C193" s="67">
        <v>45544</v>
      </c>
      <c r="D193" t="s">
        <v>206</v>
      </c>
      <c r="E193" s="24" t="str">
        <f t="shared" si="7"/>
        <v>Banco A</v>
      </c>
      <c r="F193">
        <v>6</v>
      </c>
      <c r="G193" s="68">
        <f t="shared" si="8"/>
        <v>2.2988505747126436E-2</v>
      </c>
      <c r="H193" t="s">
        <v>1193</v>
      </c>
    </row>
    <row r="194" spans="2:8">
      <c r="B194" t="s">
        <v>32</v>
      </c>
      <c r="C194" s="67">
        <v>45306</v>
      </c>
      <c r="D194" t="s">
        <v>33</v>
      </c>
      <c r="E194" s="24" t="str">
        <f t="shared" si="7"/>
        <v>Broker A</v>
      </c>
      <c r="F194">
        <v>6</v>
      </c>
      <c r="G194" s="68">
        <f t="shared" si="8"/>
        <v>2.2988505747126436E-2</v>
      </c>
      <c r="H194" t="s">
        <v>226</v>
      </c>
    </row>
    <row r="195" spans="2:8">
      <c r="B195" t="s">
        <v>449</v>
      </c>
      <c r="C195" s="67">
        <v>45436</v>
      </c>
      <c r="D195" t="s">
        <v>33</v>
      </c>
      <c r="E195" s="24" t="str">
        <f t="shared" si="7"/>
        <v>Broker A</v>
      </c>
      <c r="F195">
        <v>6</v>
      </c>
      <c r="G195" s="68">
        <f t="shared" si="8"/>
        <v>2.2988505747126436E-2</v>
      </c>
      <c r="H195" t="s">
        <v>226</v>
      </c>
    </row>
    <row r="196" spans="2:8">
      <c r="B196" t="s">
        <v>491</v>
      </c>
      <c r="C196" s="67">
        <v>45447</v>
      </c>
      <c r="D196" t="s">
        <v>33</v>
      </c>
      <c r="E196" s="24" t="str">
        <f t="shared" ref="E196:E259" si="9">+INDEX($O$3:$O$132,MATCH(D196,$N$3:$N$132,0))</f>
        <v>Broker A</v>
      </c>
      <c r="F196">
        <v>6</v>
      </c>
      <c r="G196" s="68">
        <f t="shared" ref="G196:G259" si="10">+F196/261</f>
        <v>2.2988505747126436E-2</v>
      </c>
      <c r="H196" t="s">
        <v>226</v>
      </c>
    </row>
    <row r="197" spans="2:8">
      <c r="B197" t="s">
        <v>634</v>
      </c>
      <c r="C197" s="67">
        <v>45512</v>
      </c>
      <c r="D197" t="s">
        <v>33</v>
      </c>
      <c r="E197" s="24" t="str">
        <f t="shared" si="9"/>
        <v>Broker A</v>
      </c>
      <c r="F197">
        <v>6</v>
      </c>
      <c r="G197" s="68">
        <f t="shared" si="10"/>
        <v>2.2988505747126436E-2</v>
      </c>
      <c r="H197" t="s">
        <v>226</v>
      </c>
    </row>
    <row r="198" spans="2:8">
      <c r="B198" t="s">
        <v>638</v>
      </c>
      <c r="C198" s="67">
        <v>45512</v>
      </c>
      <c r="D198" t="s">
        <v>33</v>
      </c>
      <c r="E198" s="24" t="str">
        <f t="shared" si="9"/>
        <v>Broker A</v>
      </c>
      <c r="F198">
        <v>6</v>
      </c>
      <c r="G198" s="68">
        <f t="shared" si="10"/>
        <v>2.2988505747126436E-2</v>
      </c>
      <c r="H198" t="s">
        <v>226</v>
      </c>
    </row>
    <row r="199" spans="2:8">
      <c r="B199" t="s">
        <v>747</v>
      </c>
      <c r="C199" s="67">
        <v>45544</v>
      </c>
      <c r="D199" t="s">
        <v>33</v>
      </c>
      <c r="E199" s="24" t="str">
        <f t="shared" si="9"/>
        <v>Broker A</v>
      </c>
      <c r="F199">
        <v>6</v>
      </c>
      <c r="G199" s="68">
        <f t="shared" si="10"/>
        <v>2.2988505747126436E-2</v>
      </c>
      <c r="H199" t="s">
        <v>226</v>
      </c>
    </row>
    <row r="200" spans="2:8">
      <c r="B200" t="s">
        <v>305</v>
      </c>
      <c r="C200" s="67">
        <v>45370</v>
      </c>
      <c r="D200" t="s">
        <v>306</v>
      </c>
      <c r="E200" s="24" t="str">
        <f t="shared" si="9"/>
        <v>Broker Y</v>
      </c>
      <c r="F200">
        <v>5</v>
      </c>
      <c r="G200" s="68">
        <f t="shared" si="10"/>
        <v>1.9157088122605363E-2</v>
      </c>
      <c r="H200" t="s">
        <v>226</v>
      </c>
    </row>
    <row r="201" spans="2:8">
      <c r="C201" s="67">
        <v>45575</v>
      </c>
      <c r="D201" t="s">
        <v>306</v>
      </c>
      <c r="E201" s="24" t="str">
        <f t="shared" si="9"/>
        <v>Broker Y</v>
      </c>
      <c r="F201">
        <v>5</v>
      </c>
      <c r="G201" s="68">
        <f t="shared" si="10"/>
        <v>1.9157088122605363E-2</v>
      </c>
      <c r="H201" t="s">
        <v>226</v>
      </c>
    </row>
    <row r="202" spans="2:8">
      <c r="B202" t="s">
        <v>829</v>
      </c>
      <c r="C202" s="67">
        <v>45575</v>
      </c>
      <c r="D202" t="s">
        <v>306</v>
      </c>
      <c r="E202" s="24" t="str">
        <f t="shared" si="9"/>
        <v>Broker Y</v>
      </c>
      <c r="F202">
        <v>5</v>
      </c>
      <c r="G202" s="68">
        <f t="shared" si="10"/>
        <v>1.9157088122605363E-2</v>
      </c>
      <c r="H202" t="s">
        <v>226</v>
      </c>
    </row>
    <row r="203" spans="2:8">
      <c r="B203" t="s">
        <v>928</v>
      </c>
      <c r="C203" s="67">
        <v>45614</v>
      </c>
      <c r="D203" t="s">
        <v>306</v>
      </c>
      <c r="E203" s="24" t="str">
        <f t="shared" si="9"/>
        <v>Broker Y</v>
      </c>
      <c r="F203">
        <v>5</v>
      </c>
      <c r="G203" s="68">
        <f t="shared" si="10"/>
        <v>1.9157088122605363E-2</v>
      </c>
      <c r="H203" t="s">
        <v>226</v>
      </c>
    </row>
    <row r="204" spans="2:8">
      <c r="B204" t="s">
        <v>951</v>
      </c>
      <c r="C204" s="67">
        <v>45624</v>
      </c>
      <c r="D204" t="s">
        <v>306</v>
      </c>
      <c r="E204" s="24" t="str">
        <f t="shared" si="9"/>
        <v>Broker Y</v>
      </c>
      <c r="F204">
        <v>5</v>
      </c>
      <c r="G204" s="68">
        <f t="shared" si="10"/>
        <v>1.9157088122605363E-2</v>
      </c>
      <c r="H204" t="s">
        <v>226</v>
      </c>
    </row>
    <row r="205" spans="2:8">
      <c r="B205" t="s">
        <v>87</v>
      </c>
      <c r="C205" s="67">
        <v>45322</v>
      </c>
      <c r="D205" t="s">
        <v>88</v>
      </c>
      <c r="E205" s="24" t="str">
        <f t="shared" si="9"/>
        <v>Broker E</v>
      </c>
      <c r="F205">
        <v>4</v>
      </c>
      <c r="G205" s="68">
        <f t="shared" si="10"/>
        <v>1.532567049808429E-2</v>
      </c>
      <c r="H205" t="s">
        <v>226</v>
      </c>
    </row>
    <row r="206" spans="2:8">
      <c r="B206" t="s">
        <v>100</v>
      </c>
      <c r="C206" s="67">
        <v>45322</v>
      </c>
      <c r="D206" t="s">
        <v>88</v>
      </c>
      <c r="E206" s="24" t="str">
        <f t="shared" si="9"/>
        <v>Broker E</v>
      </c>
      <c r="F206">
        <v>4</v>
      </c>
      <c r="G206" s="68">
        <f t="shared" si="10"/>
        <v>1.532567049808429E-2</v>
      </c>
      <c r="H206" t="s">
        <v>226</v>
      </c>
    </row>
    <row r="207" spans="2:8">
      <c r="B207" t="s">
        <v>148</v>
      </c>
      <c r="C207" s="67">
        <v>45338</v>
      </c>
      <c r="D207" t="s">
        <v>88</v>
      </c>
      <c r="E207" s="24" t="str">
        <f t="shared" si="9"/>
        <v>Broker E</v>
      </c>
      <c r="F207">
        <v>4</v>
      </c>
      <c r="G207" s="68">
        <f t="shared" si="10"/>
        <v>1.532567049808429E-2</v>
      </c>
      <c r="H207" t="s">
        <v>226</v>
      </c>
    </row>
    <row r="208" spans="2:8">
      <c r="B208" t="s">
        <v>248</v>
      </c>
      <c r="C208" s="67">
        <v>45365</v>
      </c>
      <c r="D208" t="s">
        <v>88</v>
      </c>
      <c r="E208" s="24" t="str">
        <f t="shared" si="9"/>
        <v>Broker E</v>
      </c>
      <c r="F208">
        <v>4</v>
      </c>
      <c r="G208" s="68">
        <f t="shared" si="10"/>
        <v>1.532567049808429E-2</v>
      </c>
      <c r="H208" t="s">
        <v>226</v>
      </c>
    </row>
    <row r="209" spans="2:8">
      <c r="B209" t="s">
        <v>778</v>
      </c>
      <c r="C209" s="67">
        <v>45558</v>
      </c>
      <c r="D209" t="s">
        <v>779</v>
      </c>
      <c r="E209" s="24" t="str">
        <f t="shared" si="9"/>
        <v>Boutique B</v>
      </c>
      <c r="F209">
        <v>4</v>
      </c>
      <c r="G209" s="68">
        <f t="shared" si="10"/>
        <v>1.532567049808429E-2</v>
      </c>
      <c r="H209" t="s">
        <v>1252</v>
      </c>
    </row>
    <row r="210" spans="2:8">
      <c r="B210" t="s">
        <v>783</v>
      </c>
      <c r="C210" s="67">
        <v>45558</v>
      </c>
      <c r="D210" t="s">
        <v>779</v>
      </c>
      <c r="E210" s="24" t="str">
        <f t="shared" si="9"/>
        <v>Boutique B</v>
      </c>
      <c r="F210">
        <v>4</v>
      </c>
      <c r="G210" s="68">
        <f t="shared" si="10"/>
        <v>1.532567049808429E-2</v>
      </c>
      <c r="H210" t="s">
        <v>1252</v>
      </c>
    </row>
    <row r="211" spans="2:8">
      <c r="B211" t="s">
        <v>833</v>
      </c>
      <c r="C211" s="67">
        <v>45582</v>
      </c>
      <c r="D211" t="s">
        <v>779</v>
      </c>
      <c r="E211" s="24" t="str">
        <f t="shared" si="9"/>
        <v>Boutique B</v>
      </c>
      <c r="F211">
        <v>4</v>
      </c>
      <c r="G211" s="68">
        <f t="shared" si="10"/>
        <v>1.532567049808429E-2</v>
      </c>
      <c r="H211" t="s">
        <v>1252</v>
      </c>
    </row>
    <row r="212" spans="2:8">
      <c r="B212" t="s">
        <v>833</v>
      </c>
      <c r="C212" s="67"/>
      <c r="D212" t="s">
        <v>779</v>
      </c>
      <c r="E212" s="24" t="str">
        <f t="shared" si="9"/>
        <v>Boutique B</v>
      </c>
      <c r="F212">
        <v>4</v>
      </c>
      <c r="G212" s="68">
        <f t="shared" si="10"/>
        <v>1.532567049808429E-2</v>
      </c>
      <c r="H212" t="s">
        <v>1252</v>
      </c>
    </row>
    <row r="213" spans="2:8">
      <c r="B213" t="s">
        <v>194</v>
      </c>
      <c r="C213" s="67"/>
      <c r="D213" t="s">
        <v>195</v>
      </c>
      <c r="E213" s="24" t="str">
        <f t="shared" si="9"/>
        <v>Broker C</v>
      </c>
      <c r="F213">
        <v>4</v>
      </c>
      <c r="G213" s="68">
        <f t="shared" si="10"/>
        <v>1.532567049808429E-2</v>
      </c>
      <c r="H213" t="s">
        <v>226</v>
      </c>
    </row>
    <row r="214" spans="2:8">
      <c r="B214" t="s">
        <v>280</v>
      </c>
      <c r="C214" s="67">
        <v>45377</v>
      </c>
      <c r="D214" t="s">
        <v>195</v>
      </c>
      <c r="E214" s="24" t="str">
        <f t="shared" si="9"/>
        <v>Broker C</v>
      </c>
      <c r="F214">
        <v>4</v>
      </c>
      <c r="G214" s="68">
        <f t="shared" si="10"/>
        <v>1.532567049808429E-2</v>
      </c>
      <c r="H214" t="s">
        <v>226</v>
      </c>
    </row>
    <row r="215" spans="2:8">
      <c r="B215" t="s">
        <v>939</v>
      </c>
      <c r="C215" s="67">
        <v>45621</v>
      </c>
      <c r="D215" t="s">
        <v>195</v>
      </c>
      <c r="E215" s="24" t="str">
        <f t="shared" si="9"/>
        <v>Broker C</v>
      </c>
      <c r="F215">
        <v>4</v>
      </c>
      <c r="G215" s="68">
        <f t="shared" si="10"/>
        <v>1.532567049808429E-2</v>
      </c>
      <c r="H215" t="s">
        <v>226</v>
      </c>
    </row>
    <row r="216" spans="2:8">
      <c r="B216" t="s">
        <v>42</v>
      </c>
      <c r="C216" s="67">
        <v>45302</v>
      </c>
      <c r="D216" t="s">
        <v>43</v>
      </c>
      <c r="E216" s="24" t="str">
        <f t="shared" si="9"/>
        <v>Broker C</v>
      </c>
      <c r="F216">
        <v>4</v>
      </c>
      <c r="G216" s="68">
        <f t="shared" si="10"/>
        <v>1.532567049808429E-2</v>
      </c>
      <c r="H216" t="s">
        <v>226</v>
      </c>
    </row>
    <row r="217" spans="2:8">
      <c r="B217" t="s">
        <v>459</v>
      </c>
      <c r="C217" s="67">
        <v>45436</v>
      </c>
      <c r="D217" t="s">
        <v>460</v>
      </c>
      <c r="E217" s="24" t="str">
        <f t="shared" si="9"/>
        <v>Escritório Adv F</v>
      </c>
      <c r="F217">
        <v>3</v>
      </c>
      <c r="G217" s="68">
        <f t="shared" si="10"/>
        <v>1.1494252873563218E-2</v>
      </c>
      <c r="H217" t="s">
        <v>1774</v>
      </c>
    </row>
    <row r="218" spans="2:8">
      <c r="B218" t="s">
        <v>459</v>
      </c>
      <c r="C218" s="67">
        <v>45498</v>
      </c>
      <c r="D218" t="s">
        <v>460</v>
      </c>
      <c r="E218" s="24" t="str">
        <f t="shared" si="9"/>
        <v>Escritório Adv F</v>
      </c>
      <c r="F218">
        <v>3</v>
      </c>
      <c r="G218" s="68">
        <f t="shared" si="10"/>
        <v>1.1494252873563218E-2</v>
      </c>
      <c r="H218" t="s">
        <v>1774</v>
      </c>
    </row>
    <row r="219" spans="2:8">
      <c r="B219" t="s">
        <v>973</v>
      </c>
      <c r="C219" s="67">
        <v>45635</v>
      </c>
      <c r="D219" t="s">
        <v>974</v>
      </c>
      <c r="E219" s="24" t="str">
        <f t="shared" si="9"/>
        <v>Escritório Adv F</v>
      </c>
      <c r="F219">
        <v>3</v>
      </c>
      <c r="G219" s="68">
        <f t="shared" si="10"/>
        <v>1.1494252873563218E-2</v>
      </c>
      <c r="H219" t="s">
        <v>1774</v>
      </c>
    </row>
    <row r="220" spans="2:8">
      <c r="B220" t="s">
        <v>374</v>
      </c>
      <c r="C220" s="67">
        <v>45391</v>
      </c>
      <c r="D220" t="s">
        <v>375</v>
      </c>
      <c r="E220" s="24" t="str">
        <f t="shared" si="9"/>
        <v>Banco B</v>
      </c>
      <c r="F220">
        <v>3</v>
      </c>
      <c r="G220" s="68">
        <f t="shared" si="10"/>
        <v>1.1494252873563218E-2</v>
      </c>
      <c r="H220" t="s">
        <v>1193</v>
      </c>
    </row>
    <row r="221" spans="2:8">
      <c r="B221" t="s">
        <v>391</v>
      </c>
      <c r="C221" s="67">
        <v>45397</v>
      </c>
      <c r="D221" t="s">
        <v>375</v>
      </c>
      <c r="E221" s="24" t="str">
        <f t="shared" si="9"/>
        <v>Banco B</v>
      </c>
      <c r="F221">
        <v>3</v>
      </c>
      <c r="G221" s="68">
        <f t="shared" si="10"/>
        <v>1.1494252873563218E-2</v>
      </c>
      <c r="H221" t="s">
        <v>1193</v>
      </c>
    </row>
    <row r="222" spans="2:8">
      <c r="B222" t="s">
        <v>658</v>
      </c>
      <c r="C222" s="67">
        <v>45520</v>
      </c>
      <c r="D222" t="s">
        <v>375</v>
      </c>
      <c r="E222" s="24" t="str">
        <f t="shared" si="9"/>
        <v>Banco B</v>
      </c>
      <c r="F222">
        <v>3</v>
      </c>
      <c r="G222" s="68">
        <f t="shared" si="10"/>
        <v>1.1494252873563218E-2</v>
      </c>
      <c r="H222" t="s">
        <v>1193</v>
      </c>
    </row>
    <row r="223" spans="2:8">
      <c r="B223" t="s">
        <v>21</v>
      </c>
      <c r="C223" s="67">
        <v>45303</v>
      </c>
      <c r="D223" t="s">
        <v>22</v>
      </c>
      <c r="E223" s="24" t="str">
        <f t="shared" si="9"/>
        <v>Broker V</v>
      </c>
      <c r="F223">
        <v>3</v>
      </c>
      <c r="G223" s="68">
        <f t="shared" si="10"/>
        <v>1.1494252873563218E-2</v>
      </c>
      <c r="H223" t="s">
        <v>226</v>
      </c>
    </row>
    <row r="224" spans="2:8">
      <c r="B224" t="s">
        <v>26</v>
      </c>
      <c r="C224" s="67">
        <v>45307</v>
      </c>
      <c r="D224" t="s">
        <v>22</v>
      </c>
      <c r="E224" s="24" t="str">
        <f t="shared" si="9"/>
        <v>Broker V</v>
      </c>
      <c r="F224">
        <v>3</v>
      </c>
      <c r="G224" s="68">
        <f t="shared" si="10"/>
        <v>1.1494252873563218E-2</v>
      </c>
      <c r="H224" t="s">
        <v>226</v>
      </c>
    </row>
    <row r="225" spans="2:8">
      <c r="B225" t="s">
        <v>104</v>
      </c>
      <c r="C225" s="67">
        <v>45323</v>
      </c>
      <c r="D225" t="s">
        <v>22</v>
      </c>
      <c r="E225" s="24" t="str">
        <f t="shared" si="9"/>
        <v>Broker V</v>
      </c>
      <c r="F225">
        <v>3</v>
      </c>
      <c r="G225" s="68">
        <f t="shared" si="10"/>
        <v>1.1494252873563218E-2</v>
      </c>
      <c r="H225" t="s">
        <v>226</v>
      </c>
    </row>
    <row r="226" spans="2:8">
      <c r="B226" t="s">
        <v>264</v>
      </c>
      <c r="C226" s="67">
        <v>45366</v>
      </c>
      <c r="D226" t="s">
        <v>265</v>
      </c>
      <c r="E226" s="24" t="str">
        <f t="shared" si="9"/>
        <v>Escritório Adv C</v>
      </c>
      <c r="F226">
        <v>3</v>
      </c>
      <c r="G226" s="68">
        <f t="shared" si="10"/>
        <v>1.1494252873563218E-2</v>
      </c>
      <c r="H226" t="s">
        <v>1774</v>
      </c>
    </row>
    <row r="227" spans="2:8">
      <c r="C227" s="67">
        <v>45366</v>
      </c>
      <c r="D227" t="s">
        <v>265</v>
      </c>
      <c r="E227" s="24" t="str">
        <f t="shared" si="9"/>
        <v>Escritório Adv C</v>
      </c>
      <c r="F227">
        <v>3</v>
      </c>
      <c r="G227" s="68">
        <f t="shared" si="10"/>
        <v>1.1494252873563218E-2</v>
      </c>
      <c r="H227" t="s">
        <v>1774</v>
      </c>
    </row>
    <row r="228" spans="2:8">
      <c r="B228" t="s">
        <v>271</v>
      </c>
      <c r="C228" s="67">
        <v>45366</v>
      </c>
      <c r="D228" t="s">
        <v>265</v>
      </c>
      <c r="E228" s="24" t="str">
        <f t="shared" si="9"/>
        <v>Escritório Adv C</v>
      </c>
      <c r="F228">
        <v>3</v>
      </c>
      <c r="G228" s="68">
        <f t="shared" si="10"/>
        <v>1.1494252873563218E-2</v>
      </c>
      <c r="H228" t="s">
        <v>1774</v>
      </c>
    </row>
    <row r="229" spans="2:8">
      <c r="B229" t="s">
        <v>107</v>
      </c>
      <c r="C229" s="67">
        <v>45329</v>
      </c>
      <c r="D229" t="s">
        <v>108</v>
      </c>
      <c r="E229" s="24" t="str">
        <f t="shared" si="9"/>
        <v>Asset A</v>
      </c>
      <c r="F229">
        <v>2</v>
      </c>
      <c r="G229" s="68">
        <f t="shared" si="10"/>
        <v>7.6628352490421452E-3</v>
      </c>
      <c r="H229" t="s">
        <v>872</v>
      </c>
    </row>
    <row r="230" spans="2:8">
      <c r="B230" t="s">
        <v>53</v>
      </c>
      <c r="C230" s="67">
        <v>45315</v>
      </c>
      <c r="D230" t="s">
        <v>54</v>
      </c>
      <c r="E230" s="24" t="str">
        <f t="shared" si="9"/>
        <v>Asset A</v>
      </c>
      <c r="F230">
        <v>2</v>
      </c>
      <c r="G230" s="68">
        <f t="shared" si="10"/>
        <v>7.6628352490421452E-3</v>
      </c>
      <c r="H230" t="s">
        <v>872</v>
      </c>
    </row>
    <row r="231" spans="2:8">
      <c r="B231" t="s">
        <v>621</v>
      </c>
      <c r="C231" s="67">
        <v>45505</v>
      </c>
      <c r="D231" t="s">
        <v>622</v>
      </c>
      <c r="E231" s="24" t="str">
        <f t="shared" si="9"/>
        <v>Broker N</v>
      </c>
      <c r="F231">
        <v>2</v>
      </c>
      <c r="G231" s="68">
        <f t="shared" si="10"/>
        <v>7.6628352490421452E-3</v>
      </c>
      <c r="H231" t="s">
        <v>1774</v>
      </c>
    </row>
    <row r="232" spans="2:8">
      <c r="C232" s="67">
        <v>45534</v>
      </c>
      <c r="D232" t="s">
        <v>622</v>
      </c>
      <c r="E232" s="24" t="str">
        <f t="shared" si="9"/>
        <v>Broker N</v>
      </c>
      <c r="F232">
        <v>2</v>
      </c>
      <c r="G232" s="68">
        <f t="shared" si="10"/>
        <v>7.6628352490421452E-3</v>
      </c>
      <c r="H232" t="s">
        <v>1774</v>
      </c>
    </row>
    <row r="233" spans="2:8">
      <c r="B233" t="s">
        <v>441</v>
      </c>
      <c r="C233" s="67">
        <v>45432</v>
      </c>
      <c r="D233" t="s">
        <v>442</v>
      </c>
      <c r="E233" s="24" t="str">
        <f t="shared" si="9"/>
        <v>Broker J</v>
      </c>
      <c r="F233">
        <v>2</v>
      </c>
      <c r="G233" s="68">
        <f t="shared" si="10"/>
        <v>7.6628352490421452E-3</v>
      </c>
      <c r="H233" t="s">
        <v>226</v>
      </c>
    </row>
    <row r="234" spans="2:8">
      <c r="B234" t="s">
        <v>593</v>
      </c>
      <c r="C234" s="67">
        <v>45503</v>
      </c>
      <c r="D234" t="s">
        <v>442</v>
      </c>
      <c r="E234" s="24" t="str">
        <f t="shared" si="9"/>
        <v>Broker J</v>
      </c>
      <c r="F234">
        <v>2</v>
      </c>
      <c r="G234" s="68">
        <f t="shared" si="10"/>
        <v>7.6628352490421452E-3</v>
      </c>
      <c r="H234" t="s">
        <v>226</v>
      </c>
    </row>
    <row r="235" spans="2:8">
      <c r="B235" t="s">
        <v>92</v>
      </c>
      <c r="C235" s="67">
        <v>45322</v>
      </c>
      <c r="D235" t="s">
        <v>93</v>
      </c>
      <c r="E235" s="24" t="str">
        <f t="shared" si="9"/>
        <v>Asset B</v>
      </c>
      <c r="F235">
        <v>2</v>
      </c>
      <c r="G235" s="68">
        <f t="shared" si="10"/>
        <v>7.6628352490421452E-3</v>
      </c>
      <c r="H235" t="s">
        <v>872</v>
      </c>
    </row>
    <row r="236" spans="2:8">
      <c r="B236" t="s">
        <v>143</v>
      </c>
      <c r="C236" s="67">
        <v>45344</v>
      </c>
      <c r="D236" t="s">
        <v>144</v>
      </c>
      <c r="E236" s="24" t="str">
        <f t="shared" si="9"/>
        <v>Escritório Adv A</v>
      </c>
      <c r="F236">
        <v>2</v>
      </c>
      <c r="G236" s="68">
        <f t="shared" si="10"/>
        <v>7.6628352490421452E-3</v>
      </c>
      <c r="H236" t="s">
        <v>1774</v>
      </c>
    </row>
    <row r="237" spans="2:8">
      <c r="B237" t="s">
        <v>301</v>
      </c>
      <c r="C237" s="67">
        <v>45366</v>
      </c>
      <c r="D237" t="s">
        <v>144</v>
      </c>
      <c r="E237" s="24" t="str">
        <f t="shared" si="9"/>
        <v>Escritório Adv A</v>
      </c>
      <c r="F237">
        <v>2</v>
      </c>
      <c r="G237" s="68">
        <f t="shared" si="10"/>
        <v>7.6628352490421452E-3</v>
      </c>
      <c r="H237" t="s">
        <v>1774</v>
      </c>
    </row>
    <row r="238" spans="2:8">
      <c r="B238" t="s">
        <v>138</v>
      </c>
      <c r="C238" s="67">
        <v>45337</v>
      </c>
      <c r="D238" t="s">
        <v>139</v>
      </c>
      <c r="E238" s="24" t="str">
        <f t="shared" si="9"/>
        <v>Asset B</v>
      </c>
      <c r="F238">
        <v>2</v>
      </c>
      <c r="G238" s="68">
        <f t="shared" si="10"/>
        <v>7.6628352490421452E-3</v>
      </c>
      <c r="H238" t="s">
        <v>872</v>
      </c>
    </row>
    <row r="239" spans="2:8">
      <c r="B239" t="s">
        <v>693</v>
      </c>
      <c r="C239" s="67">
        <v>45530</v>
      </c>
      <c r="D239" t="s">
        <v>694</v>
      </c>
      <c r="E239" s="24" t="str">
        <f t="shared" si="9"/>
        <v>Broker P</v>
      </c>
      <c r="F239">
        <v>1</v>
      </c>
      <c r="G239" s="68">
        <f t="shared" si="10"/>
        <v>3.8314176245210726E-3</v>
      </c>
      <c r="H239" t="s">
        <v>226</v>
      </c>
    </row>
    <row r="240" spans="2:8">
      <c r="C240" s="67">
        <v>45527</v>
      </c>
      <c r="D240" t="s">
        <v>678</v>
      </c>
      <c r="E240" s="24" t="str">
        <f t="shared" si="9"/>
        <v>Originação própria</v>
      </c>
      <c r="F240">
        <v>1</v>
      </c>
      <c r="G240" s="68">
        <f t="shared" si="10"/>
        <v>3.8314176245210726E-3</v>
      </c>
      <c r="H240" t="s">
        <v>1767</v>
      </c>
    </row>
    <row r="241" spans="2:8">
      <c r="B241" t="s">
        <v>48</v>
      </c>
      <c r="C241" s="67">
        <v>45306</v>
      </c>
      <c r="D241" t="s">
        <v>49</v>
      </c>
      <c r="E241" s="24" t="str">
        <f t="shared" si="9"/>
        <v>Broker D</v>
      </c>
      <c r="F241">
        <v>1</v>
      </c>
      <c r="G241" s="68">
        <f t="shared" si="10"/>
        <v>3.8314176245210726E-3</v>
      </c>
      <c r="H241" t="s">
        <v>226</v>
      </c>
    </row>
    <row r="242" spans="2:8">
      <c r="C242" s="67">
        <v>45534</v>
      </c>
      <c r="D242" t="s">
        <v>712</v>
      </c>
      <c r="E242" s="24">
        <f t="shared" si="9"/>
        <v>0</v>
      </c>
      <c r="F242">
        <v>1</v>
      </c>
      <c r="G242" s="68">
        <f t="shared" si="10"/>
        <v>3.8314176245210726E-3</v>
      </c>
      <c r="H242" t="s">
        <v>1767</v>
      </c>
    </row>
    <row r="243" spans="2:8">
      <c r="B243" t="s">
        <v>370</v>
      </c>
      <c r="C243" s="67">
        <v>45385</v>
      </c>
      <c r="D243" t="s">
        <v>1193</v>
      </c>
      <c r="E243" s="24" t="str">
        <f t="shared" si="9"/>
        <v>Banco C</v>
      </c>
      <c r="F243">
        <v>1</v>
      </c>
      <c r="G243" s="68">
        <f t="shared" si="10"/>
        <v>3.8314176245210726E-3</v>
      </c>
      <c r="H243" t="s">
        <v>1193</v>
      </c>
    </row>
    <row r="244" spans="2:8">
      <c r="C244" s="67"/>
      <c r="D244" t="s">
        <v>553</v>
      </c>
      <c r="E244" s="24" t="str">
        <f t="shared" si="9"/>
        <v>Banco D</v>
      </c>
      <c r="F244">
        <v>1</v>
      </c>
      <c r="G244" s="68">
        <f t="shared" si="10"/>
        <v>3.8314176245210726E-3</v>
      </c>
      <c r="H244" t="s">
        <v>1193</v>
      </c>
    </row>
    <row r="245" spans="2:8">
      <c r="B245" t="s">
        <v>661</v>
      </c>
      <c r="C245" s="67">
        <v>45520</v>
      </c>
      <c r="D245" t="s">
        <v>662</v>
      </c>
      <c r="E245" s="24" t="str">
        <f t="shared" si="9"/>
        <v>Banco E</v>
      </c>
      <c r="F245">
        <v>1</v>
      </c>
      <c r="G245" s="68">
        <f t="shared" si="10"/>
        <v>3.8314176245210726E-3</v>
      </c>
      <c r="H245" t="s">
        <v>1193</v>
      </c>
    </row>
    <row r="246" spans="2:8">
      <c r="B246" t="s">
        <v>283</v>
      </c>
      <c r="C246" s="67">
        <v>45366</v>
      </c>
      <c r="D246" t="s">
        <v>284</v>
      </c>
      <c r="E246" s="24" t="str">
        <f t="shared" si="9"/>
        <v>Asset D</v>
      </c>
      <c r="F246">
        <v>1</v>
      </c>
      <c r="G246" s="68">
        <f t="shared" si="10"/>
        <v>3.8314176245210726E-3</v>
      </c>
      <c r="H246" t="s">
        <v>872</v>
      </c>
    </row>
    <row r="247" spans="2:8">
      <c r="B247" t="s">
        <v>330</v>
      </c>
      <c r="C247" s="67">
        <v>45384</v>
      </c>
      <c r="D247" t="s">
        <v>331</v>
      </c>
      <c r="E247" s="24" t="str">
        <f t="shared" si="9"/>
        <v>Escritório Adv E</v>
      </c>
      <c r="F247">
        <v>1</v>
      </c>
      <c r="G247" s="68">
        <f t="shared" si="10"/>
        <v>3.8314176245210726E-3</v>
      </c>
      <c r="H247" t="s">
        <v>1774</v>
      </c>
    </row>
    <row r="248" spans="2:8">
      <c r="B248" t="s">
        <v>210</v>
      </c>
      <c r="C248" s="67">
        <v>45358</v>
      </c>
      <c r="D248" t="s">
        <v>211</v>
      </c>
      <c r="E248" s="24" t="str">
        <f t="shared" si="9"/>
        <v>Consultoria D</v>
      </c>
      <c r="F248">
        <v>1</v>
      </c>
      <c r="G248" s="68">
        <f t="shared" si="10"/>
        <v>3.8314176245210726E-3</v>
      </c>
      <c r="H248" t="s">
        <v>1261</v>
      </c>
    </row>
    <row r="249" spans="2:8">
      <c r="B249" t="s">
        <v>64</v>
      </c>
      <c r="C249" s="67">
        <v>45315</v>
      </c>
      <c r="D249" t="s">
        <v>65</v>
      </c>
      <c r="E249" s="24" t="str">
        <f t="shared" si="9"/>
        <v>Boutique A</v>
      </c>
      <c r="F249">
        <v>1</v>
      </c>
      <c r="G249" s="68">
        <f t="shared" si="10"/>
        <v>3.8314176245210726E-3</v>
      </c>
      <c r="H249" t="s">
        <v>1252</v>
      </c>
    </row>
    <row r="250" spans="2:8">
      <c r="B250" t="s">
        <v>162</v>
      </c>
      <c r="C250" s="67">
        <v>45338</v>
      </c>
      <c r="D250" t="s">
        <v>163</v>
      </c>
      <c r="E250" s="24" t="str">
        <f t="shared" si="9"/>
        <v>Consultoria C</v>
      </c>
      <c r="F250">
        <v>1</v>
      </c>
      <c r="G250" s="68">
        <f t="shared" si="10"/>
        <v>3.8314176245210726E-3</v>
      </c>
      <c r="H250" t="s">
        <v>1261</v>
      </c>
    </row>
    <row r="251" spans="2:8">
      <c r="B251" t="s">
        <v>184</v>
      </c>
      <c r="C251" s="67">
        <v>45345</v>
      </c>
      <c r="D251" t="s">
        <v>185</v>
      </c>
      <c r="E251" s="24" t="str">
        <f t="shared" si="9"/>
        <v>Broker G</v>
      </c>
      <c r="F251">
        <v>1</v>
      </c>
      <c r="G251" s="68">
        <f t="shared" si="10"/>
        <v>3.8314176245210726E-3</v>
      </c>
      <c r="H251" t="s">
        <v>226</v>
      </c>
    </row>
    <row r="252" spans="2:8">
      <c r="B252" t="s">
        <v>118</v>
      </c>
      <c r="C252" s="67">
        <v>45330</v>
      </c>
      <c r="D252" t="s">
        <v>119</v>
      </c>
      <c r="E252" s="24" t="str">
        <f t="shared" si="9"/>
        <v>Consultoria A</v>
      </c>
      <c r="F252">
        <v>1</v>
      </c>
      <c r="G252" s="68">
        <f t="shared" si="10"/>
        <v>3.8314176245210726E-3</v>
      </c>
      <c r="H252" t="s">
        <v>1261</v>
      </c>
    </row>
    <row r="253" spans="2:8">
      <c r="B253" t="s">
        <v>879</v>
      </c>
      <c r="C253" s="67">
        <v>45594</v>
      </c>
      <c r="D253" t="s">
        <v>880</v>
      </c>
      <c r="E253" s="24" t="str">
        <f t="shared" si="9"/>
        <v>Broker S</v>
      </c>
      <c r="F253">
        <v>1</v>
      </c>
      <c r="G253" s="68">
        <f t="shared" si="10"/>
        <v>3.8314176245210726E-3</v>
      </c>
      <c r="H253" t="s">
        <v>226</v>
      </c>
    </row>
    <row r="254" spans="2:8">
      <c r="B254" t="s">
        <v>418</v>
      </c>
      <c r="C254" s="67">
        <v>45415</v>
      </c>
      <c r="D254" t="s">
        <v>418</v>
      </c>
      <c r="E254" s="24" t="str">
        <f t="shared" si="9"/>
        <v>Broker I</v>
      </c>
      <c r="F254">
        <v>1</v>
      </c>
      <c r="G254" s="68">
        <f t="shared" si="10"/>
        <v>3.8314176245210726E-3</v>
      </c>
      <c r="H254" t="s">
        <v>226</v>
      </c>
    </row>
    <row r="255" spans="2:8">
      <c r="B255" t="s">
        <v>597</v>
      </c>
      <c r="C255" s="67">
        <v>45503</v>
      </c>
      <c r="D255" t="s">
        <v>598</v>
      </c>
      <c r="E255" s="24" t="str">
        <f t="shared" si="9"/>
        <v>Broker M</v>
      </c>
      <c r="F255">
        <v>1</v>
      </c>
      <c r="G255" s="68">
        <f t="shared" si="10"/>
        <v>3.8314176245210726E-3</v>
      </c>
      <c r="H255" t="s">
        <v>226</v>
      </c>
    </row>
    <row r="256" spans="2:8">
      <c r="B256" t="s">
        <v>486</v>
      </c>
      <c r="C256" s="67">
        <v>45441</v>
      </c>
      <c r="D256" t="s">
        <v>487</v>
      </c>
      <c r="E256" s="24" t="str">
        <f t="shared" si="9"/>
        <v>Broker L</v>
      </c>
      <c r="F256">
        <v>1</v>
      </c>
      <c r="G256" s="68">
        <f t="shared" si="10"/>
        <v>3.8314176245210726E-3</v>
      </c>
      <c r="H256" t="s">
        <v>226</v>
      </c>
    </row>
    <row r="257" spans="2:8">
      <c r="B257" t="s">
        <v>128</v>
      </c>
      <c r="C257" s="67"/>
      <c r="D257" t="s">
        <v>129</v>
      </c>
      <c r="E257" s="24" t="str">
        <f t="shared" si="9"/>
        <v>Broker F</v>
      </c>
      <c r="F257">
        <v>1</v>
      </c>
      <c r="G257" s="68">
        <f t="shared" si="10"/>
        <v>3.8314176245210726E-3</v>
      </c>
      <c r="H257" t="s">
        <v>226</v>
      </c>
    </row>
    <row r="258" spans="2:8">
      <c r="B258" t="s">
        <v>113</v>
      </c>
      <c r="C258" s="67">
        <v>45329</v>
      </c>
      <c r="D258" t="s">
        <v>114</v>
      </c>
      <c r="E258" s="24" t="str">
        <f t="shared" si="9"/>
        <v>Banco F</v>
      </c>
      <c r="F258">
        <v>1</v>
      </c>
      <c r="G258" s="68">
        <f t="shared" si="10"/>
        <v>3.8314176245210726E-3</v>
      </c>
      <c r="H258" t="s">
        <v>1193</v>
      </c>
    </row>
    <row r="259" spans="2:8">
      <c r="B259" t="s">
        <v>917</v>
      </c>
      <c r="C259" s="67">
        <v>45609</v>
      </c>
      <c r="D259" t="s">
        <v>918</v>
      </c>
      <c r="E259" s="24" t="str">
        <f t="shared" si="9"/>
        <v>Broker T</v>
      </c>
      <c r="F259">
        <v>1</v>
      </c>
      <c r="G259" s="68">
        <f t="shared" si="10"/>
        <v>3.8314176245210726E-3</v>
      </c>
      <c r="H259" t="s">
        <v>226</v>
      </c>
    </row>
    <row r="260" spans="2:8">
      <c r="B260" t="s">
        <v>274</v>
      </c>
      <c r="C260" s="67">
        <v>45366</v>
      </c>
      <c r="D260" t="s">
        <v>275</v>
      </c>
      <c r="E260" s="24" t="str">
        <f t="shared" ref="E260:E264" si="11">+INDEX($O$3:$O$132,MATCH(D260,$N$3:$N$132,0))</f>
        <v>Asset C</v>
      </c>
      <c r="F260">
        <v>1</v>
      </c>
      <c r="G260" s="68">
        <f t="shared" ref="G260:G263" si="12">+F260/261</f>
        <v>3.8314176245210726E-3</v>
      </c>
      <c r="H260" t="s">
        <v>872</v>
      </c>
    </row>
    <row r="261" spans="2:8">
      <c r="C261" s="67">
        <v>45582</v>
      </c>
      <c r="D261" t="s">
        <v>832</v>
      </c>
      <c r="E261" s="24" t="str">
        <f t="shared" si="11"/>
        <v>Broker R</v>
      </c>
      <c r="F261">
        <v>1</v>
      </c>
      <c r="G261" s="68">
        <f t="shared" si="12"/>
        <v>3.8314176245210726E-3</v>
      </c>
      <c r="H261" t="s">
        <v>226</v>
      </c>
    </row>
    <row r="262" spans="2:8">
      <c r="B262" t="s">
        <v>199</v>
      </c>
      <c r="C262" s="67">
        <v>45349</v>
      </c>
      <c r="D262" t="s">
        <v>200</v>
      </c>
      <c r="E262" s="24" t="str">
        <f t="shared" si="11"/>
        <v>Escritório Adv B</v>
      </c>
      <c r="F262">
        <v>1</v>
      </c>
      <c r="G262" s="68">
        <f t="shared" si="12"/>
        <v>3.8314176245210726E-3</v>
      </c>
      <c r="H262" t="s">
        <v>1774</v>
      </c>
    </row>
    <row r="263" spans="2:8">
      <c r="B263" t="s">
        <v>315</v>
      </c>
      <c r="C263" s="67">
        <v>45376</v>
      </c>
      <c r="D263" t="s">
        <v>316</v>
      </c>
      <c r="E263" s="24" t="str">
        <f t="shared" si="11"/>
        <v>Broker H</v>
      </c>
      <c r="F263">
        <v>1</v>
      </c>
      <c r="G263" s="68">
        <f t="shared" si="12"/>
        <v>3.8314176245210726E-3</v>
      </c>
      <c r="H263" t="s">
        <v>226</v>
      </c>
    </row>
    <row r="264" spans="2:8">
      <c r="B264" t="s">
        <v>343</v>
      </c>
      <c r="C264" s="67">
        <v>45390</v>
      </c>
      <c r="D264" t="s">
        <v>344</v>
      </c>
      <c r="E264" s="24" t="str">
        <f t="shared" si="11"/>
        <v>Asset E</v>
      </c>
      <c r="F264">
        <v>1</v>
      </c>
      <c r="G264" s="68">
        <f>+F264/261</f>
        <v>3.8314176245210726E-3</v>
      </c>
      <c r="H264" t="s">
        <v>872</v>
      </c>
    </row>
  </sheetData>
  <autoFilter ref="B3:H264" xr:uid="{088AC168-D983-4C55-9438-15D89976DB95}"/>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BE53-B570-469A-B513-C0FB20416EFF}">
  <sheetPr codeName="Sheet8"/>
  <dimension ref="B1:M369"/>
  <sheetViews>
    <sheetView showGridLines="0" zoomScaleNormal="100" workbookViewId="0">
      <selection activeCell="D44" sqref="D44"/>
    </sheetView>
  </sheetViews>
  <sheetFormatPr defaultRowHeight="14.4" outlineLevelRow="1" outlineLevelCol="1"/>
  <cols>
    <col min="1" max="1" width="2.5546875" customWidth="1"/>
    <col min="2" max="2" width="3" bestFit="1" customWidth="1"/>
    <col min="3" max="3" width="28.88671875" customWidth="1"/>
    <col min="4" max="4" width="33.5546875" customWidth="1"/>
    <col min="5" max="5" width="10.88671875" customWidth="1"/>
    <col min="6" max="6" width="22.5546875" hidden="1" customWidth="1" outlineLevel="1"/>
    <col min="7" max="7" width="78.5546875" bestFit="1" customWidth="1" collapsed="1"/>
    <col min="8" max="8" width="26.109375" hidden="1" customWidth="1" outlineLevel="1"/>
    <col min="9" max="9" width="26.109375" customWidth="1" outlineLevel="1"/>
    <col min="12" max="12" width="45.109375" hidden="1" customWidth="1" outlineLevel="1"/>
    <col min="13" max="13" width="9.109375" collapsed="1"/>
  </cols>
  <sheetData>
    <row r="1" spans="2:9" ht="9.75" customHeight="1"/>
    <row r="2" spans="2:9" ht="15.6" hidden="1" outlineLevel="1">
      <c r="B2" s="51" t="s">
        <v>7</v>
      </c>
      <c r="C2" s="51" t="s">
        <v>8</v>
      </c>
      <c r="D2" s="51" t="s">
        <v>9</v>
      </c>
      <c r="E2" s="51" t="s">
        <v>1826</v>
      </c>
      <c r="F2" s="51" t="s">
        <v>1827</v>
      </c>
      <c r="G2" s="51" t="s">
        <v>14</v>
      </c>
      <c r="H2" s="51" t="s">
        <v>16</v>
      </c>
      <c r="I2" s="132"/>
    </row>
    <row r="3" spans="2:9" ht="28.8" hidden="1" outlineLevel="1">
      <c r="B3" s="48">
        <v>1</v>
      </c>
      <c r="C3" s="26" t="s">
        <v>297</v>
      </c>
      <c r="D3" s="26" t="s">
        <v>693</v>
      </c>
      <c r="E3" s="73">
        <v>45530</v>
      </c>
      <c r="F3" s="25" t="s">
        <v>226</v>
      </c>
      <c r="G3" s="2" t="s">
        <v>1828</v>
      </c>
      <c r="H3" s="25" t="s">
        <v>576</v>
      </c>
      <c r="I3" s="25"/>
    </row>
    <row r="4" spans="2:9" hidden="1" outlineLevel="1">
      <c r="B4" s="48">
        <f t="shared" ref="B4:B34" si="0">+B3+1</f>
        <v>2</v>
      </c>
      <c r="C4" s="26" t="s">
        <v>695</v>
      </c>
      <c r="D4" s="26" t="s">
        <v>801</v>
      </c>
      <c r="E4" s="73">
        <v>45567</v>
      </c>
      <c r="F4" s="25" t="s">
        <v>802</v>
      </c>
      <c r="G4" s="26" t="s">
        <v>1829</v>
      </c>
      <c r="H4" s="25" t="s">
        <v>122</v>
      </c>
      <c r="I4" s="25"/>
    </row>
    <row r="5" spans="2:9" ht="43.2" hidden="1" outlineLevel="1">
      <c r="B5" s="48">
        <f t="shared" si="0"/>
        <v>3</v>
      </c>
      <c r="C5" s="26" t="s">
        <v>96</v>
      </c>
      <c r="D5" s="26" t="s">
        <v>870</v>
      </c>
      <c r="E5" s="73">
        <v>45597</v>
      </c>
      <c r="F5" s="25" t="s">
        <v>871</v>
      </c>
      <c r="G5" s="2" t="s">
        <v>1830</v>
      </c>
      <c r="H5" s="25" t="s">
        <v>576</v>
      </c>
      <c r="I5" s="25"/>
    </row>
    <row r="6" spans="2:9" ht="28.8" hidden="1" outlineLevel="1">
      <c r="B6" s="48">
        <f t="shared" si="0"/>
        <v>4</v>
      </c>
      <c r="C6" s="26" t="s">
        <v>434</v>
      </c>
      <c r="D6" s="26" t="s">
        <v>906</v>
      </c>
      <c r="E6" s="73">
        <v>45597</v>
      </c>
      <c r="F6" s="25" t="s">
        <v>76</v>
      </c>
      <c r="G6" s="2" t="s">
        <v>1831</v>
      </c>
      <c r="H6" s="25" t="s">
        <v>576</v>
      </c>
      <c r="I6" s="25"/>
    </row>
    <row r="7" spans="2:9" hidden="1" outlineLevel="1">
      <c r="B7" s="48">
        <f t="shared" si="0"/>
        <v>5</v>
      </c>
      <c r="C7" s="26" t="s">
        <v>329</v>
      </c>
      <c r="D7" s="26" t="s">
        <v>923</v>
      </c>
      <c r="E7" s="73">
        <v>45614</v>
      </c>
      <c r="F7" s="25" t="s">
        <v>76</v>
      </c>
      <c r="G7" s="26" t="s">
        <v>1832</v>
      </c>
      <c r="H7" s="25" t="s">
        <v>1034</v>
      </c>
      <c r="I7" s="25"/>
    </row>
    <row r="8" spans="2:9" ht="43.2" hidden="1" outlineLevel="1">
      <c r="B8" s="48">
        <f t="shared" si="0"/>
        <v>6</v>
      </c>
      <c r="C8" s="26" t="s">
        <v>440</v>
      </c>
      <c r="D8" s="26" t="s">
        <v>964</v>
      </c>
      <c r="E8" s="73">
        <v>45636</v>
      </c>
      <c r="F8" s="25" t="s">
        <v>76</v>
      </c>
      <c r="G8" s="2" t="s">
        <v>1833</v>
      </c>
      <c r="H8" s="25" t="s">
        <v>576</v>
      </c>
      <c r="I8" s="25"/>
    </row>
    <row r="9" spans="2:9" ht="28.5" hidden="1" customHeight="1" outlineLevel="1">
      <c r="B9" s="48">
        <f t="shared" si="0"/>
        <v>7</v>
      </c>
      <c r="C9" s="26" t="s">
        <v>297</v>
      </c>
      <c r="D9" s="26" t="s">
        <v>1028</v>
      </c>
      <c r="E9" s="73">
        <v>45643</v>
      </c>
      <c r="F9" s="26" t="s">
        <v>802</v>
      </c>
      <c r="G9" s="2" t="s">
        <v>1834</v>
      </c>
      <c r="H9" s="25" t="s">
        <v>90</v>
      </c>
      <c r="I9" s="25"/>
    </row>
    <row r="10" spans="2:9" hidden="1" outlineLevel="1">
      <c r="B10" s="48">
        <f t="shared" si="0"/>
        <v>8</v>
      </c>
      <c r="C10" s="26" t="s">
        <v>1036</v>
      </c>
      <c r="D10" s="26" t="s">
        <v>1037</v>
      </c>
      <c r="E10" s="73">
        <v>45663</v>
      </c>
      <c r="F10" s="25" t="s">
        <v>1835</v>
      </c>
      <c r="G10" s="2" t="s">
        <v>1836</v>
      </c>
      <c r="H10" s="25" t="s">
        <v>1034</v>
      </c>
      <c r="I10" s="25"/>
    </row>
    <row r="11" spans="2:9" hidden="1" outlineLevel="1">
      <c r="B11" s="48">
        <f t="shared" si="0"/>
        <v>9</v>
      </c>
      <c r="C11" s="26" t="s">
        <v>1045</v>
      </c>
      <c r="D11" s="26" t="s">
        <v>1063</v>
      </c>
      <c r="E11" s="73">
        <v>45674</v>
      </c>
      <c r="F11" s="25" t="s">
        <v>1837</v>
      </c>
      <c r="G11" s="26" t="s">
        <v>1838</v>
      </c>
      <c r="H11" s="25" t="s">
        <v>1034</v>
      </c>
      <c r="I11" s="25"/>
    </row>
    <row r="12" spans="2:9" ht="28.8" hidden="1" outlineLevel="1">
      <c r="B12" s="48">
        <f t="shared" si="0"/>
        <v>10</v>
      </c>
      <c r="C12" s="26" t="s">
        <v>1045</v>
      </c>
      <c r="D12" s="26" t="s">
        <v>1078</v>
      </c>
      <c r="E12" s="73">
        <v>45680</v>
      </c>
      <c r="F12" s="3" t="s">
        <v>1839</v>
      </c>
      <c r="G12" s="26" t="s">
        <v>1840</v>
      </c>
      <c r="H12" s="25" t="s">
        <v>73</v>
      </c>
      <c r="I12" s="25"/>
    </row>
    <row r="13" spans="2:9" hidden="1" outlineLevel="1">
      <c r="B13" s="48">
        <f t="shared" si="0"/>
        <v>11</v>
      </c>
      <c r="C13" s="26" t="s">
        <v>1105</v>
      </c>
      <c r="D13" s="26" t="s">
        <v>1106</v>
      </c>
      <c r="E13" s="73">
        <v>45684</v>
      </c>
      <c r="F13" s="25" t="s">
        <v>1837</v>
      </c>
      <c r="G13" s="26" t="s">
        <v>1841</v>
      </c>
      <c r="H13" s="25" t="s">
        <v>1842</v>
      </c>
      <c r="I13" s="25"/>
    </row>
    <row r="14" spans="2:9" ht="43.2" hidden="1" outlineLevel="1">
      <c r="B14" s="48">
        <f t="shared" si="0"/>
        <v>12</v>
      </c>
      <c r="C14" s="26" t="s">
        <v>329</v>
      </c>
      <c r="D14" s="26" t="s">
        <v>1114</v>
      </c>
      <c r="E14" s="73">
        <v>45687</v>
      </c>
      <c r="F14" s="25" t="s">
        <v>226</v>
      </c>
      <c r="G14" s="2" t="s">
        <v>1843</v>
      </c>
      <c r="H14" s="25" t="s">
        <v>73</v>
      </c>
      <c r="I14" s="25"/>
    </row>
    <row r="15" spans="2:9" hidden="1" outlineLevel="1">
      <c r="B15" s="48">
        <f t="shared" si="0"/>
        <v>13</v>
      </c>
      <c r="C15" s="26" t="s">
        <v>297</v>
      </c>
      <c r="D15" s="26" t="s">
        <v>1121</v>
      </c>
      <c r="E15" s="73">
        <v>45686</v>
      </c>
      <c r="F15" s="25" t="s">
        <v>226</v>
      </c>
      <c r="G15" s="26" t="s">
        <v>1844</v>
      </c>
      <c r="H15" s="25" t="s">
        <v>576</v>
      </c>
      <c r="I15" s="25"/>
    </row>
    <row r="16" spans="2:9" hidden="1" outlineLevel="1">
      <c r="B16" s="48">
        <f t="shared" si="0"/>
        <v>14</v>
      </c>
      <c r="C16" s="26" t="s">
        <v>297</v>
      </c>
      <c r="D16" s="26" t="s">
        <v>1131</v>
      </c>
      <c r="E16" s="73">
        <v>45685</v>
      </c>
      <c r="F16" s="25" t="s">
        <v>630</v>
      </c>
      <c r="G16" s="26" t="s">
        <v>1845</v>
      </c>
      <c r="H16" s="25" t="s">
        <v>122</v>
      </c>
      <c r="I16" s="25"/>
    </row>
    <row r="17" spans="2:9" hidden="1" outlineLevel="1">
      <c r="B17" s="48">
        <f t="shared" si="0"/>
        <v>15</v>
      </c>
      <c r="C17" s="26" t="s">
        <v>1045</v>
      </c>
      <c r="D17" s="26" t="s">
        <v>1142</v>
      </c>
      <c r="E17" s="73">
        <v>45686</v>
      </c>
      <c r="F17" s="25" t="s">
        <v>1143</v>
      </c>
      <c r="G17" s="2" t="s">
        <v>1846</v>
      </c>
      <c r="H17" s="25" t="s">
        <v>1034</v>
      </c>
      <c r="I17" s="25"/>
    </row>
    <row r="18" spans="2:9" ht="28.8" hidden="1" outlineLevel="1">
      <c r="B18" s="48">
        <f t="shared" si="0"/>
        <v>16</v>
      </c>
      <c r="C18" s="26" t="s">
        <v>1146</v>
      </c>
      <c r="D18" s="26" t="s">
        <v>1147</v>
      </c>
      <c r="E18" s="73">
        <v>45685</v>
      </c>
      <c r="F18" s="25" t="s">
        <v>226</v>
      </c>
      <c r="G18" s="2" t="s">
        <v>1847</v>
      </c>
      <c r="H18" s="25" t="s">
        <v>122</v>
      </c>
      <c r="I18" s="25"/>
    </row>
    <row r="19" spans="2:9" ht="28.8" hidden="1" outlineLevel="1">
      <c r="B19" s="48">
        <f t="shared" si="0"/>
        <v>17</v>
      </c>
      <c r="C19" s="26" t="s">
        <v>695</v>
      </c>
      <c r="D19" s="26" t="s">
        <v>1156</v>
      </c>
      <c r="E19" s="73">
        <v>45688</v>
      </c>
      <c r="F19" s="25" t="s">
        <v>130</v>
      </c>
      <c r="G19" s="2" t="s">
        <v>1848</v>
      </c>
      <c r="H19" s="25" t="s">
        <v>1849</v>
      </c>
      <c r="I19" s="25"/>
    </row>
    <row r="20" spans="2:9" hidden="1" outlineLevel="1">
      <c r="B20" s="48">
        <f t="shared" si="0"/>
        <v>18</v>
      </c>
      <c r="C20" s="26" t="s">
        <v>297</v>
      </c>
      <c r="D20" s="26" t="s">
        <v>1163</v>
      </c>
      <c r="E20" s="73">
        <v>45693</v>
      </c>
      <c r="F20" s="25" t="s">
        <v>1164</v>
      </c>
      <c r="G20" s="26" t="s">
        <v>1850</v>
      </c>
      <c r="H20" s="25" t="s">
        <v>1851</v>
      </c>
      <c r="I20" s="25"/>
    </row>
    <row r="21" spans="2:9" hidden="1" outlineLevel="1">
      <c r="B21" s="48">
        <f t="shared" si="0"/>
        <v>19</v>
      </c>
      <c r="C21" s="26" t="s">
        <v>1045</v>
      </c>
      <c r="D21" s="26" t="s">
        <v>188</v>
      </c>
      <c r="E21" s="73">
        <v>45693</v>
      </c>
      <c r="F21" s="25" t="s">
        <v>130</v>
      </c>
      <c r="G21" s="26" t="s">
        <v>1852</v>
      </c>
      <c r="H21" s="25" t="s">
        <v>122</v>
      </c>
      <c r="I21" s="25"/>
    </row>
    <row r="22" spans="2:9" hidden="1" outlineLevel="1">
      <c r="B22" s="48">
        <f t="shared" si="0"/>
        <v>20</v>
      </c>
      <c r="C22" s="26" t="s">
        <v>297</v>
      </c>
      <c r="D22" s="26" t="s">
        <v>1197</v>
      </c>
      <c r="E22" s="73">
        <v>45700</v>
      </c>
      <c r="F22" s="25" t="s">
        <v>226</v>
      </c>
      <c r="G22" s="26" t="s">
        <v>1853</v>
      </c>
      <c r="H22" s="25" t="s">
        <v>90</v>
      </c>
      <c r="I22" s="25"/>
    </row>
    <row r="23" spans="2:9" ht="28.8" hidden="1" outlineLevel="1">
      <c r="B23" s="48">
        <f t="shared" si="0"/>
        <v>21</v>
      </c>
      <c r="C23" s="26" t="s">
        <v>1045</v>
      </c>
      <c r="D23" s="26" t="s">
        <v>1201</v>
      </c>
      <c r="E23" s="73">
        <v>45701</v>
      </c>
      <c r="F23" s="25" t="s">
        <v>76</v>
      </c>
      <c r="G23" s="2" t="s">
        <v>1854</v>
      </c>
      <c r="H23" s="25" t="s">
        <v>1842</v>
      </c>
      <c r="I23" s="25"/>
    </row>
    <row r="24" spans="2:9" hidden="1" outlineLevel="1">
      <c r="B24" s="48">
        <f t="shared" si="0"/>
        <v>22</v>
      </c>
      <c r="C24" s="26" t="s">
        <v>1212</v>
      </c>
      <c r="D24" s="26" t="s">
        <v>431</v>
      </c>
      <c r="E24" s="73">
        <v>45705</v>
      </c>
      <c r="F24" s="25" t="s">
        <v>130</v>
      </c>
      <c r="G24" s="26" t="s">
        <v>1840</v>
      </c>
      <c r="H24" s="25" t="s">
        <v>90</v>
      </c>
      <c r="I24" s="25"/>
    </row>
    <row r="25" spans="2:9" hidden="1" outlineLevel="1">
      <c r="B25" s="48">
        <f t="shared" si="0"/>
        <v>23</v>
      </c>
      <c r="C25" s="26" t="s">
        <v>1045</v>
      </c>
      <c r="D25" s="26" t="s">
        <v>1217</v>
      </c>
      <c r="E25" s="73">
        <v>45705</v>
      </c>
      <c r="F25" s="25" t="s">
        <v>130</v>
      </c>
      <c r="G25" s="26" t="s">
        <v>1855</v>
      </c>
      <c r="H25" s="25" t="s">
        <v>1034</v>
      </c>
      <c r="I25" s="25"/>
    </row>
    <row r="26" spans="2:9" hidden="1" outlineLevel="1">
      <c r="B26" s="48">
        <f t="shared" si="0"/>
        <v>24</v>
      </c>
      <c r="C26" s="26" t="s">
        <v>297</v>
      </c>
      <c r="D26" s="26" t="s">
        <v>1219</v>
      </c>
      <c r="E26" s="73">
        <v>45706</v>
      </c>
      <c r="F26" s="25" t="s">
        <v>130</v>
      </c>
      <c r="G26" s="26" t="s">
        <v>1840</v>
      </c>
      <c r="H26" s="25" t="s">
        <v>90</v>
      </c>
      <c r="I26" s="25"/>
    </row>
    <row r="27" spans="2:9" hidden="1" outlineLevel="1">
      <c r="B27" s="48">
        <f t="shared" si="0"/>
        <v>25</v>
      </c>
      <c r="C27" s="26" t="s">
        <v>1045</v>
      </c>
      <c r="D27" s="26" t="s">
        <v>1233</v>
      </c>
      <c r="E27" s="73">
        <v>45709</v>
      </c>
      <c r="F27" s="25" t="s">
        <v>802</v>
      </c>
      <c r="G27" s="26" t="s">
        <v>1856</v>
      </c>
      <c r="H27" s="25" t="s">
        <v>520</v>
      </c>
      <c r="I27" s="25"/>
    </row>
    <row r="28" spans="2:9" hidden="1" outlineLevel="1">
      <c r="B28" s="48">
        <f t="shared" si="0"/>
        <v>26</v>
      </c>
      <c r="C28" s="26" t="s">
        <v>695</v>
      </c>
      <c r="D28" s="26" t="s">
        <v>1236</v>
      </c>
      <c r="E28" s="73">
        <v>45712</v>
      </c>
      <c r="F28" s="25" t="s">
        <v>130</v>
      </c>
      <c r="G28" s="26" t="s">
        <v>1857</v>
      </c>
      <c r="H28" s="25" t="s">
        <v>576</v>
      </c>
      <c r="I28" s="25"/>
    </row>
    <row r="29" spans="2:9" hidden="1" outlineLevel="1">
      <c r="B29" s="48">
        <f t="shared" si="0"/>
        <v>27</v>
      </c>
      <c r="C29" s="26" t="s">
        <v>1045</v>
      </c>
      <c r="D29" s="26" t="s">
        <v>1241</v>
      </c>
      <c r="E29" s="73">
        <v>45712</v>
      </c>
      <c r="F29" s="25" t="s">
        <v>130</v>
      </c>
      <c r="G29" s="26" t="s">
        <v>1857</v>
      </c>
      <c r="H29" s="25" t="s">
        <v>576</v>
      </c>
      <c r="I29" s="25"/>
    </row>
    <row r="30" spans="2:9" hidden="1" outlineLevel="1">
      <c r="B30" s="48">
        <f t="shared" si="0"/>
        <v>28</v>
      </c>
      <c r="C30" s="26" t="s">
        <v>47</v>
      </c>
      <c r="D30" s="26" t="s">
        <v>1244</v>
      </c>
      <c r="E30" s="73">
        <v>45712</v>
      </c>
      <c r="F30" s="25" t="s">
        <v>130</v>
      </c>
      <c r="G30" s="26" t="s">
        <v>1857</v>
      </c>
      <c r="H30" s="25" t="s">
        <v>576</v>
      </c>
      <c r="I30" s="25"/>
    </row>
    <row r="31" spans="2:9" hidden="1" outlineLevel="1">
      <c r="B31" s="48">
        <f t="shared" si="0"/>
        <v>29</v>
      </c>
      <c r="C31" s="26" t="s">
        <v>329</v>
      </c>
      <c r="D31" s="26" t="s">
        <v>1251</v>
      </c>
      <c r="E31" s="73">
        <v>45713</v>
      </c>
      <c r="F31" s="25" t="s">
        <v>646</v>
      </c>
      <c r="G31" s="26" t="s">
        <v>1858</v>
      </c>
      <c r="H31" s="25" t="s">
        <v>1034</v>
      </c>
      <c r="I31" s="25"/>
    </row>
    <row r="32" spans="2:9" ht="28.8" hidden="1" outlineLevel="1">
      <c r="B32" s="48">
        <f t="shared" si="0"/>
        <v>30</v>
      </c>
      <c r="C32" s="26" t="s">
        <v>96</v>
      </c>
      <c r="D32" s="26" t="s">
        <v>1071</v>
      </c>
      <c r="E32" s="73">
        <v>45713</v>
      </c>
      <c r="F32" s="25" t="s">
        <v>1072</v>
      </c>
      <c r="G32" s="2" t="s">
        <v>1859</v>
      </c>
      <c r="H32" s="25" t="s">
        <v>73</v>
      </c>
      <c r="I32" s="25"/>
    </row>
    <row r="33" spans="2:12" hidden="1" outlineLevel="1">
      <c r="B33" s="48">
        <f t="shared" si="0"/>
        <v>31</v>
      </c>
      <c r="C33" s="26" t="s">
        <v>297</v>
      </c>
      <c r="D33" s="26" t="s">
        <v>1263</v>
      </c>
      <c r="E33" s="73">
        <v>45715</v>
      </c>
      <c r="F33" s="25" t="s">
        <v>189</v>
      </c>
      <c r="G33" s="26" t="s">
        <v>1860</v>
      </c>
      <c r="H33" s="25" t="s">
        <v>122</v>
      </c>
      <c r="I33" s="25"/>
    </row>
    <row r="34" spans="2:12" hidden="1" outlineLevel="1">
      <c r="B34" s="48">
        <f t="shared" si="0"/>
        <v>32</v>
      </c>
      <c r="C34" s="26" t="s">
        <v>204</v>
      </c>
      <c r="D34" s="26" t="s">
        <v>1265</v>
      </c>
      <c r="E34" s="73">
        <v>45715</v>
      </c>
      <c r="F34" s="25" t="s">
        <v>130</v>
      </c>
      <c r="G34" s="26" t="s">
        <v>1861</v>
      </c>
      <c r="H34" s="25" t="s">
        <v>576</v>
      </c>
      <c r="I34" s="25"/>
    </row>
    <row r="35" spans="2:12" hidden="1" outlineLevel="1">
      <c r="B35" s="48">
        <f>+B34+1</f>
        <v>33</v>
      </c>
      <c r="C35" s="26" t="s">
        <v>304</v>
      </c>
      <c r="D35" s="26" t="s">
        <v>1269</v>
      </c>
      <c r="E35" s="73">
        <v>45715</v>
      </c>
      <c r="F35" s="25" t="s">
        <v>76</v>
      </c>
      <c r="G35" s="26" t="s">
        <v>1840</v>
      </c>
      <c r="H35" s="25" t="s">
        <v>90</v>
      </c>
      <c r="I35" s="25"/>
    </row>
    <row r="36" spans="2:12" collapsed="1"/>
    <row r="37" spans="2:12" ht="18" customHeight="1">
      <c r="B37" s="74" t="s">
        <v>7</v>
      </c>
      <c r="C37" s="74" t="s">
        <v>8</v>
      </c>
      <c r="D37" s="74" t="s">
        <v>9</v>
      </c>
      <c r="E37" s="74" t="s">
        <v>1826</v>
      </c>
      <c r="F37" s="74" t="s">
        <v>1827</v>
      </c>
      <c r="G37" s="74" t="s">
        <v>14</v>
      </c>
      <c r="H37" s="74" t="s">
        <v>16</v>
      </c>
      <c r="I37" s="132"/>
      <c r="L37" s="132" t="s">
        <v>1862</v>
      </c>
    </row>
    <row r="38" spans="2:12" ht="18" customHeight="1">
      <c r="B38" s="136"/>
      <c r="C38" s="136" t="s">
        <v>1863</v>
      </c>
      <c r="D38" s="136"/>
      <c r="E38" s="136"/>
      <c r="F38" s="136"/>
      <c r="G38" s="136"/>
      <c r="H38" s="132"/>
      <c r="I38" s="132"/>
      <c r="L38" s="132"/>
    </row>
    <row r="39" spans="2:12" ht="43.2">
      <c r="B39" s="25">
        <v>1</v>
      </c>
      <c r="C39" s="2" t="s">
        <v>1045</v>
      </c>
      <c r="D39" s="2" t="s">
        <v>870</v>
      </c>
      <c r="E39" s="135">
        <v>45597</v>
      </c>
      <c r="F39" s="3" t="s">
        <v>871</v>
      </c>
      <c r="G39" s="2" t="s">
        <v>1830</v>
      </c>
      <c r="H39" s="3" t="s">
        <v>576</v>
      </c>
      <c r="I39" s="3"/>
      <c r="J39" t="s">
        <v>1864</v>
      </c>
      <c r="L39" s="1" t="s">
        <v>1865</v>
      </c>
    </row>
    <row r="40" spans="2:12" ht="28.8">
      <c r="B40" s="75">
        <f t="shared" ref="B40:B72" si="1">+B39+1</f>
        <v>2</v>
      </c>
      <c r="C40" s="76" t="s">
        <v>1045</v>
      </c>
      <c r="D40" s="76" t="s">
        <v>906</v>
      </c>
      <c r="E40" s="123">
        <v>45597</v>
      </c>
      <c r="F40" s="77" t="s">
        <v>76</v>
      </c>
      <c r="G40" s="76" t="s">
        <v>1831</v>
      </c>
      <c r="H40" s="78" t="s">
        <v>576</v>
      </c>
      <c r="I40" s="6"/>
      <c r="J40" t="s">
        <v>1864</v>
      </c>
      <c r="L40" s="1" t="s">
        <v>1866</v>
      </c>
    </row>
    <row r="41" spans="2:12">
      <c r="B41" s="79">
        <f t="shared" si="1"/>
        <v>3</v>
      </c>
      <c r="C41" s="80" t="s">
        <v>329</v>
      </c>
      <c r="D41" s="80" t="s">
        <v>923</v>
      </c>
      <c r="E41" s="124">
        <v>45614</v>
      </c>
      <c r="F41" s="81" t="s">
        <v>76</v>
      </c>
      <c r="G41" s="80" t="s">
        <v>1832</v>
      </c>
      <c r="H41" s="82" t="s">
        <v>1034</v>
      </c>
      <c r="I41" s="3"/>
      <c r="L41" t="s">
        <v>1867</v>
      </c>
    </row>
    <row r="42" spans="2:12">
      <c r="B42" s="75">
        <f t="shared" si="1"/>
        <v>4</v>
      </c>
      <c r="C42" s="76" t="s">
        <v>329</v>
      </c>
      <c r="D42" s="76" t="s">
        <v>1037</v>
      </c>
      <c r="E42" s="123">
        <v>45663</v>
      </c>
      <c r="F42" s="77" t="s">
        <v>1835</v>
      </c>
      <c r="G42" s="76" t="s">
        <v>1836</v>
      </c>
      <c r="H42" s="78" t="s">
        <v>1034</v>
      </c>
      <c r="I42" s="6"/>
      <c r="L42" s="26" t="s">
        <v>1039</v>
      </c>
    </row>
    <row r="43" spans="2:12" ht="19.5" customHeight="1">
      <c r="B43" s="79">
        <f t="shared" si="1"/>
        <v>5</v>
      </c>
      <c r="C43" s="80" t="s">
        <v>1045</v>
      </c>
      <c r="D43" s="80" t="s">
        <v>1063</v>
      </c>
      <c r="E43" s="124">
        <v>45674</v>
      </c>
      <c r="F43" s="81" t="s">
        <v>1837</v>
      </c>
      <c r="G43" s="80" t="s">
        <v>1838</v>
      </c>
      <c r="H43" s="82" t="s">
        <v>1034</v>
      </c>
      <c r="I43" s="3"/>
      <c r="L43" t="s">
        <v>1064</v>
      </c>
    </row>
    <row r="44" spans="2:12" ht="28.8">
      <c r="B44" s="75">
        <f t="shared" si="1"/>
        <v>6</v>
      </c>
      <c r="C44" s="76" t="s">
        <v>1045</v>
      </c>
      <c r="D44" s="76" t="s">
        <v>1078</v>
      </c>
      <c r="E44" s="123">
        <v>45680</v>
      </c>
      <c r="F44" s="77" t="s">
        <v>1839</v>
      </c>
      <c r="G44" s="76" t="s">
        <v>1840</v>
      </c>
      <c r="H44" s="78" t="s">
        <v>73</v>
      </c>
      <c r="I44" s="6"/>
      <c r="L44" s="26" t="s">
        <v>1868</v>
      </c>
    </row>
    <row r="45" spans="2:12" ht="43.2">
      <c r="B45" s="79">
        <f t="shared" si="1"/>
        <v>7</v>
      </c>
      <c r="C45" s="80" t="s">
        <v>329</v>
      </c>
      <c r="D45" s="80" t="s">
        <v>1114</v>
      </c>
      <c r="E45" s="124">
        <v>45687</v>
      </c>
      <c r="F45" s="81" t="s">
        <v>226</v>
      </c>
      <c r="G45" s="80" t="s">
        <v>1843</v>
      </c>
      <c r="H45" s="82" t="s">
        <v>73</v>
      </c>
      <c r="I45" s="3"/>
      <c r="L45" s="2" t="s">
        <v>1869</v>
      </c>
    </row>
    <row r="46" spans="2:12">
      <c r="B46" s="75">
        <f t="shared" si="1"/>
        <v>8</v>
      </c>
      <c r="C46" s="76" t="s">
        <v>1045</v>
      </c>
      <c r="D46" s="76" t="s">
        <v>1142</v>
      </c>
      <c r="E46" s="123">
        <v>45686</v>
      </c>
      <c r="F46" s="77" t="s">
        <v>1143</v>
      </c>
      <c r="G46" s="76" t="s">
        <v>1846</v>
      </c>
      <c r="H46" s="78" t="s">
        <v>1034</v>
      </c>
      <c r="I46" s="6"/>
      <c r="L46" s="1"/>
    </row>
    <row r="47" spans="2:12" ht="18.75" customHeight="1">
      <c r="B47" s="79">
        <f t="shared" si="1"/>
        <v>9</v>
      </c>
      <c r="C47" s="80" t="s">
        <v>1045</v>
      </c>
      <c r="D47" s="80" t="s">
        <v>188</v>
      </c>
      <c r="E47" s="124">
        <v>45693</v>
      </c>
      <c r="F47" s="81" t="s">
        <v>130</v>
      </c>
      <c r="G47" s="80" t="s">
        <v>1852</v>
      </c>
      <c r="H47" s="82" t="s">
        <v>122</v>
      </c>
      <c r="I47" s="3"/>
      <c r="L47" s="26" t="s">
        <v>1169</v>
      </c>
    </row>
    <row r="48" spans="2:12" ht="28.8">
      <c r="B48" s="75">
        <f t="shared" si="1"/>
        <v>10</v>
      </c>
      <c r="C48" s="76" t="s">
        <v>1045</v>
      </c>
      <c r="D48" s="76" t="s">
        <v>1201</v>
      </c>
      <c r="E48" s="123">
        <v>45701</v>
      </c>
      <c r="F48" s="77" t="s">
        <v>76</v>
      </c>
      <c r="G48" s="76" t="s">
        <v>1854</v>
      </c>
      <c r="H48" s="78" t="s">
        <v>1842</v>
      </c>
      <c r="I48" s="6"/>
      <c r="L48" s="1" t="s">
        <v>1202</v>
      </c>
    </row>
    <row r="49" spans="2:12" ht="28.8">
      <c r="B49" s="79">
        <f t="shared" si="1"/>
        <v>11</v>
      </c>
      <c r="C49" s="80" t="s">
        <v>1045</v>
      </c>
      <c r="D49" s="80" t="s">
        <v>1217</v>
      </c>
      <c r="E49" s="124">
        <v>45705</v>
      </c>
      <c r="F49" s="81" t="s">
        <v>130</v>
      </c>
      <c r="G49" s="80" t="s">
        <v>1855</v>
      </c>
      <c r="H49" s="82" t="s">
        <v>1034</v>
      </c>
      <c r="I49" s="3"/>
      <c r="L49" s="1" t="s">
        <v>1870</v>
      </c>
    </row>
    <row r="50" spans="2:12" ht="24" customHeight="1">
      <c r="B50" s="75">
        <f t="shared" si="1"/>
        <v>12</v>
      </c>
      <c r="C50" s="76" t="s">
        <v>1045</v>
      </c>
      <c r="D50" s="76" t="s">
        <v>1233</v>
      </c>
      <c r="E50" s="123">
        <v>45709</v>
      </c>
      <c r="F50" s="77" t="s">
        <v>802</v>
      </c>
      <c r="G50" s="76" t="s">
        <v>1856</v>
      </c>
      <c r="H50" s="78" t="s">
        <v>520</v>
      </c>
      <c r="I50" s="6"/>
      <c r="L50" s="26" t="s">
        <v>1871</v>
      </c>
    </row>
    <row r="51" spans="2:12" ht="24" customHeight="1">
      <c r="B51" s="79">
        <f t="shared" si="1"/>
        <v>13</v>
      </c>
      <c r="C51" s="80" t="s">
        <v>1045</v>
      </c>
      <c r="D51" s="80" t="s">
        <v>1241</v>
      </c>
      <c r="E51" s="124">
        <v>45712</v>
      </c>
      <c r="F51" s="81" t="s">
        <v>130</v>
      </c>
      <c r="G51" s="80" t="s">
        <v>1857</v>
      </c>
      <c r="H51" s="82" t="s">
        <v>576</v>
      </c>
      <c r="I51" s="3"/>
      <c r="L51" s="1"/>
    </row>
    <row r="52" spans="2:12" ht="18" customHeight="1">
      <c r="B52" s="75">
        <f t="shared" si="1"/>
        <v>14</v>
      </c>
      <c r="C52" s="76" t="s">
        <v>329</v>
      </c>
      <c r="D52" s="76" t="s">
        <v>1244</v>
      </c>
      <c r="E52" s="123">
        <v>45712</v>
      </c>
      <c r="F52" s="77" t="s">
        <v>130</v>
      </c>
      <c r="G52" s="76" t="s">
        <v>1857</v>
      </c>
      <c r="H52" s="78" t="s">
        <v>576</v>
      </c>
      <c r="I52" s="6"/>
      <c r="L52" s="1"/>
    </row>
    <row r="53" spans="2:12">
      <c r="B53" s="79">
        <f t="shared" si="1"/>
        <v>15</v>
      </c>
      <c r="C53" s="80" t="s">
        <v>329</v>
      </c>
      <c r="D53" s="80" t="s">
        <v>1251</v>
      </c>
      <c r="E53" s="124">
        <v>45713</v>
      </c>
      <c r="F53" s="81" t="s">
        <v>646</v>
      </c>
      <c r="G53" s="80" t="s">
        <v>1858</v>
      </c>
      <c r="H53" s="82" t="s">
        <v>1034</v>
      </c>
      <c r="I53" s="3"/>
      <c r="L53" s="1"/>
    </row>
    <row r="54" spans="2:12" ht="28.8">
      <c r="B54" s="75">
        <f t="shared" si="1"/>
        <v>16</v>
      </c>
      <c r="C54" s="76" t="s">
        <v>1045</v>
      </c>
      <c r="D54" s="76" t="s">
        <v>1071</v>
      </c>
      <c r="E54" s="123">
        <v>45713</v>
      </c>
      <c r="F54" s="77" t="s">
        <v>1072</v>
      </c>
      <c r="G54" s="76" t="s">
        <v>1859</v>
      </c>
      <c r="H54" s="78" t="s">
        <v>73</v>
      </c>
      <c r="I54" s="6"/>
      <c r="J54" t="s">
        <v>1864</v>
      </c>
      <c r="L54" s="1"/>
    </row>
    <row r="55" spans="2:12">
      <c r="B55" s="83">
        <f t="shared" si="1"/>
        <v>17</v>
      </c>
      <c r="C55" s="84" t="s">
        <v>1105</v>
      </c>
      <c r="D55" s="84" t="s">
        <v>1106</v>
      </c>
      <c r="E55" s="125">
        <v>45684</v>
      </c>
      <c r="F55" s="85" t="s">
        <v>1837</v>
      </c>
      <c r="G55" s="84" t="s">
        <v>1841</v>
      </c>
      <c r="H55" s="86" t="s">
        <v>1842</v>
      </c>
      <c r="I55" s="3"/>
      <c r="L55" s="1"/>
    </row>
    <row r="56" spans="2:12" ht="15.6">
      <c r="B56" s="136"/>
      <c r="C56" s="136" t="s">
        <v>297</v>
      </c>
      <c r="D56" s="136"/>
      <c r="E56" s="136"/>
      <c r="F56" s="136"/>
      <c r="G56" s="136"/>
      <c r="H56" s="110"/>
      <c r="I56" s="136"/>
      <c r="L56" s="1"/>
    </row>
    <row r="57" spans="2:12" ht="28.8">
      <c r="B57" s="87">
        <f>+B55+1</f>
        <v>18</v>
      </c>
      <c r="C57" s="88" t="s">
        <v>297</v>
      </c>
      <c r="D57" s="88" t="s">
        <v>693</v>
      </c>
      <c r="E57" s="126">
        <v>45530</v>
      </c>
      <c r="F57" s="89" t="s">
        <v>226</v>
      </c>
      <c r="G57" s="88" t="s">
        <v>1828</v>
      </c>
      <c r="H57" s="90" t="s">
        <v>576</v>
      </c>
      <c r="I57" s="6"/>
      <c r="L57" s="1"/>
    </row>
    <row r="58" spans="2:12" ht="30" customHeight="1">
      <c r="B58" s="91">
        <f t="shared" si="1"/>
        <v>19</v>
      </c>
      <c r="C58" s="80" t="s">
        <v>297</v>
      </c>
      <c r="D58" s="80" t="s">
        <v>1028</v>
      </c>
      <c r="E58" s="124">
        <v>45643</v>
      </c>
      <c r="F58" s="81" t="s">
        <v>802</v>
      </c>
      <c r="G58" s="80" t="s">
        <v>1834</v>
      </c>
      <c r="H58" s="92" t="s">
        <v>90</v>
      </c>
      <c r="I58" s="3"/>
      <c r="L58" s="1"/>
    </row>
    <row r="59" spans="2:12" ht="18.75" customHeight="1">
      <c r="B59" s="93">
        <f t="shared" si="1"/>
        <v>20</v>
      </c>
      <c r="C59" s="76" t="s">
        <v>297</v>
      </c>
      <c r="D59" s="76" t="s">
        <v>1131</v>
      </c>
      <c r="E59" s="123">
        <v>45685</v>
      </c>
      <c r="F59" s="77" t="s">
        <v>630</v>
      </c>
      <c r="G59" s="76" t="s">
        <v>1845</v>
      </c>
      <c r="H59" s="94" t="s">
        <v>122</v>
      </c>
      <c r="I59" s="6"/>
      <c r="L59" s="1"/>
    </row>
    <row r="60" spans="2:12" ht="18.75" customHeight="1">
      <c r="B60" s="91">
        <f t="shared" si="1"/>
        <v>21</v>
      </c>
      <c r="C60" s="80" t="s">
        <v>297</v>
      </c>
      <c r="D60" s="80" t="s">
        <v>1163</v>
      </c>
      <c r="E60" s="124">
        <v>45693</v>
      </c>
      <c r="F60" s="81" t="s">
        <v>1164</v>
      </c>
      <c r="G60" s="80" t="s">
        <v>1850</v>
      </c>
      <c r="H60" s="92" t="s">
        <v>1851</v>
      </c>
      <c r="I60" s="3"/>
      <c r="L60" s="1"/>
    </row>
    <row r="61" spans="2:12" ht="30" customHeight="1">
      <c r="B61" s="93">
        <f t="shared" si="1"/>
        <v>22</v>
      </c>
      <c r="C61" s="76" t="s">
        <v>297</v>
      </c>
      <c r="D61" s="76" t="s">
        <v>1197</v>
      </c>
      <c r="E61" s="123">
        <v>45700</v>
      </c>
      <c r="F61" s="77" t="s">
        <v>226</v>
      </c>
      <c r="G61" s="76" t="s">
        <v>1853</v>
      </c>
      <c r="H61" s="94" t="s">
        <v>90</v>
      </c>
      <c r="I61" s="6"/>
      <c r="L61" s="1"/>
    </row>
    <row r="62" spans="2:12" ht="18.75" customHeight="1">
      <c r="B62" s="91">
        <f t="shared" si="1"/>
        <v>23</v>
      </c>
      <c r="C62" s="80" t="s">
        <v>297</v>
      </c>
      <c r="D62" s="80" t="s">
        <v>1219</v>
      </c>
      <c r="E62" s="124">
        <v>45706</v>
      </c>
      <c r="F62" s="81" t="s">
        <v>130</v>
      </c>
      <c r="G62" s="80" t="s">
        <v>1840</v>
      </c>
      <c r="H62" s="92" t="s">
        <v>90</v>
      </c>
      <c r="I62" s="3"/>
      <c r="L62" s="1"/>
    </row>
    <row r="63" spans="2:12" ht="18.75" customHeight="1">
      <c r="B63" s="93">
        <f t="shared" si="1"/>
        <v>24</v>
      </c>
      <c r="C63" s="76" t="s">
        <v>297</v>
      </c>
      <c r="D63" s="76" t="s">
        <v>1263</v>
      </c>
      <c r="E63" s="123">
        <v>45715</v>
      </c>
      <c r="F63" s="77" t="s">
        <v>189</v>
      </c>
      <c r="G63" s="76" t="s">
        <v>1860</v>
      </c>
      <c r="H63" s="94" t="s">
        <v>122</v>
      </c>
      <c r="I63" s="6"/>
      <c r="L63" s="1"/>
    </row>
    <row r="64" spans="2:12" ht="18.75" customHeight="1">
      <c r="B64" s="95">
        <f t="shared" si="1"/>
        <v>25</v>
      </c>
      <c r="C64" s="96" t="s">
        <v>297</v>
      </c>
      <c r="D64" s="96" t="s">
        <v>1121</v>
      </c>
      <c r="E64" s="127">
        <v>45686</v>
      </c>
      <c r="F64" s="97" t="s">
        <v>226</v>
      </c>
      <c r="G64" s="96" t="s">
        <v>1844</v>
      </c>
      <c r="H64" s="98" t="s">
        <v>576</v>
      </c>
      <c r="I64" s="3"/>
      <c r="L64" s="1"/>
    </row>
    <row r="65" spans="2:12">
      <c r="B65" s="99">
        <f t="shared" si="1"/>
        <v>26</v>
      </c>
      <c r="C65" s="100" t="s">
        <v>695</v>
      </c>
      <c r="D65" s="100" t="s">
        <v>801</v>
      </c>
      <c r="E65" s="128">
        <v>45567</v>
      </c>
      <c r="F65" s="101" t="s">
        <v>802</v>
      </c>
      <c r="G65" s="100" t="s">
        <v>1829</v>
      </c>
      <c r="H65" s="102" t="s">
        <v>122</v>
      </c>
      <c r="I65" s="6"/>
      <c r="L65" s="1"/>
    </row>
    <row r="66" spans="2:12" ht="28.8">
      <c r="B66" s="103">
        <f t="shared" si="1"/>
        <v>27</v>
      </c>
      <c r="C66" s="80" t="s">
        <v>695</v>
      </c>
      <c r="D66" s="80" t="s">
        <v>1156</v>
      </c>
      <c r="E66" s="124">
        <v>45688</v>
      </c>
      <c r="F66" s="81" t="s">
        <v>130</v>
      </c>
      <c r="G66" s="80" t="s">
        <v>1848</v>
      </c>
      <c r="H66" s="104" t="s">
        <v>1849</v>
      </c>
      <c r="I66" s="3"/>
      <c r="J66" t="s">
        <v>1864</v>
      </c>
      <c r="L66" s="1"/>
    </row>
    <row r="67" spans="2:12" ht="19.5" customHeight="1">
      <c r="B67" s="105">
        <f t="shared" si="1"/>
        <v>28</v>
      </c>
      <c r="C67" s="106" t="s">
        <v>695</v>
      </c>
      <c r="D67" s="106" t="s">
        <v>1236</v>
      </c>
      <c r="E67" s="129">
        <v>45712</v>
      </c>
      <c r="F67" s="107" t="s">
        <v>130</v>
      </c>
      <c r="G67" s="106" t="s">
        <v>1857</v>
      </c>
      <c r="H67" s="108" t="s">
        <v>576</v>
      </c>
      <c r="I67" s="6"/>
      <c r="L67" s="1"/>
    </row>
    <row r="68" spans="2:12" ht="18" customHeight="1">
      <c r="B68" s="109">
        <f t="shared" si="1"/>
        <v>29</v>
      </c>
      <c r="C68" s="80" t="s">
        <v>204</v>
      </c>
      <c r="D68" s="80" t="s">
        <v>1265</v>
      </c>
      <c r="E68" s="124">
        <v>45715</v>
      </c>
      <c r="F68" s="81" t="s">
        <v>130</v>
      </c>
      <c r="G68" s="80" t="s">
        <v>1861</v>
      </c>
      <c r="H68" s="110" t="s">
        <v>576</v>
      </c>
      <c r="I68" s="3"/>
      <c r="L68" s="1"/>
    </row>
    <row r="69" spans="2:12" ht="43.2">
      <c r="B69" s="111">
        <f t="shared" si="1"/>
        <v>30</v>
      </c>
      <c r="C69" s="112" t="s">
        <v>440</v>
      </c>
      <c r="D69" s="112" t="s">
        <v>964</v>
      </c>
      <c r="E69" s="130">
        <v>45636</v>
      </c>
      <c r="F69" s="113" t="s">
        <v>76</v>
      </c>
      <c r="G69" s="112" t="s">
        <v>1833</v>
      </c>
      <c r="H69" s="114" t="s">
        <v>576</v>
      </c>
      <c r="I69" s="6"/>
      <c r="J69" t="s">
        <v>1864</v>
      </c>
      <c r="L69" s="1"/>
    </row>
    <row r="70" spans="2:12" ht="28.8">
      <c r="B70" s="115">
        <f t="shared" si="1"/>
        <v>31</v>
      </c>
      <c r="C70" s="80" t="s">
        <v>1146</v>
      </c>
      <c r="D70" s="80" t="s">
        <v>1147</v>
      </c>
      <c r="E70" s="124">
        <v>45685</v>
      </c>
      <c r="F70" s="81" t="s">
        <v>226</v>
      </c>
      <c r="G70" s="80" t="s">
        <v>1847</v>
      </c>
      <c r="H70" s="116" t="s">
        <v>122</v>
      </c>
      <c r="I70" s="3"/>
      <c r="J70" t="s">
        <v>1864</v>
      </c>
      <c r="L70" s="1"/>
    </row>
    <row r="71" spans="2:12" ht="18.75" customHeight="1">
      <c r="B71" s="117">
        <f t="shared" si="1"/>
        <v>32</v>
      </c>
      <c r="C71" s="76" t="s">
        <v>1212</v>
      </c>
      <c r="D71" s="76" t="s">
        <v>431</v>
      </c>
      <c r="E71" s="123">
        <v>45705</v>
      </c>
      <c r="F71" s="77" t="s">
        <v>130</v>
      </c>
      <c r="G71" s="76" t="s">
        <v>1840</v>
      </c>
      <c r="H71" s="118" t="s">
        <v>90</v>
      </c>
      <c r="I71" s="6"/>
      <c r="L71" s="1"/>
    </row>
    <row r="72" spans="2:12" ht="18.75" customHeight="1">
      <c r="B72" s="119">
        <f t="shared" si="1"/>
        <v>33</v>
      </c>
      <c r="C72" s="120" t="s">
        <v>304</v>
      </c>
      <c r="D72" s="120" t="s">
        <v>1269</v>
      </c>
      <c r="E72" s="131">
        <v>45715</v>
      </c>
      <c r="F72" s="121" t="s">
        <v>76</v>
      </c>
      <c r="G72" s="120" t="s">
        <v>1840</v>
      </c>
      <c r="H72" s="122" t="s">
        <v>90</v>
      </c>
      <c r="I72" s="3"/>
      <c r="L72" s="1"/>
    </row>
    <row r="73" spans="2:12">
      <c r="C73" s="2"/>
      <c r="D73" s="2"/>
      <c r="E73" s="2"/>
      <c r="F73" s="2"/>
      <c r="G73" s="2"/>
      <c r="H73" s="2"/>
      <c r="I73" s="2"/>
    </row>
    <row r="74" spans="2:12">
      <c r="C74" s="2"/>
      <c r="D74" s="2"/>
      <c r="E74" s="2"/>
      <c r="F74" s="2"/>
      <c r="G74" s="2"/>
      <c r="H74" s="2"/>
      <c r="I74" s="2"/>
    </row>
    <row r="75" spans="2:12">
      <c r="C75" s="2"/>
      <c r="D75" s="2"/>
      <c r="E75" s="2"/>
      <c r="F75" s="2"/>
      <c r="G75" s="2"/>
      <c r="H75" s="2"/>
      <c r="I75" s="2"/>
    </row>
    <row r="76" spans="2:12">
      <c r="C76" s="2"/>
      <c r="D76" s="2"/>
      <c r="E76" s="2"/>
      <c r="F76" s="2"/>
      <c r="G76" s="2"/>
      <c r="H76" s="2"/>
      <c r="I76" s="2"/>
    </row>
    <row r="77" spans="2:12">
      <c r="C77" s="2"/>
      <c r="D77" s="2"/>
      <c r="E77" s="2"/>
      <c r="F77" s="2"/>
      <c r="G77" s="2"/>
      <c r="H77" s="2"/>
      <c r="I77" s="2"/>
    </row>
    <row r="78" spans="2:12">
      <c r="C78" s="2"/>
      <c r="D78" s="2"/>
      <c r="E78" s="2"/>
      <c r="F78" s="2"/>
      <c r="G78" s="2"/>
      <c r="H78" s="2"/>
      <c r="I78" s="2"/>
    </row>
    <row r="79" spans="2:12">
      <c r="C79" s="2"/>
      <c r="D79" s="2"/>
      <c r="E79" s="2"/>
      <c r="F79" s="2"/>
      <c r="G79" s="2"/>
      <c r="H79" s="2"/>
      <c r="I79" s="2"/>
    </row>
    <row r="80" spans="2:12">
      <c r="C80" s="2"/>
      <c r="D80" s="2"/>
      <c r="E80" s="2"/>
      <c r="F80" s="2"/>
      <c r="G80" s="2"/>
      <c r="H80" s="2"/>
      <c r="I80" s="2"/>
    </row>
    <row r="81" spans="3:9">
      <c r="C81" s="2"/>
      <c r="D81" s="2"/>
      <c r="E81" s="2"/>
      <c r="F81" s="2"/>
      <c r="G81" s="2"/>
      <c r="H81" s="2"/>
      <c r="I81" s="2"/>
    </row>
    <row r="82" spans="3:9">
      <c r="C82" s="2"/>
      <c r="D82" s="2"/>
      <c r="E82" s="2"/>
      <c r="F82" s="2"/>
      <c r="G82" s="2"/>
      <c r="H82" s="2"/>
      <c r="I82" s="2"/>
    </row>
    <row r="83" spans="3:9">
      <c r="C83" s="2"/>
      <c r="D83" s="2"/>
      <c r="E83" s="2"/>
      <c r="F83" s="2"/>
      <c r="G83" s="2"/>
      <c r="H83" s="2"/>
      <c r="I83" s="2"/>
    </row>
    <row r="84" spans="3:9">
      <c r="C84" s="2"/>
      <c r="D84" s="2"/>
      <c r="E84" s="2"/>
      <c r="F84" s="2"/>
      <c r="G84" s="2"/>
      <c r="H84" s="2"/>
      <c r="I84" s="2"/>
    </row>
    <row r="85" spans="3:9">
      <c r="C85" s="2"/>
      <c r="D85" s="2"/>
      <c r="E85" s="2"/>
      <c r="F85" s="2"/>
      <c r="G85" s="2"/>
      <c r="H85" s="2"/>
      <c r="I85" s="2"/>
    </row>
    <row r="86" spans="3:9">
      <c r="C86" s="2"/>
      <c r="D86" s="2"/>
      <c r="E86" s="2"/>
      <c r="F86" s="2"/>
      <c r="G86" s="2"/>
      <c r="H86" s="2"/>
      <c r="I86" s="2"/>
    </row>
    <row r="87" spans="3:9">
      <c r="C87" s="2"/>
      <c r="D87" s="2"/>
      <c r="E87" s="2"/>
      <c r="F87" s="2"/>
      <c r="G87" s="2"/>
      <c r="H87" s="2"/>
      <c r="I87" s="2"/>
    </row>
    <row r="88" spans="3:9">
      <c r="C88" s="2"/>
      <c r="D88" s="2"/>
      <c r="E88" s="2"/>
      <c r="F88" s="2"/>
      <c r="G88" s="2"/>
      <c r="H88" s="2"/>
      <c r="I88" s="2"/>
    </row>
    <row r="89" spans="3:9">
      <c r="C89" s="2"/>
      <c r="D89" s="2"/>
      <c r="E89" s="2"/>
      <c r="F89" s="2"/>
      <c r="G89" s="2"/>
      <c r="H89" s="2"/>
      <c r="I89" s="2"/>
    </row>
    <row r="90" spans="3:9">
      <c r="C90" s="2"/>
      <c r="D90" s="2"/>
      <c r="E90" s="2"/>
      <c r="F90" s="2"/>
      <c r="G90" s="2"/>
      <c r="H90" s="2"/>
      <c r="I90" s="2"/>
    </row>
    <row r="91" spans="3:9">
      <c r="C91" s="2"/>
      <c r="D91" s="2"/>
      <c r="E91" s="2"/>
      <c r="F91" s="2"/>
      <c r="G91" s="2"/>
      <c r="H91" s="2"/>
      <c r="I91" s="2"/>
    </row>
    <row r="92" spans="3:9">
      <c r="C92" s="2"/>
      <c r="D92" s="2"/>
      <c r="E92" s="2"/>
      <c r="F92" s="2"/>
      <c r="G92" s="2"/>
      <c r="H92" s="2"/>
      <c r="I92" s="2"/>
    </row>
    <row r="93" spans="3:9">
      <c r="C93" s="2"/>
      <c r="D93" s="2"/>
      <c r="E93" s="2"/>
      <c r="F93" s="2"/>
      <c r="G93" s="2"/>
      <c r="H93" s="2"/>
      <c r="I93" s="2"/>
    </row>
    <row r="94" spans="3:9">
      <c r="C94" s="2"/>
      <c r="D94" s="2"/>
      <c r="E94" s="2"/>
      <c r="F94" s="2"/>
      <c r="G94" s="2"/>
      <c r="H94" s="2"/>
      <c r="I94" s="2"/>
    </row>
    <row r="95" spans="3:9">
      <c r="C95" s="2"/>
      <c r="D95" s="2"/>
      <c r="E95" s="2"/>
      <c r="F95" s="2"/>
      <c r="G95" s="2"/>
      <c r="H95" s="2"/>
      <c r="I95" s="2"/>
    </row>
    <row r="96" spans="3:9">
      <c r="C96" s="2"/>
      <c r="D96" s="2"/>
      <c r="E96" s="2"/>
      <c r="F96" s="2"/>
      <c r="G96" s="2"/>
      <c r="H96" s="2"/>
      <c r="I96" s="2"/>
    </row>
    <row r="97" spans="3:9">
      <c r="C97" s="2"/>
      <c r="D97" s="2"/>
      <c r="E97" s="2"/>
      <c r="F97" s="2"/>
      <c r="G97" s="2"/>
      <c r="H97" s="2"/>
      <c r="I97" s="2"/>
    </row>
    <row r="98" spans="3:9">
      <c r="C98" s="2"/>
      <c r="D98" s="2"/>
      <c r="E98" s="2"/>
      <c r="F98" s="2"/>
      <c r="G98" s="2"/>
      <c r="H98" s="2"/>
      <c r="I98" s="2"/>
    </row>
    <row r="99" spans="3:9">
      <c r="C99" s="2"/>
      <c r="D99" s="2"/>
      <c r="E99" s="2"/>
      <c r="F99" s="2"/>
      <c r="G99" s="2"/>
      <c r="H99" s="2"/>
      <c r="I99" s="2"/>
    </row>
    <row r="100" spans="3:9">
      <c r="C100" s="2"/>
      <c r="D100" s="2"/>
      <c r="E100" s="2"/>
      <c r="F100" s="2"/>
      <c r="G100" s="2"/>
      <c r="H100" s="2"/>
      <c r="I100" s="2"/>
    </row>
    <row r="101" spans="3:9">
      <c r="C101" s="2"/>
      <c r="D101" s="2"/>
      <c r="E101" s="2"/>
      <c r="F101" s="2"/>
      <c r="G101" s="2"/>
      <c r="H101" s="2"/>
      <c r="I101" s="2"/>
    </row>
    <row r="102" spans="3:9">
      <c r="C102" s="2"/>
      <c r="D102" s="2"/>
      <c r="E102" s="2"/>
      <c r="F102" s="2"/>
      <c r="G102" s="2"/>
      <c r="H102" s="2"/>
      <c r="I102" s="2"/>
    </row>
    <row r="103" spans="3:9">
      <c r="C103" s="2"/>
      <c r="D103" s="2"/>
      <c r="E103" s="2"/>
      <c r="F103" s="2"/>
      <c r="G103" s="2"/>
      <c r="H103" s="2"/>
      <c r="I103" s="2"/>
    </row>
    <row r="104" spans="3:9">
      <c r="C104" s="2"/>
      <c r="D104" s="2"/>
      <c r="E104" s="2"/>
      <c r="F104" s="2"/>
      <c r="G104" s="2"/>
      <c r="H104" s="2"/>
      <c r="I104" s="2"/>
    </row>
    <row r="105" spans="3:9">
      <c r="C105" s="2"/>
      <c r="D105" s="2"/>
      <c r="E105" s="2"/>
      <c r="F105" s="2"/>
      <c r="G105" s="2"/>
      <c r="H105" s="2"/>
      <c r="I105" s="2"/>
    </row>
    <row r="106" spans="3:9">
      <c r="C106" s="2"/>
      <c r="D106" s="2"/>
      <c r="E106" s="2"/>
      <c r="F106" s="2"/>
      <c r="G106" s="2"/>
      <c r="H106" s="2"/>
      <c r="I106" s="2"/>
    </row>
    <row r="107" spans="3:9">
      <c r="C107" s="2"/>
      <c r="D107" s="2"/>
      <c r="E107" s="2"/>
      <c r="F107" s="2"/>
      <c r="G107" s="2"/>
      <c r="H107" s="2"/>
      <c r="I107" s="2"/>
    </row>
    <row r="108" spans="3:9">
      <c r="C108" s="2"/>
      <c r="D108" s="2"/>
      <c r="E108" s="2"/>
      <c r="F108" s="2"/>
      <c r="G108" s="2"/>
      <c r="H108" s="2"/>
      <c r="I108" s="2"/>
    </row>
    <row r="109" spans="3:9">
      <c r="C109" s="2"/>
      <c r="D109" s="2"/>
      <c r="E109" s="2"/>
      <c r="F109" s="2"/>
      <c r="G109" s="2"/>
      <c r="H109" s="2"/>
      <c r="I109" s="2"/>
    </row>
    <row r="110" spans="3:9">
      <c r="C110" s="2"/>
      <c r="D110" s="2"/>
      <c r="E110" s="2"/>
      <c r="F110" s="2"/>
      <c r="G110" s="2"/>
      <c r="H110" s="2"/>
      <c r="I110" s="2"/>
    </row>
    <row r="111" spans="3:9">
      <c r="C111" s="2"/>
      <c r="D111" s="2"/>
      <c r="E111" s="2"/>
      <c r="F111" s="2"/>
      <c r="G111" s="2"/>
      <c r="H111" s="2"/>
      <c r="I111" s="2"/>
    </row>
    <row r="112" spans="3:9">
      <c r="C112" s="2"/>
      <c r="D112" s="2"/>
      <c r="E112" s="2"/>
      <c r="F112" s="2"/>
      <c r="G112" s="2"/>
      <c r="H112" s="2"/>
      <c r="I112" s="2"/>
    </row>
    <row r="113" spans="3:9">
      <c r="C113" s="2"/>
      <c r="D113" s="2"/>
      <c r="E113" s="2"/>
      <c r="F113" s="2"/>
      <c r="G113" s="2"/>
      <c r="H113" s="2"/>
      <c r="I113" s="2"/>
    </row>
    <row r="114" spans="3:9">
      <c r="C114" s="2"/>
      <c r="D114" s="2"/>
      <c r="E114" s="2"/>
      <c r="F114" s="2"/>
      <c r="G114" s="2"/>
      <c r="H114" s="2"/>
      <c r="I114" s="2"/>
    </row>
    <row r="115" spans="3:9">
      <c r="C115" s="2"/>
      <c r="D115" s="2"/>
      <c r="E115" s="2"/>
      <c r="F115" s="2"/>
      <c r="G115" s="2"/>
      <c r="H115" s="2"/>
      <c r="I115" s="2"/>
    </row>
    <row r="116" spans="3:9">
      <c r="C116" s="2"/>
      <c r="D116" s="2"/>
      <c r="E116" s="2"/>
      <c r="F116" s="2"/>
      <c r="G116" s="2"/>
      <c r="H116" s="2"/>
      <c r="I116" s="2"/>
    </row>
    <row r="117" spans="3:9">
      <c r="C117" s="2"/>
      <c r="D117" s="2"/>
      <c r="E117" s="2"/>
      <c r="F117" s="2"/>
      <c r="G117" s="2"/>
      <c r="H117" s="2"/>
      <c r="I117" s="2"/>
    </row>
    <row r="118" spans="3:9">
      <c r="C118" s="2"/>
      <c r="D118" s="2"/>
      <c r="E118" s="2"/>
      <c r="F118" s="2"/>
      <c r="G118" s="2"/>
      <c r="H118" s="2"/>
      <c r="I118" s="2"/>
    </row>
    <row r="119" spans="3:9">
      <c r="C119" s="2"/>
      <c r="D119" s="2"/>
      <c r="E119" s="2"/>
      <c r="F119" s="2"/>
      <c r="G119" s="2"/>
      <c r="H119" s="2"/>
      <c r="I119" s="2"/>
    </row>
    <row r="120" spans="3:9">
      <c r="C120" s="2"/>
      <c r="D120" s="2"/>
      <c r="E120" s="2"/>
      <c r="F120" s="2"/>
      <c r="G120" s="2"/>
      <c r="H120" s="2"/>
      <c r="I120" s="2"/>
    </row>
    <row r="121" spans="3:9">
      <c r="C121" s="2"/>
      <c r="D121" s="2"/>
      <c r="E121" s="2"/>
      <c r="F121" s="2"/>
      <c r="G121" s="2"/>
      <c r="H121" s="2"/>
      <c r="I121" s="2"/>
    </row>
    <row r="122" spans="3:9">
      <c r="C122" s="2"/>
      <c r="D122" s="2"/>
      <c r="E122" s="2"/>
      <c r="F122" s="2"/>
      <c r="G122" s="2"/>
      <c r="H122" s="2"/>
      <c r="I122" s="2"/>
    </row>
    <row r="123" spans="3:9">
      <c r="C123" s="2"/>
      <c r="D123" s="2"/>
      <c r="E123" s="2"/>
      <c r="F123" s="2"/>
      <c r="G123" s="2"/>
      <c r="H123" s="2"/>
      <c r="I123" s="2"/>
    </row>
    <row r="124" spans="3:9">
      <c r="C124" s="2"/>
      <c r="D124" s="2"/>
      <c r="E124" s="2"/>
      <c r="F124" s="2"/>
      <c r="G124" s="2"/>
      <c r="H124" s="2"/>
      <c r="I124" s="2"/>
    </row>
    <row r="125" spans="3:9">
      <c r="C125" s="2"/>
      <c r="D125" s="2"/>
      <c r="E125" s="2"/>
      <c r="F125" s="2"/>
      <c r="G125" s="2"/>
      <c r="H125" s="2"/>
      <c r="I125" s="2"/>
    </row>
    <row r="126" spans="3:9">
      <c r="C126" s="2"/>
      <c r="D126" s="2"/>
      <c r="E126" s="2"/>
      <c r="F126" s="2"/>
      <c r="G126" s="2"/>
      <c r="H126" s="2"/>
      <c r="I126" s="2"/>
    </row>
    <row r="127" spans="3:9">
      <c r="C127" s="2"/>
      <c r="D127" s="2"/>
      <c r="E127" s="2"/>
      <c r="F127" s="2"/>
      <c r="G127" s="2"/>
      <c r="H127" s="2"/>
      <c r="I127" s="2"/>
    </row>
    <row r="128" spans="3:9">
      <c r="C128" s="2"/>
      <c r="D128" s="2"/>
      <c r="E128" s="2"/>
      <c r="F128" s="2"/>
      <c r="G128" s="2"/>
      <c r="H128" s="2"/>
      <c r="I128" s="2"/>
    </row>
    <row r="129" spans="3:9">
      <c r="C129" s="2"/>
      <c r="D129" s="2"/>
      <c r="E129" s="2"/>
      <c r="F129" s="2"/>
      <c r="G129" s="2"/>
      <c r="H129" s="2"/>
      <c r="I129" s="2"/>
    </row>
    <row r="130" spans="3:9">
      <c r="C130" s="2"/>
      <c r="D130" s="2"/>
      <c r="E130" s="2"/>
      <c r="F130" s="2"/>
      <c r="G130" s="2"/>
      <c r="H130" s="2"/>
      <c r="I130" s="2"/>
    </row>
    <row r="131" spans="3:9">
      <c r="C131" s="2"/>
      <c r="D131" s="2"/>
      <c r="E131" s="2"/>
      <c r="F131" s="2"/>
      <c r="G131" s="2"/>
      <c r="H131" s="2"/>
      <c r="I131" s="2"/>
    </row>
    <row r="132" spans="3:9">
      <c r="C132" s="2"/>
      <c r="D132" s="2"/>
      <c r="E132" s="2"/>
      <c r="F132" s="2"/>
      <c r="G132" s="2"/>
      <c r="H132" s="2"/>
      <c r="I132" s="2"/>
    </row>
    <row r="133" spans="3:9">
      <c r="C133" s="2"/>
      <c r="D133" s="2"/>
      <c r="E133" s="2"/>
      <c r="F133" s="2"/>
      <c r="G133" s="2"/>
      <c r="H133" s="2"/>
      <c r="I133" s="2"/>
    </row>
    <row r="134" spans="3:9">
      <c r="C134" s="2"/>
      <c r="D134" s="2"/>
      <c r="E134" s="2"/>
      <c r="F134" s="2"/>
      <c r="G134" s="2"/>
      <c r="H134" s="2"/>
      <c r="I134" s="2"/>
    </row>
    <row r="135" spans="3:9">
      <c r="C135" s="2"/>
      <c r="D135" s="2"/>
      <c r="E135" s="2"/>
      <c r="F135" s="2"/>
      <c r="G135" s="2"/>
      <c r="H135" s="2"/>
      <c r="I135" s="2"/>
    </row>
    <row r="136" spans="3:9">
      <c r="C136" s="2"/>
      <c r="D136" s="2"/>
      <c r="E136" s="2"/>
      <c r="F136" s="2"/>
      <c r="G136" s="2"/>
      <c r="H136" s="2"/>
      <c r="I136" s="2"/>
    </row>
    <row r="137" spans="3:9">
      <c r="C137" s="2"/>
      <c r="D137" s="2"/>
      <c r="E137" s="2"/>
      <c r="F137" s="2"/>
      <c r="G137" s="2"/>
      <c r="H137" s="2"/>
      <c r="I137" s="2"/>
    </row>
    <row r="138" spans="3:9">
      <c r="C138" s="2"/>
      <c r="D138" s="2"/>
      <c r="E138" s="2"/>
      <c r="F138" s="2"/>
      <c r="G138" s="2"/>
      <c r="H138" s="2"/>
      <c r="I138" s="2"/>
    </row>
    <row r="139" spans="3:9">
      <c r="C139" s="2"/>
      <c r="D139" s="2"/>
      <c r="E139" s="2"/>
      <c r="F139" s="2"/>
      <c r="G139" s="2"/>
      <c r="H139" s="2"/>
      <c r="I139" s="2"/>
    </row>
    <row r="140" spans="3:9">
      <c r="C140" s="2"/>
      <c r="D140" s="2"/>
      <c r="E140" s="2"/>
      <c r="F140" s="2"/>
      <c r="G140" s="2"/>
      <c r="H140" s="2"/>
      <c r="I140" s="2"/>
    </row>
    <row r="141" spans="3:9">
      <c r="C141" s="2"/>
      <c r="D141" s="2"/>
      <c r="E141" s="2"/>
      <c r="F141" s="2"/>
      <c r="G141" s="2"/>
      <c r="H141" s="2"/>
      <c r="I141" s="2"/>
    </row>
    <row r="142" spans="3:9">
      <c r="C142" s="2"/>
      <c r="D142" s="2"/>
      <c r="E142" s="2"/>
      <c r="F142" s="2"/>
      <c r="G142" s="2"/>
      <c r="H142" s="2"/>
      <c r="I142" s="2"/>
    </row>
    <row r="143" spans="3:9">
      <c r="C143" s="2"/>
      <c r="D143" s="2"/>
      <c r="E143" s="2"/>
      <c r="F143" s="2"/>
      <c r="G143" s="2"/>
      <c r="H143" s="2"/>
      <c r="I143" s="2"/>
    </row>
    <row r="144" spans="3:9">
      <c r="C144" s="2"/>
      <c r="D144" s="2"/>
      <c r="E144" s="2"/>
      <c r="F144" s="2"/>
      <c r="G144" s="2"/>
      <c r="H144" s="2"/>
      <c r="I144" s="2"/>
    </row>
    <row r="145" spans="3:9">
      <c r="C145" s="2"/>
      <c r="D145" s="2"/>
      <c r="E145" s="2"/>
      <c r="F145" s="2"/>
      <c r="G145" s="2"/>
      <c r="H145" s="2"/>
      <c r="I145" s="2"/>
    </row>
    <row r="146" spans="3:9">
      <c r="C146" s="2"/>
      <c r="D146" s="2"/>
      <c r="E146" s="2"/>
      <c r="F146" s="2"/>
      <c r="G146" s="2"/>
      <c r="H146" s="2"/>
      <c r="I146" s="2"/>
    </row>
    <row r="147" spans="3:9">
      <c r="C147" s="2"/>
      <c r="D147" s="2"/>
      <c r="E147" s="2"/>
      <c r="F147" s="2"/>
      <c r="G147" s="2"/>
      <c r="H147" s="2"/>
      <c r="I147" s="2"/>
    </row>
    <row r="148" spans="3:9">
      <c r="C148" s="2"/>
      <c r="D148" s="2"/>
      <c r="E148" s="2"/>
      <c r="F148" s="2"/>
      <c r="G148" s="2"/>
      <c r="H148" s="2"/>
      <c r="I148" s="2"/>
    </row>
    <row r="149" spans="3:9">
      <c r="C149" s="2"/>
      <c r="D149" s="2"/>
      <c r="E149" s="2"/>
      <c r="F149" s="2"/>
      <c r="G149" s="2"/>
      <c r="H149" s="2"/>
      <c r="I149" s="2"/>
    </row>
    <row r="150" spans="3:9">
      <c r="C150" s="2"/>
      <c r="D150" s="2"/>
      <c r="E150" s="2"/>
      <c r="F150" s="2"/>
      <c r="G150" s="2"/>
      <c r="H150" s="2"/>
      <c r="I150" s="2"/>
    </row>
    <row r="151" spans="3:9">
      <c r="C151" s="2"/>
      <c r="D151" s="2"/>
      <c r="E151" s="2"/>
      <c r="F151" s="2"/>
      <c r="G151" s="2"/>
      <c r="H151" s="2"/>
      <c r="I151" s="2"/>
    </row>
    <row r="152" spans="3:9">
      <c r="C152" s="2"/>
      <c r="D152" s="2"/>
      <c r="E152" s="2"/>
      <c r="F152" s="2"/>
      <c r="G152" s="2"/>
      <c r="H152" s="2"/>
      <c r="I152" s="2"/>
    </row>
    <row r="153" spans="3:9">
      <c r="C153" s="2"/>
      <c r="D153" s="2"/>
      <c r="E153" s="2"/>
      <c r="F153" s="2"/>
      <c r="G153" s="2"/>
      <c r="H153" s="2"/>
      <c r="I153" s="2"/>
    </row>
    <row r="154" spans="3:9">
      <c r="C154" s="2"/>
      <c r="D154" s="2"/>
      <c r="E154" s="2"/>
      <c r="F154" s="2"/>
      <c r="G154" s="2"/>
      <c r="H154" s="2"/>
      <c r="I154" s="2"/>
    </row>
    <row r="155" spans="3:9">
      <c r="C155" s="2"/>
      <c r="D155" s="2"/>
      <c r="E155" s="2"/>
      <c r="F155" s="2"/>
      <c r="G155" s="2"/>
      <c r="H155" s="2"/>
      <c r="I155" s="2"/>
    </row>
    <row r="156" spans="3:9">
      <c r="C156" s="2"/>
      <c r="D156" s="2"/>
      <c r="E156" s="2"/>
      <c r="F156" s="2"/>
      <c r="G156" s="2"/>
      <c r="H156" s="2"/>
      <c r="I156" s="2"/>
    </row>
    <row r="157" spans="3:9">
      <c r="C157" s="2"/>
      <c r="D157" s="2"/>
      <c r="E157" s="2"/>
      <c r="F157" s="2"/>
      <c r="G157" s="2"/>
      <c r="H157" s="2"/>
      <c r="I157" s="2"/>
    </row>
    <row r="158" spans="3:9">
      <c r="C158" s="2"/>
      <c r="D158" s="2"/>
      <c r="E158" s="2"/>
      <c r="F158" s="2"/>
      <c r="G158" s="2"/>
      <c r="H158" s="2"/>
      <c r="I158" s="2"/>
    </row>
    <row r="159" spans="3:9">
      <c r="C159" s="2"/>
      <c r="D159" s="2"/>
      <c r="E159" s="2"/>
      <c r="F159" s="2"/>
      <c r="G159" s="2"/>
      <c r="H159" s="2"/>
      <c r="I159" s="2"/>
    </row>
    <row r="160" spans="3:9">
      <c r="C160" s="2"/>
      <c r="D160" s="2"/>
      <c r="E160" s="2"/>
      <c r="F160" s="2"/>
      <c r="G160" s="2"/>
      <c r="H160" s="2"/>
      <c r="I160" s="2"/>
    </row>
    <row r="161" spans="3:9">
      <c r="C161" s="2"/>
      <c r="D161" s="2"/>
      <c r="E161" s="2"/>
      <c r="F161" s="2"/>
      <c r="G161" s="2"/>
      <c r="H161" s="2"/>
      <c r="I161" s="2"/>
    </row>
    <row r="162" spans="3:9">
      <c r="C162" s="2"/>
      <c r="D162" s="2"/>
      <c r="E162" s="2"/>
      <c r="F162" s="2"/>
      <c r="G162" s="2"/>
      <c r="H162" s="2"/>
      <c r="I162" s="2"/>
    </row>
    <row r="163" spans="3:9">
      <c r="C163" s="2"/>
      <c r="D163" s="2"/>
      <c r="E163" s="2"/>
      <c r="F163" s="2"/>
      <c r="G163" s="2"/>
      <c r="H163" s="2"/>
      <c r="I163" s="2"/>
    </row>
    <row r="164" spans="3:9">
      <c r="C164" s="2"/>
      <c r="D164" s="2"/>
      <c r="E164" s="2"/>
      <c r="F164" s="2"/>
      <c r="G164" s="2"/>
      <c r="H164" s="2"/>
      <c r="I164" s="2"/>
    </row>
    <row r="165" spans="3:9">
      <c r="C165" s="2"/>
      <c r="D165" s="2"/>
      <c r="E165" s="2"/>
      <c r="F165" s="2"/>
      <c r="G165" s="2"/>
      <c r="H165" s="2"/>
      <c r="I165" s="2"/>
    </row>
    <row r="166" spans="3:9">
      <c r="C166" s="2"/>
      <c r="D166" s="2"/>
      <c r="E166" s="2"/>
      <c r="F166" s="2"/>
      <c r="G166" s="2"/>
      <c r="H166" s="2"/>
      <c r="I166" s="2"/>
    </row>
    <row r="167" spans="3:9">
      <c r="C167" s="2"/>
      <c r="D167" s="2"/>
      <c r="E167" s="2"/>
      <c r="F167" s="2"/>
      <c r="G167" s="2"/>
      <c r="H167" s="2"/>
      <c r="I167" s="2"/>
    </row>
    <row r="168" spans="3:9">
      <c r="C168" s="2"/>
      <c r="D168" s="2"/>
      <c r="E168" s="2"/>
      <c r="F168" s="2"/>
      <c r="G168" s="2"/>
      <c r="H168" s="2"/>
      <c r="I168" s="2"/>
    </row>
    <row r="169" spans="3:9">
      <c r="C169" s="2"/>
      <c r="D169" s="2"/>
      <c r="E169" s="2"/>
      <c r="F169" s="2"/>
      <c r="G169" s="2"/>
      <c r="H169" s="2"/>
      <c r="I169" s="2"/>
    </row>
    <row r="170" spans="3:9">
      <c r="C170" s="2"/>
      <c r="D170" s="2"/>
      <c r="E170" s="2"/>
      <c r="F170" s="2"/>
      <c r="G170" s="2"/>
      <c r="H170" s="2"/>
      <c r="I170" s="2"/>
    </row>
    <row r="171" spans="3:9">
      <c r="C171" s="2"/>
      <c r="D171" s="2"/>
      <c r="E171" s="2"/>
      <c r="F171" s="2"/>
      <c r="G171" s="2"/>
      <c r="H171" s="2"/>
      <c r="I171" s="2"/>
    </row>
    <row r="172" spans="3:9">
      <c r="C172" s="2"/>
      <c r="D172" s="2"/>
      <c r="E172" s="2"/>
      <c r="F172" s="2"/>
      <c r="G172" s="2"/>
      <c r="H172" s="2"/>
      <c r="I172" s="2"/>
    </row>
    <row r="173" spans="3:9">
      <c r="C173" s="2"/>
      <c r="D173" s="2"/>
      <c r="E173" s="2"/>
      <c r="F173" s="2"/>
      <c r="G173" s="2"/>
      <c r="H173" s="2"/>
      <c r="I173" s="2"/>
    </row>
    <row r="174" spans="3:9">
      <c r="C174" s="2"/>
      <c r="D174" s="2"/>
      <c r="E174" s="2"/>
      <c r="F174" s="2"/>
      <c r="G174" s="2"/>
      <c r="H174" s="2"/>
      <c r="I174" s="2"/>
    </row>
    <row r="175" spans="3:9">
      <c r="C175" s="2"/>
      <c r="D175" s="2"/>
      <c r="E175" s="2"/>
      <c r="F175" s="2"/>
      <c r="G175" s="2"/>
      <c r="H175" s="2"/>
      <c r="I175" s="2"/>
    </row>
    <row r="176" spans="3:9">
      <c r="C176" s="2"/>
      <c r="D176" s="2"/>
      <c r="E176" s="2"/>
      <c r="F176" s="2"/>
      <c r="G176" s="2"/>
      <c r="H176" s="2"/>
      <c r="I176" s="2"/>
    </row>
    <row r="177" spans="3:9">
      <c r="C177" s="2"/>
      <c r="D177" s="2"/>
      <c r="E177" s="2"/>
      <c r="F177" s="2"/>
      <c r="G177" s="2"/>
      <c r="H177" s="2"/>
      <c r="I177" s="2"/>
    </row>
    <row r="178" spans="3:9">
      <c r="C178" s="2"/>
      <c r="D178" s="2"/>
      <c r="E178" s="2"/>
      <c r="F178" s="2"/>
      <c r="G178" s="2"/>
      <c r="H178" s="2"/>
      <c r="I178" s="2"/>
    </row>
    <row r="179" spans="3:9">
      <c r="C179" s="2"/>
      <c r="D179" s="2"/>
      <c r="E179" s="2"/>
      <c r="F179" s="2"/>
      <c r="G179" s="2"/>
      <c r="H179" s="2"/>
      <c r="I179" s="2"/>
    </row>
    <row r="180" spans="3:9">
      <c r="C180" s="2"/>
      <c r="D180" s="2"/>
      <c r="E180" s="2"/>
      <c r="F180" s="2"/>
      <c r="G180" s="2"/>
      <c r="H180" s="2"/>
      <c r="I180" s="2"/>
    </row>
    <row r="181" spans="3:9">
      <c r="C181" s="2"/>
      <c r="D181" s="2"/>
      <c r="E181" s="2"/>
      <c r="F181" s="2"/>
      <c r="G181" s="2"/>
      <c r="H181" s="2"/>
      <c r="I181" s="2"/>
    </row>
    <row r="182" spans="3:9">
      <c r="C182" s="2"/>
      <c r="D182" s="2"/>
      <c r="E182" s="2"/>
      <c r="F182" s="2"/>
      <c r="G182" s="2"/>
      <c r="H182" s="2"/>
      <c r="I182" s="2"/>
    </row>
    <row r="183" spans="3:9">
      <c r="C183" s="2"/>
      <c r="D183" s="2"/>
      <c r="E183" s="2"/>
      <c r="F183" s="2"/>
      <c r="G183" s="2"/>
      <c r="H183" s="2"/>
      <c r="I183" s="2"/>
    </row>
    <row r="184" spans="3:9">
      <c r="C184" s="2"/>
      <c r="D184" s="2"/>
      <c r="E184" s="2"/>
      <c r="F184" s="2"/>
      <c r="G184" s="2"/>
      <c r="H184" s="2"/>
      <c r="I184" s="2"/>
    </row>
    <row r="185" spans="3:9">
      <c r="C185" s="2"/>
      <c r="D185" s="2"/>
      <c r="E185" s="2"/>
      <c r="F185" s="2"/>
      <c r="G185" s="2"/>
      <c r="H185" s="2"/>
      <c r="I185" s="2"/>
    </row>
    <row r="186" spans="3:9">
      <c r="C186" s="2"/>
      <c r="D186" s="2"/>
      <c r="E186" s="2"/>
      <c r="F186" s="2"/>
      <c r="G186" s="2"/>
      <c r="H186" s="2"/>
      <c r="I186" s="2"/>
    </row>
    <row r="187" spans="3:9">
      <c r="C187" s="2"/>
      <c r="D187" s="2"/>
      <c r="E187" s="2"/>
      <c r="F187" s="2"/>
      <c r="G187" s="2"/>
      <c r="H187" s="2"/>
      <c r="I187" s="2"/>
    </row>
    <row r="188" spans="3:9">
      <c r="C188" s="2"/>
      <c r="D188" s="2"/>
      <c r="E188" s="2"/>
      <c r="F188" s="2"/>
      <c r="G188" s="2"/>
      <c r="H188" s="2"/>
      <c r="I188" s="2"/>
    </row>
    <row r="189" spans="3:9">
      <c r="C189" s="2"/>
      <c r="D189" s="2"/>
      <c r="E189" s="2"/>
      <c r="F189" s="2"/>
      <c r="G189" s="2"/>
      <c r="H189" s="2"/>
      <c r="I189" s="2"/>
    </row>
    <row r="190" spans="3:9">
      <c r="C190" s="2"/>
      <c r="D190" s="2"/>
      <c r="E190" s="2"/>
      <c r="F190" s="2"/>
      <c r="G190" s="2"/>
      <c r="H190" s="2"/>
      <c r="I190" s="2"/>
    </row>
    <row r="191" spans="3:9">
      <c r="C191" s="2"/>
      <c r="D191" s="2"/>
      <c r="E191" s="2"/>
      <c r="F191" s="2"/>
      <c r="G191" s="2"/>
      <c r="H191" s="2"/>
      <c r="I191" s="2"/>
    </row>
    <row r="192" spans="3:9">
      <c r="C192" s="2"/>
      <c r="D192" s="2"/>
      <c r="E192" s="2"/>
      <c r="F192" s="2"/>
      <c r="G192" s="2"/>
      <c r="H192" s="2"/>
      <c r="I192" s="2"/>
    </row>
    <row r="193" spans="3:9">
      <c r="C193" s="2"/>
      <c r="D193" s="2"/>
      <c r="E193" s="2"/>
      <c r="F193" s="2"/>
      <c r="G193" s="2"/>
      <c r="H193" s="2"/>
      <c r="I193" s="2"/>
    </row>
    <row r="194" spans="3:9">
      <c r="C194" s="2"/>
      <c r="D194" s="2"/>
      <c r="E194" s="2"/>
      <c r="F194" s="2"/>
      <c r="G194" s="2"/>
      <c r="H194" s="2"/>
      <c r="I194" s="2"/>
    </row>
    <row r="195" spans="3:9">
      <c r="C195" s="2"/>
      <c r="D195" s="2"/>
      <c r="E195" s="2"/>
      <c r="F195" s="2"/>
      <c r="G195" s="2"/>
      <c r="H195" s="2"/>
      <c r="I195" s="2"/>
    </row>
    <row r="196" spans="3:9">
      <c r="C196" s="2"/>
      <c r="D196" s="2"/>
      <c r="E196" s="2"/>
      <c r="F196" s="2"/>
      <c r="G196" s="2"/>
      <c r="H196" s="2"/>
      <c r="I196" s="2"/>
    </row>
    <row r="197" spans="3:9">
      <c r="C197" s="2"/>
      <c r="D197" s="2"/>
      <c r="E197" s="2"/>
      <c r="F197" s="2"/>
      <c r="G197" s="2"/>
      <c r="H197" s="2"/>
      <c r="I197" s="2"/>
    </row>
    <row r="198" spans="3:9">
      <c r="C198" s="2"/>
      <c r="D198" s="2"/>
      <c r="E198" s="2"/>
      <c r="F198" s="2"/>
      <c r="G198" s="2"/>
      <c r="H198" s="2"/>
      <c r="I198" s="2"/>
    </row>
    <row r="199" spans="3:9">
      <c r="C199" s="2"/>
      <c r="D199" s="2"/>
      <c r="E199" s="2"/>
      <c r="F199" s="2"/>
      <c r="G199" s="2"/>
      <c r="H199" s="2"/>
      <c r="I199" s="2"/>
    </row>
    <row r="200" spans="3:9">
      <c r="C200" s="2"/>
      <c r="D200" s="2"/>
      <c r="E200" s="2"/>
      <c r="F200" s="2"/>
      <c r="G200" s="2"/>
      <c r="H200" s="2"/>
      <c r="I200" s="2"/>
    </row>
    <row r="201" spans="3:9">
      <c r="C201" s="2"/>
      <c r="D201" s="2"/>
      <c r="E201" s="2"/>
      <c r="F201" s="2"/>
      <c r="G201" s="2"/>
      <c r="H201" s="2"/>
      <c r="I201" s="2"/>
    </row>
    <row r="202" spans="3:9">
      <c r="C202" s="2"/>
      <c r="D202" s="2"/>
      <c r="E202" s="2"/>
      <c r="F202" s="2"/>
      <c r="G202" s="2"/>
      <c r="H202" s="2"/>
      <c r="I202" s="2"/>
    </row>
    <row r="203" spans="3:9">
      <c r="C203" s="2"/>
      <c r="D203" s="2"/>
      <c r="E203" s="2"/>
      <c r="F203" s="2"/>
      <c r="G203" s="2"/>
      <c r="H203" s="2"/>
      <c r="I203" s="2"/>
    </row>
    <row r="204" spans="3:9">
      <c r="C204" s="2"/>
      <c r="D204" s="2"/>
      <c r="E204" s="2"/>
      <c r="F204" s="2"/>
      <c r="G204" s="2"/>
      <c r="H204" s="2"/>
      <c r="I204" s="2"/>
    </row>
    <row r="205" spans="3:9">
      <c r="C205" s="2"/>
      <c r="D205" s="2"/>
      <c r="E205" s="2"/>
      <c r="F205" s="2"/>
      <c r="G205" s="2"/>
      <c r="H205" s="2"/>
      <c r="I205" s="2"/>
    </row>
    <row r="206" spans="3:9">
      <c r="C206" s="2"/>
      <c r="D206" s="2"/>
      <c r="E206" s="2"/>
      <c r="F206" s="2"/>
      <c r="G206" s="2"/>
      <c r="H206" s="2"/>
      <c r="I206" s="2"/>
    </row>
    <row r="207" spans="3:9">
      <c r="C207" s="2"/>
      <c r="D207" s="2"/>
      <c r="E207" s="2"/>
      <c r="F207" s="2"/>
      <c r="G207" s="2"/>
      <c r="H207" s="2"/>
      <c r="I207" s="2"/>
    </row>
    <row r="208" spans="3:9">
      <c r="C208" s="2"/>
      <c r="D208" s="2"/>
      <c r="E208" s="2"/>
      <c r="F208" s="2"/>
      <c r="G208" s="2"/>
      <c r="H208" s="2"/>
      <c r="I208" s="2"/>
    </row>
    <row r="209" spans="3:9">
      <c r="C209" s="2"/>
      <c r="D209" s="2"/>
      <c r="E209" s="2"/>
      <c r="F209" s="2"/>
      <c r="G209" s="2"/>
      <c r="H209" s="2"/>
      <c r="I209" s="2"/>
    </row>
    <row r="210" spans="3:9">
      <c r="C210" s="2"/>
      <c r="D210" s="2"/>
      <c r="E210" s="2"/>
      <c r="F210" s="2"/>
      <c r="G210" s="2"/>
      <c r="H210" s="2"/>
      <c r="I210" s="2"/>
    </row>
    <row r="211" spans="3:9">
      <c r="C211" s="2"/>
      <c r="D211" s="2"/>
      <c r="E211" s="2"/>
      <c r="F211" s="2"/>
      <c r="G211" s="2"/>
      <c r="H211" s="2"/>
      <c r="I211" s="2"/>
    </row>
    <row r="212" spans="3:9">
      <c r="C212" s="2"/>
      <c r="D212" s="2"/>
      <c r="E212" s="2"/>
      <c r="F212" s="2"/>
      <c r="G212" s="2"/>
      <c r="H212" s="2"/>
      <c r="I212" s="2"/>
    </row>
    <row r="213" spans="3:9">
      <c r="C213" s="2"/>
      <c r="D213" s="2"/>
      <c r="E213" s="2"/>
      <c r="F213" s="2"/>
      <c r="G213" s="2"/>
      <c r="H213" s="2"/>
      <c r="I213" s="2"/>
    </row>
    <row r="214" spans="3:9">
      <c r="C214" s="2"/>
      <c r="D214" s="2"/>
      <c r="E214" s="2"/>
      <c r="F214" s="2"/>
      <c r="G214" s="2"/>
      <c r="H214" s="2"/>
      <c r="I214" s="2"/>
    </row>
    <row r="215" spans="3:9">
      <c r="C215" s="2"/>
      <c r="D215" s="2"/>
      <c r="E215" s="2"/>
      <c r="F215" s="2"/>
      <c r="G215" s="2"/>
      <c r="H215" s="2"/>
      <c r="I215" s="2"/>
    </row>
    <row r="216" spans="3:9">
      <c r="C216" s="2"/>
      <c r="D216" s="2"/>
      <c r="E216" s="2"/>
      <c r="F216" s="2"/>
      <c r="G216" s="2"/>
      <c r="H216" s="2"/>
      <c r="I216" s="2"/>
    </row>
    <row r="217" spans="3:9">
      <c r="C217" s="2"/>
      <c r="D217" s="2"/>
      <c r="E217" s="2"/>
      <c r="F217" s="2"/>
      <c r="G217" s="2"/>
      <c r="H217" s="2"/>
      <c r="I217" s="2"/>
    </row>
    <row r="218" spans="3:9">
      <c r="C218" s="2"/>
      <c r="D218" s="2"/>
      <c r="E218" s="2"/>
      <c r="F218" s="2"/>
      <c r="G218" s="2"/>
      <c r="H218" s="2"/>
      <c r="I218" s="2"/>
    </row>
    <row r="219" spans="3:9">
      <c r="C219" s="2"/>
      <c r="D219" s="2"/>
      <c r="E219" s="2"/>
      <c r="F219" s="2"/>
      <c r="G219" s="2"/>
      <c r="H219" s="2"/>
      <c r="I219" s="2"/>
    </row>
    <row r="220" spans="3:9">
      <c r="C220" s="2"/>
      <c r="D220" s="2"/>
      <c r="E220" s="2"/>
      <c r="F220" s="2"/>
      <c r="G220" s="2"/>
      <c r="H220" s="2"/>
      <c r="I220" s="2"/>
    </row>
    <row r="221" spans="3:9">
      <c r="C221" s="2"/>
      <c r="D221" s="2"/>
      <c r="E221" s="2"/>
      <c r="F221" s="2"/>
      <c r="G221" s="2"/>
      <c r="H221" s="2"/>
      <c r="I221" s="2"/>
    </row>
    <row r="222" spans="3:9">
      <c r="C222" s="2"/>
      <c r="D222" s="2"/>
      <c r="E222" s="2"/>
      <c r="F222" s="2"/>
      <c r="G222" s="2"/>
      <c r="H222" s="2"/>
      <c r="I222" s="2"/>
    </row>
    <row r="223" spans="3:9">
      <c r="C223" s="2"/>
      <c r="D223" s="2"/>
      <c r="E223" s="2"/>
      <c r="F223" s="2"/>
      <c r="G223" s="2"/>
      <c r="H223" s="2"/>
      <c r="I223" s="2"/>
    </row>
    <row r="224" spans="3:9">
      <c r="C224" s="2"/>
      <c r="D224" s="2"/>
      <c r="E224" s="2"/>
      <c r="F224" s="2"/>
      <c r="G224" s="2"/>
      <c r="H224" s="2"/>
      <c r="I224" s="2"/>
    </row>
    <row r="225" spans="3:9">
      <c r="C225" s="2"/>
      <c r="D225" s="2"/>
      <c r="E225" s="2"/>
      <c r="F225" s="2"/>
      <c r="G225" s="2"/>
      <c r="H225" s="2"/>
      <c r="I225" s="2"/>
    </row>
    <row r="226" spans="3:9">
      <c r="C226" s="2"/>
      <c r="D226" s="2"/>
      <c r="E226" s="2"/>
      <c r="F226" s="2"/>
      <c r="G226" s="2"/>
      <c r="H226" s="2"/>
      <c r="I226" s="2"/>
    </row>
    <row r="227" spans="3:9">
      <c r="C227" s="2"/>
      <c r="D227" s="2"/>
      <c r="E227" s="2"/>
      <c r="F227" s="2"/>
      <c r="G227" s="2"/>
      <c r="H227" s="2"/>
      <c r="I227" s="2"/>
    </row>
    <row r="228" spans="3:9">
      <c r="C228" s="2"/>
      <c r="D228" s="2"/>
      <c r="E228" s="2"/>
      <c r="F228" s="2"/>
      <c r="G228" s="2"/>
      <c r="H228" s="2"/>
      <c r="I228" s="2"/>
    </row>
    <row r="229" spans="3:9">
      <c r="C229" s="2"/>
      <c r="D229" s="2"/>
      <c r="E229" s="2"/>
      <c r="F229" s="2"/>
      <c r="G229" s="2"/>
      <c r="H229" s="2"/>
      <c r="I229" s="2"/>
    </row>
    <row r="230" spans="3:9">
      <c r="C230" s="2"/>
      <c r="D230" s="2"/>
      <c r="E230" s="2"/>
      <c r="F230" s="2"/>
      <c r="G230" s="2"/>
      <c r="H230" s="2"/>
      <c r="I230" s="2"/>
    </row>
    <row r="231" spans="3:9">
      <c r="C231" s="2"/>
      <c r="D231" s="2"/>
      <c r="E231" s="2"/>
      <c r="F231" s="2"/>
      <c r="G231" s="2"/>
      <c r="H231" s="2"/>
      <c r="I231" s="2"/>
    </row>
    <row r="232" spans="3:9">
      <c r="C232" s="2"/>
      <c r="D232" s="2"/>
      <c r="E232" s="2"/>
      <c r="F232" s="2"/>
      <c r="G232" s="2"/>
      <c r="H232" s="2"/>
      <c r="I232" s="2"/>
    </row>
    <row r="233" spans="3:9">
      <c r="C233" s="2"/>
      <c r="D233" s="2"/>
      <c r="E233" s="2"/>
      <c r="F233" s="2"/>
      <c r="G233" s="2"/>
      <c r="H233" s="2"/>
      <c r="I233" s="2"/>
    </row>
    <row r="234" spans="3:9">
      <c r="C234" s="2"/>
      <c r="D234" s="2"/>
      <c r="E234" s="2"/>
      <c r="F234" s="2"/>
      <c r="G234" s="2"/>
      <c r="H234" s="2"/>
      <c r="I234" s="2"/>
    </row>
    <row r="235" spans="3:9">
      <c r="C235" s="2"/>
      <c r="D235" s="2"/>
      <c r="E235" s="2"/>
      <c r="F235" s="2"/>
      <c r="G235" s="2"/>
      <c r="H235" s="2"/>
      <c r="I235" s="2"/>
    </row>
    <row r="236" spans="3:9">
      <c r="C236" s="2"/>
      <c r="D236" s="2"/>
      <c r="E236" s="2"/>
      <c r="F236" s="2"/>
      <c r="G236" s="2"/>
      <c r="H236" s="2"/>
      <c r="I236" s="2"/>
    </row>
    <row r="237" spans="3:9">
      <c r="C237" s="2"/>
      <c r="D237" s="2"/>
      <c r="E237" s="2"/>
      <c r="F237" s="2"/>
      <c r="G237" s="2"/>
      <c r="H237" s="2"/>
      <c r="I237" s="2"/>
    </row>
    <row r="238" spans="3:9">
      <c r="C238" s="2"/>
      <c r="D238" s="2"/>
      <c r="E238" s="2"/>
      <c r="F238" s="2"/>
      <c r="G238" s="2"/>
      <c r="H238" s="2"/>
      <c r="I238" s="2"/>
    </row>
    <row r="239" spans="3:9">
      <c r="C239" s="2"/>
      <c r="D239" s="2"/>
      <c r="E239" s="2"/>
      <c r="F239" s="2"/>
      <c r="G239" s="2"/>
      <c r="H239" s="2"/>
      <c r="I239" s="2"/>
    </row>
    <row r="240" spans="3:9">
      <c r="C240" s="2"/>
      <c r="D240" s="2"/>
      <c r="E240" s="2"/>
      <c r="F240" s="2"/>
      <c r="G240" s="2"/>
      <c r="H240" s="2"/>
      <c r="I240" s="2"/>
    </row>
    <row r="241" spans="3:9">
      <c r="C241" s="2"/>
      <c r="D241" s="2"/>
      <c r="E241" s="2"/>
      <c r="F241" s="2"/>
      <c r="G241" s="2"/>
      <c r="H241" s="2"/>
      <c r="I241" s="2"/>
    </row>
    <row r="242" spans="3:9">
      <c r="C242" s="2"/>
      <c r="D242" s="2"/>
      <c r="E242" s="2"/>
      <c r="F242" s="2"/>
      <c r="G242" s="2"/>
      <c r="H242" s="2"/>
      <c r="I242" s="2"/>
    </row>
    <row r="243" spans="3:9">
      <c r="C243" s="2"/>
      <c r="D243" s="2"/>
      <c r="E243" s="2"/>
      <c r="F243" s="2"/>
      <c r="G243" s="2"/>
      <c r="H243" s="2"/>
      <c r="I243" s="2"/>
    </row>
    <row r="244" spans="3:9">
      <c r="C244" s="2"/>
      <c r="D244" s="2"/>
      <c r="E244" s="2"/>
      <c r="F244" s="2"/>
      <c r="G244" s="2"/>
      <c r="H244" s="2"/>
      <c r="I244" s="2"/>
    </row>
    <row r="245" spans="3:9">
      <c r="C245" s="2"/>
      <c r="D245" s="2"/>
      <c r="E245" s="2"/>
      <c r="F245" s="2"/>
      <c r="G245" s="2"/>
      <c r="H245" s="2"/>
      <c r="I245" s="2"/>
    </row>
    <row r="246" spans="3:9">
      <c r="C246" s="2"/>
      <c r="D246" s="2"/>
      <c r="E246" s="2"/>
      <c r="F246" s="2"/>
      <c r="G246" s="2"/>
      <c r="H246" s="2"/>
      <c r="I246" s="2"/>
    </row>
    <row r="247" spans="3:9">
      <c r="C247" s="2"/>
      <c r="D247" s="2"/>
      <c r="E247" s="2"/>
      <c r="F247" s="2"/>
      <c r="G247" s="2"/>
      <c r="H247" s="2"/>
      <c r="I247" s="2"/>
    </row>
    <row r="248" spans="3:9">
      <c r="C248" s="2"/>
      <c r="D248" s="2"/>
      <c r="E248" s="2"/>
      <c r="F248" s="2"/>
      <c r="G248" s="2"/>
      <c r="H248" s="2"/>
      <c r="I248" s="2"/>
    </row>
    <row r="249" spans="3:9">
      <c r="C249" s="2"/>
      <c r="D249" s="2"/>
      <c r="E249" s="2"/>
      <c r="F249" s="2"/>
      <c r="G249" s="2"/>
      <c r="H249" s="2"/>
      <c r="I249" s="2"/>
    </row>
    <row r="250" spans="3:9">
      <c r="C250" s="2"/>
      <c r="D250" s="2"/>
      <c r="E250" s="2"/>
      <c r="F250" s="2"/>
      <c r="G250" s="2"/>
      <c r="H250" s="2"/>
      <c r="I250" s="2"/>
    </row>
    <row r="251" spans="3:9">
      <c r="C251" s="2"/>
      <c r="D251" s="2"/>
      <c r="E251" s="2"/>
      <c r="F251" s="2"/>
      <c r="G251" s="2"/>
      <c r="H251" s="2"/>
      <c r="I251" s="2"/>
    </row>
    <row r="252" spans="3:9">
      <c r="C252" s="2"/>
      <c r="D252" s="2"/>
      <c r="E252" s="2"/>
      <c r="F252" s="2"/>
      <c r="G252" s="2"/>
      <c r="H252" s="2"/>
      <c r="I252" s="2"/>
    </row>
    <row r="253" spans="3:9">
      <c r="C253" s="2"/>
      <c r="D253" s="2"/>
      <c r="E253" s="2"/>
      <c r="F253" s="2"/>
      <c r="G253" s="2"/>
      <c r="H253" s="2"/>
      <c r="I253" s="2"/>
    </row>
    <row r="254" spans="3:9">
      <c r="C254" s="2"/>
      <c r="D254" s="2"/>
      <c r="E254" s="2"/>
      <c r="F254" s="2"/>
      <c r="G254" s="2"/>
      <c r="H254" s="2"/>
      <c r="I254" s="2"/>
    </row>
    <row r="255" spans="3:9">
      <c r="C255" s="2"/>
      <c r="D255" s="2"/>
      <c r="E255" s="2"/>
      <c r="F255" s="2"/>
      <c r="G255" s="2"/>
      <c r="H255" s="2"/>
      <c r="I255" s="2"/>
    </row>
    <row r="256" spans="3:9">
      <c r="C256" s="2"/>
      <c r="D256" s="2"/>
      <c r="E256" s="2"/>
      <c r="F256" s="2"/>
      <c r="G256" s="2"/>
      <c r="H256" s="2"/>
      <c r="I256" s="2"/>
    </row>
    <row r="257" spans="3:9">
      <c r="C257" s="2"/>
      <c r="D257" s="2"/>
      <c r="E257" s="2"/>
      <c r="F257" s="2"/>
      <c r="G257" s="2"/>
      <c r="H257" s="2"/>
      <c r="I257" s="2"/>
    </row>
    <row r="258" spans="3:9">
      <c r="C258" s="2"/>
      <c r="D258" s="2"/>
      <c r="E258" s="2"/>
      <c r="F258" s="2"/>
      <c r="G258" s="2"/>
      <c r="H258" s="2"/>
      <c r="I258" s="2"/>
    </row>
    <row r="259" spans="3:9">
      <c r="C259" s="2"/>
      <c r="D259" s="2"/>
      <c r="E259" s="2"/>
      <c r="F259" s="2"/>
      <c r="G259" s="2"/>
      <c r="H259" s="2"/>
      <c r="I259" s="2"/>
    </row>
    <row r="260" spans="3:9">
      <c r="C260" s="2"/>
      <c r="D260" s="2"/>
      <c r="E260" s="2"/>
      <c r="F260" s="2"/>
      <c r="G260" s="2"/>
      <c r="H260" s="2"/>
      <c r="I260" s="2"/>
    </row>
    <row r="261" spans="3:9">
      <c r="C261" s="2"/>
      <c r="D261" s="2"/>
      <c r="E261" s="2"/>
      <c r="F261" s="2"/>
      <c r="G261" s="2"/>
      <c r="H261" s="2"/>
      <c r="I261" s="2"/>
    </row>
    <row r="262" spans="3:9">
      <c r="C262" s="2"/>
      <c r="D262" s="2"/>
      <c r="E262" s="2"/>
      <c r="F262" s="2"/>
      <c r="G262" s="2"/>
      <c r="H262" s="2"/>
      <c r="I262" s="2"/>
    </row>
    <row r="263" spans="3:9">
      <c r="C263" s="2"/>
      <c r="D263" s="2"/>
      <c r="E263" s="2"/>
      <c r="F263" s="2"/>
      <c r="G263" s="2"/>
      <c r="H263" s="2"/>
      <c r="I263" s="2"/>
    </row>
    <row r="264" spans="3:9">
      <c r="C264" s="2"/>
      <c r="D264" s="2"/>
      <c r="E264" s="2"/>
      <c r="F264" s="2"/>
      <c r="G264" s="2"/>
      <c r="H264" s="2"/>
      <c r="I264" s="2"/>
    </row>
    <row r="265" spans="3:9">
      <c r="C265" s="2"/>
      <c r="D265" s="2"/>
      <c r="E265" s="2"/>
      <c r="F265" s="2"/>
      <c r="G265" s="2"/>
      <c r="H265" s="2"/>
      <c r="I265" s="2"/>
    </row>
    <row r="266" spans="3:9">
      <c r="C266" s="2"/>
      <c r="D266" s="2"/>
      <c r="E266" s="2"/>
      <c r="F266" s="2"/>
      <c r="G266" s="2"/>
      <c r="H266" s="2"/>
      <c r="I266" s="2"/>
    </row>
    <row r="267" spans="3:9">
      <c r="C267" s="2"/>
      <c r="D267" s="2"/>
      <c r="E267" s="2"/>
      <c r="F267" s="2"/>
      <c r="G267" s="2"/>
      <c r="H267" s="2"/>
      <c r="I267" s="2"/>
    </row>
    <row r="268" spans="3:9">
      <c r="C268" s="2"/>
      <c r="D268" s="2"/>
      <c r="E268" s="2"/>
      <c r="F268" s="2"/>
      <c r="G268" s="2"/>
      <c r="H268" s="2"/>
      <c r="I268" s="2"/>
    </row>
    <row r="269" spans="3:9">
      <c r="C269" s="2"/>
      <c r="D269" s="2"/>
      <c r="E269" s="2"/>
      <c r="F269" s="2"/>
      <c r="G269" s="2"/>
      <c r="H269" s="2"/>
      <c r="I269" s="2"/>
    </row>
    <row r="270" spans="3:9">
      <c r="C270" s="2"/>
      <c r="D270" s="2"/>
      <c r="E270" s="2"/>
      <c r="F270" s="2"/>
      <c r="G270" s="2"/>
      <c r="H270" s="2"/>
      <c r="I270" s="2"/>
    </row>
    <row r="271" spans="3:9">
      <c r="C271" s="2"/>
      <c r="D271" s="2"/>
      <c r="E271" s="2"/>
      <c r="F271" s="2"/>
      <c r="G271" s="2"/>
      <c r="H271" s="2"/>
      <c r="I271" s="2"/>
    </row>
    <row r="272" spans="3:9">
      <c r="C272" s="2"/>
      <c r="D272" s="2"/>
      <c r="E272" s="2"/>
      <c r="F272" s="2"/>
      <c r="G272" s="2"/>
      <c r="H272" s="2"/>
      <c r="I272" s="2"/>
    </row>
    <row r="273" spans="3:9">
      <c r="C273" s="2"/>
      <c r="D273" s="2"/>
      <c r="E273" s="2"/>
      <c r="F273" s="2"/>
      <c r="G273" s="2"/>
      <c r="H273" s="2"/>
      <c r="I273" s="2"/>
    </row>
    <row r="274" spans="3:9">
      <c r="C274" s="2"/>
      <c r="D274" s="2"/>
      <c r="E274" s="2"/>
      <c r="F274" s="2"/>
      <c r="G274" s="2"/>
      <c r="H274" s="2"/>
      <c r="I274" s="2"/>
    </row>
    <row r="275" spans="3:9">
      <c r="C275" s="2"/>
      <c r="D275" s="2"/>
      <c r="E275" s="2"/>
      <c r="F275" s="2"/>
      <c r="G275" s="2"/>
      <c r="H275" s="2"/>
      <c r="I275" s="2"/>
    </row>
    <row r="276" spans="3:9">
      <c r="C276" s="2"/>
      <c r="D276" s="2"/>
      <c r="E276" s="2"/>
      <c r="F276" s="2"/>
      <c r="G276" s="2"/>
      <c r="H276" s="2"/>
      <c r="I276" s="2"/>
    </row>
    <row r="277" spans="3:9">
      <c r="C277" s="2"/>
      <c r="D277" s="2"/>
      <c r="E277" s="2"/>
      <c r="F277" s="2"/>
      <c r="G277" s="2"/>
      <c r="H277" s="2"/>
      <c r="I277" s="2"/>
    </row>
    <row r="278" spans="3:9">
      <c r="C278" s="2"/>
      <c r="D278" s="2"/>
      <c r="E278" s="2"/>
      <c r="F278" s="2"/>
      <c r="G278" s="2"/>
      <c r="H278" s="2"/>
      <c r="I278" s="2"/>
    </row>
    <row r="279" spans="3:9">
      <c r="C279" s="2"/>
      <c r="D279" s="2"/>
      <c r="E279" s="2"/>
      <c r="F279" s="2"/>
      <c r="G279" s="2"/>
      <c r="H279" s="2"/>
      <c r="I279" s="2"/>
    </row>
    <row r="280" spans="3:9">
      <c r="C280" s="2"/>
      <c r="D280" s="2"/>
      <c r="E280" s="2"/>
      <c r="F280" s="2"/>
      <c r="G280" s="2"/>
      <c r="H280" s="2"/>
      <c r="I280" s="2"/>
    </row>
    <row r="281" spans="3:9">
      <c r="C281" s="2"/>
      <c r="D281" s="2"/>
      <c r="E281" s="2"/>
      <c r="F281" s="2"/>
      <c r="G281" s="2"/>
      <c r="H281" s="2"/>
      <c r="I281" s="2"/>
    </row>
    <row r="282" spans="3:9">
      <c r="C282" s="2"/>
      <c r="D282" s="2"/>
      <c r="E282" s="2"/>
      <c r="F282" s="2"/>
      <c r="G282" s="2"/>
      <c r="H282" s="2"/>
      <c r="I282" s="2"/>
    </row>
    <row r="283" spans="3:9">
      <c r="C283" s="2"/>
      <c r="D283" s="2"/>
      <c r="E283" s="2"/>
      <c r="F283" s="2"/>
      <c r="G283" s="2"/>
      <c r="H283" s="2"/>
      <c r="I283" s="2"/>
    </row>
    <row r="284" spans="3:9">
      <c r="C284" s="2"/>
      <c r="D284" s="2"/>
      <c r="E284" s="2"/>
      <c r="F284" s="2"/>
      <c r="G284" s="2"/>
      <c r="H284" s="2"/>
      <c r="I284" s="2"/>
    </row>
    <row r="285" spans="3:9">
      <c r="C285" s="2"/>
      <c r="D285" s="2"/>
      <c r="E285" s="2"/>
      <c r="F285" s="2"/>
      <c r="G285" s="2"/>
      <c r="H285" s="2"/>
      <c r="I285" s="2"/>
    </row>
    <row r="286" spans="3:9">
      <c r="C286" s="2"/>
      <c r="D286" s="2"/>
      <c r="E286" s="2"/>
      <c r="F286" s="2"/>
      <c r="G286" s="2"/>
      <c r="H286" s="2"/>
      <c r="I286" s="2"/>
    </row>
    <row r="287" spans="3:9">
      <c r="C287" s="2"/>
      <c r="D287" s="2"/>
      <c r="E287" s="2"/>
      <c r="F287" s="2"/>
      <c r="G287" s="2"/>
      <c r="H287" s="2"/>
      <c r="I287" s="2"/>
    </row>
    <row r="288" spans="3:9">
      <c r="C288" s="2"/>
      <c r="D288" s="2"/>
      <c r="E288" s="2"/>
      <c r="F288" s="2"/>
      <c r="G288" s="2"/>
      <c r="H288" s="2"/>
      <c r="I288" s="2"/>
    </row>
    <row r="289" spans="3:9">
      <c r="C289" s="2"/>
      <c r="D289" s="2"/>
      <c r="E289" s="2"/>
      <c r="F289" s="2"/>
      <c r="G289" s="2"/>
      <c r="H289" s="2"/>
      <c r="I289" s="2"/>
    </row>
    <row r="290" spans="3:9">
      <c r="C290" s="2"/>
      <c r="D290" s="2"/>
      <c r="E290" s="2"/>
      <c r="F290" s="2"/>
      <c r="G290" s="2"/>
      <c r="H290" s="2"/>
      <c r="I290" s="2"/>
    </row>
    <row r="291" spans="3:9">
      <c r="C291" s="2"/>
      <c r="D291" s="2"/>
      <c r="E291" s="2"/>
      <c r="F291" s="2"/>
      <c r="G291" s="2"/>
      <c r="H291" s="2"/>
      <c r="I291" s="2"/>
    </row>
    <row r="292" spans="3:9">
      <c r="C292" s="2"/>
      <c r="D292" s="2"/>
      <c r="E292" s="2"/>
      <c r="F292" s="2"/>
      <c r="G292" s="2"/>
      <c r="H292" s="2"/>
      <c r="I292" s="2"/>
    </row>
    <row r="293" spans="3:9">
      <c r="C293" s="2"/>
      <c r="D293" s="2"/>
      <c r="E293" s="2"/>
      <c r="F293" s="2"/>
      <c r="G293" s="2"/>
      <c r="H293" s="2"/>
      <c r="I293" s="2"/>
    </row>
    <row r="294" spans="3:9">
      <c r="C294" s="2"/>
      <c r="D294" s="2"/>
      <c r="E294" s="2"/>
      <c r="F294" s="2"/>
      <c r="G294" s="2"/>
      <c r="H294" s="2"/>
      <c r="I294" s="2"/>
    </row>
    <row r="295" spans="3:9">
      <c r="C295" s="2"/>
      <c r="D295" s="2"/>
      <c r="E295" s="2"/>
      <c r="F295" s="2"/>
      <c r="G295" s="2"/>
      <c r="H295" s="2"/>
      <c r="I295" s="2"/>
    </row>
    <row r="296" spans="3:9">
      <c r="C296" s="2"/>
      <c r="D296" s="2"/>
      <c r="E296" s="2"/>
      <c r="F296" s="2"/>
      <c r="G296" s="2"/>
      <c r="H296" s="2"/>
      <c r="I296" s="2"/>
    </row>
    <row r="297" spans="3:9">
      <c r="C297" s="2"/>
      <c r="D297" s="2"/>
      <c r="E297" s="2"/>
      <c r="F297" s="2"/>
      <c r="G297" s="2"/>
      <c r="H297" s="2"/>
      <c r="I297" s="2"/>
    </row>
    <row r="298" spans="3:9">
      <c r="C298" s="2"/>
      <c r="D298" s="2"/>
      <c r="E298" s="2"/>
      <c r="F298" s="2"/>
      <c r="G298" s="2"/>
      <c r="H298" s="2"/>
      <c r="I298" s="2"/>
    </row>
    <row r="299" spans="3:9">
      <c r="C299" s="2"/>
      <c r="D299" s="2"/>
      <c r="E299" s="2"/>
      <c r="F299" s="2"/>
      <c r="G299" s="2"/>
      <c r="H299" s="2"/>
      <c r="I299" s="2"/>
    </row>
    <row r="300" spans="3:9">
      <c r="C300" s="2"/>
      <c r="D300" s="2"/>
      <c r="E300" s="2"/>
      <c r="F300" s="2"/>
      <c r="G300" s="2"/>
      <c r="H300" s="2"/>
      <c r="I300" s="2"/>
    </row>
    <row r="301" spans="3:9">
      <c r="C301" s="2"/>
      <c r="D301" s="2"/>
      <c r="E301" s="2"/>
      <c r="F301" s="2"/>
      <c r="G301" s="2"/>
      <c r="H301" s="2"/>
      <c r="I301" s="2"/>
    </row>
    <row r="302" spans="3:9">
      <c r="C302" s="2"/>
      <c r="D302" s="2"/>
      <c r="E302" s="2"/>
      <c r="F302" s="2"/>
      <c r="G302" s="2"/>
      <c r="H302" s="2"/>
      <c r="I302" s="2"/>
    </row>
    <row r="303" spans="3:9">
      <c r="C303" s="2"/>
      <c r="D303" s="2"/>
      <c r="E303" s="2"/>
      <c r="F303" s="2"/>
      <c r="G303" s="2"/>
      <c r="H303" s="2"/>
      <c r="I303" s="2"/>
    </row>
    <row r="304" spans="3:9">
      <c r="C304" s="2"/>
      <c r="D304" s="2"/>
      <c r="E304" s="2"/>
      <c r="F304" s="2"/>
      <c r="G304" s="2"/>
      <c r="H304" s="2"/>
      <c r="I304" s="2"/>
    </row>
    <row r="305" spans="3:9">
      <c r="C305" s="2"/>
      <c r="D305" s="2"/>
      <c r="E305" s="2"/>
      <c r="F305" s="2"/>
      <c r="G305" s="2"/>
      <c r="H305" s="2"/>
      <c r="I305" s="2"/>
    </row>
    <row r="306" spans="3:9">
      <c r="C306" s="2"/>
      <c r="D306" s="2"/>
      <c r="E306" s="2"/>
      <c r="F306" s="2"/>
      <c r="G306" s="2"/>
      <c r="H306" s="2"/>
      <c r="I306" s="2"/>
    </row>
    <row r="307" spans="3:9">
      <c r="C307" s="2"/>
      <c r="D307" s="2"/>
      <c r="E307" s="2"/>
      <c r="F307" s="2"/>
      <c r="G307" s="2"/>
      <c r="H307" s="2"/>
      <c r="I307" s="2"/>
    </row>
    <row r="308" spans="3:9">
      <c r="C308" s="2"/>
      <c r="D308" s="2"/>
      <c r="E308" s="2"/>
      <c r="F308" s="2"/>
      <c r="G308" s="2"/>
      <c r="H308" s="2"/>
      <c r="I308" s="2"/>
    </row>
    <row r="309" spans="3:9">
      <c r="C309" s="2"/>
      <c r="D309" s="2"/>
      <c r="E309" s="2"/>
      <c r="F309" s="2"/>
      <c r="G309" s="2"/>
      <c r="H309" s="2"/>
      <c r="I309" s="2"/>
    </row>
    <row r="310" spans="3:9">
      <c r="C310" s="2"/>
      <c r="D310" s="2"/>
      <c r="E310" s="2"/>
      <c r="F310" s="2"/>
      <c r="G310" s="2"/>
      <c r="H310" s="2"/>
      <c r="I310" s="2"/>
    </row>
    <row r="311" spans="3:9">
      <c r="C311" s="2"/>
      <c r="D311" s="2"/>
      <c r="E311" s="2"/>
      <c r="F311" s="2"/>
      <c r="G311" s="2"/>
      <c r="H311" s="2"/>
      <c r="I311" s="2"/>
    </row>
    <row r="312" spans="3:9">
      <c r="C312" s="2"/>
      <c r="D312" s="2"/>
      <c r="E312" s="2"/>
      <c r="F312" s="2"/>
      <c r="G312" s="2"/>
      <c r="H312" s="2"/>
      <c r="I312" s="2"/>
    </row>
    <row r="313" spans="3:9">
      <c r="C313" s="2"/>
      <c r="D313" s="2"/>
      <c r="E313" s="2"/>
      <c r="F313" s="2"/>
      <c r="G313" s="2"/>
      <c r="H313" s="2"/>
      <c r="I313" s="2"/>
    </row>
    <row r="314" spans="3:9">
      <c r="C314" s="2"/>
      <c r="D314" s="2"/>
      <c r="E314" s="2"/>
      <c r="F314" s="2"/>
      <c r="G314" s="2"/>
      <c r="H314" s="2"/>
      <c r="I314" s="2"/>
    </row>
    <row r="315" spans="3:9">
      <c r="C315" s="2"/>
      <c r="D315" s="2"/>
      <c r="E315" s="2"/>
      <c r="F315" s="2"/>
      <c r="G315" s="2"/>
      <c r="H315" s="2"/>
      <c r="I315" s="2"/>
    </row>
    <row r="316" spans="3:9">
      <c r="C316" s="2"/>
      <c r="D316" s="2"/>
      <c r="E316" s="2"/>
      <c r="F316" s="2"/>
      <c r="G316" s="2"/>
      <c r="H316" s="2"/>
      <c r="I316" s="2"/>
    </row>
    <row r="317" spans="3:9">
      <c r="C317" s="2"/>
      <c r="D317" s="2"/>
      <c r="E317" s="2"/>
      <c r="F317" s="2"/>
      <c r="G317" s="2"/>
      <c r="H317" s="2"/>
      <c r="I317" s="2"/>
    </row>
    <row r="318" spans="3:9">
      <c r="C318" s="2"/>
      <c r="D318" s="2"/>
      <c r="E318" s="2"/>
      <c r="F318" s="2"/>
      <c r="G318" s="2"/>
      <c r="H318" s="2"/>
      <c r="I318" s="2"/>
    </row>
    <row r="319" spans="3:9">
      <c r="C319" s="2"/>
      <c r="D319" s="2"/>
      <c r="E319" s="2"/>
      <c r="F319" s="2"/>
      <c r="G319" s="2"/>
      <c r="H319" s="2"/>
      <c r="I319" s="2"/>
    </row>
    <row r="320" spans="3:9">
      <c r="C320" s="2"/>
      <c r="D320" s="2"/>
      <c r="E320" s="2"/>
      <c r="F320" s="2"/>
      <c r="G320" s="2"/>
      <c r="H320" s="2"/>
      <c r="I320" s="2"/>
    </row>
    <row r="321" spans="3:9">
      <c r="C321" s="2"/>
      <c r="D321" s="2"/>
      <c r="E321" s="2"/>
      <c r="F321" s="2"/>
      <c r="G321" s="2"/>
      <c r="H321" s="2"/>
      <c r="I321" s="2"/>
    </row>
    <row r="322" spans="3:9">
      <c r="C322" s="2"/>
      <c r="D322" s="2"/>
      <c r="E322" s="2"/>
      <c r="F322" s="2"/>
      <c r="G322" s="2"/>
      <c r="H322" s="2"/>
      <c r="I322" s="2"/>
    </row>
    <row r="323" spans="3:9">
      <c r="C323" s="2"/>
      <c r="D323" s="2"/>
      <c r="E323" s="2"/>
      <c r="F323" s="2"/>
      <c r="G323" s="2"/>
      <c r="H323" s="2"/>
      <c r="I323" s="2"/>
    </row>
    <row r="324" spans="3:9">
      <c r="C324" s="2"/>
      <c r="D324" s="2"/>
      <c r="E324" s="2"/>
      <c r="F324" s="2"/>
      <c r="G324" s="2"/>
      <c r="H324" s="2"/>
      <c r="I324" s="2"/>
    </row>
    <row r="325" spans="3:9">
      <c r="C325" s="2"/>
      <c r="D325" s="2"/>
      <c r="E325" s="2"/>
      <c r="F325" s="2"/>
      <c r="G325" s="2"/>
      <c r="H325" s="2"/>
      <c r="I325" s="2"/>
    </row>
    <row r="326" spans="3:9">
      <c r="C326" s="2"/>
      <c r="D326" s="2"/>
      <c r="E326" s="2"/>
      <c r="F326" s="2"/>
      <c r="G326" s="2"/>
      <c r="H326" s="2"/>
      <c r="I326" s="2"/>
    </row>
    <row r="327" spans="3:9">
      <c r="C327" s="2"/>
      <c r="D327" s="2"/>
      <c r="E327" s="2"/>
      <c r="F327" s="2"/>
      <c r="G327" s="2"/>
      <c r="H327" s="2"/>
      <c r="I327" s="2"/>
    </row>
    <row r="328" spans="3:9">
      <c r="C328" s="2"/>
      <c r="D328" s="2"/>
      <c r="E328" s="2"/>
      <c r="F328" s="2"/>
      <c r="G328" s="2"/>
      <c r="H328" s="2"/>
      <c r="I328" s="2"/>
    </row>
    <row r="329" spans="3:9">
      <c r="C329" s="2"/>
      <c r="D329" s="2"/>
      <c r="E329" s="2"/>
      <c r="F329" s="2"/>
      <c r="G329" s="2"/>
      <c r="H329" s="2"/>
      <c r="I329" s="2"/>
    </row>
    <row r="330" spans="3:9">
      <c r="C330" s="2"/>
      <c r="D330" s="2"/>
      <c r="E330" s="2"/>
      <c r="F330" s="2"/>
      <c r="G330" s="2"/>
      <c r="H330" s="2"/>
      <c r="I330" s="2"/>
    </row>
    <row r="331" spans="3:9">
      <c r="C331" s="2"/>
      <c r="D331" s="2"/>
      <c r="E331" s="2"/>
      <c r="F331" s="2"/>
      <c r="G331" s="2"/>
      <c r="H331" s="2"/>
      <c r="I331" s="2"/>
    </row>
    <row r="332" spans="3:9">
      <c r="C332" s="2"/>
      <c r="D332" s="2"/>
      <c r="E332" s="2"/>
      <c r="F332" s="2"/>
      <c r="G332" s="2"/>
      <c r="H332" s="2"/>
      <c r="I332" s="2"/>
    </row>
    <row r="333" spans="3:9">
      <c r="C333" s="2"/>
      <c r="D333" s="2"/>
      <c r="E333" s="2"/>
      <c r="F333" s="2"/>
      <c r="G333" s="2"/>
      <c r="H333" s="2"/>
      <c r="I333" s="2"/>
    </row>
    <row r="334" spans="3:9">
      <c r="C334" s="2"/>
      <c r="D334" s="2"/>
      <c r="E334" s="2"/>
      <c r="F334" s="2"/>
      <c r="G334" s="2"/>
      <c r="H334" s="2"/>
      <c r="I334" s="2"/>
    </row>
    <row r="335" spans="3:9">
      <c r="C335" s="2"/>
      <c r="D335" s="2"/>
      <c r="E335" s="2"/>
      <c r="F335" s="2"/>
      <c r="G335" s="2"/>
      <c r="H335" s="2"/>
      <c r="I335" s="2"/>
    </row>
    <row r="336" spans="3:9">
      <c r="C336" s="2"/>
      <c r="D336" s="2"/>
      <c r="E336" s="2"/>
      <c r="F336" s="2"/>
      <c r="G336" s="2"/>
      <c r="H336" s="2"/>
      <c r="I336" s="2"/>
    </row>
    <row r="337" spans="3:9">
      <c r="C337" s="2"/>
      <c r="D337" s="2"/>
      <c r="E337" s="2"/>
      <c r="F337" s="2"/>
      <c r="G337" s="2"/>
      <c r="H337" s="2"/>
      <c r="I337" s="2"/>
    </row>
    <row r="338" spans="3:9">
      <c r="C338" s="2"/>
      <c r="D338" s="2"/>
      <c r="E338" s="2"/>
      <c r="F338" s="2"/>
      <c r="G338" s="2"/>
      <c r="H338" s="2"/>
      <c r="I338" s="2"/>
    </row>
    <row r="339" spans="3:9">
      <c r="C339" s="2"/>
      <c r="D339" s="2"/>
      <c r="E339" s="2"/>
      <c r="F339" s="2"/>
      <c r="G339" s="2"/>
      <c r="H339" s="2"/>
      <c r="I339" s="2"/>
    </row>
    <row r="340" spans="3:9">
      <c r="C340" s="2"/>
      <c r="D340" s="2"/>
      <c r="E340" s="2"/>
      <c r="F340" s="2"/>
      <c r="G340" s="2"/>
      <c r="H340" s="2"/>
      <c r="I340" s="2"/>
    </row>
    <row r="341" spans="3:9">
      <c r="C341" s="2"/>
      <c r="D341" s="2"/>
      <c r="E341" s="2"/>
      <c r="F341" s="2"/>
      <c r="G341" s="2"/>
      <c r="H341" s="2"/>
      <c r="I341" s="2"/>
    </row>
    <row r="342" spans="3:9">
      <c r="C342" s="2"/>
      <c r="D342" s="2"/>
      <c r="E342" s="2"/>
      <c r="F342" s="2"/>
      <c r="G342" s="2"/>
      <c r="H342" s="2"/>
      <c r="I342" s="2"/>
    </row>
    <row r="343" spans="3:9">
      <c r="C343" s="2"/>
      <c r="D343" s="2"/>
      <c r="E343" s="2"/>
      <c r="F343" s="2"/>
      <c r="G343" s="2"/>
      <c r="H343" s="2"/>
      <c r="I343" s="2"/>
    </row>
    <row r="344" spans="3:9">
      <c r="C344" s="2"/>
      <c r="D344" s="2"/>
      <c r="E344" s="2"/>
      <c r="F344" s="2"/>
      <c r="G344" s="2"/>
      <c r="H344" s="2"/>
      <c r="I344" s="2"/>
    </row>
    <row r="345" spans="3:9">
      <c r="C345" s="2"/>
      <c r="D345" s="2"/>
      <c r="E345" s="2"/>
      <c r="F345" s="2"/>
      <c r="G345" s="2"/>
      <c r="H345" s="2"/>
      <c r="I345" s="2"/>
    </row>
    <row r="346" spans="3:9">
      <c r="C346" s="2"/>
      <c r="D346" s="2"/>
      <c r="E346" s="2"/>
      <c r="F346" s="2"/>
      <c r="G346" s="2"/>
      <c r="H346" s="2"/>
      <c r="I346" s="2"/>
    </row>
    <row r="347" spans="3:9">
      <c r="C347" s="2"/>
      <c r="D347" s="2"/>
      <c r="E347" s="2"/>
      <c r="F347" s="2"/>
      <c r="G347" s="2"/>
      <c r="H347" s="2"/>
      <c r="I347" s="2"/>
    </row>
    <row r="348" spans="3:9">
      <c r="C348" s="2"/>
      <c r="D348" s="2"/>
      <c r="E348" s="2"/>
      <c r="F348" s="2"/>
      <c r="G348" s="2"/>
      <c r="H348" s="2"/>
      <c r="I348" s="2"/>
    </row>
    <row r="349" spans="3:9">
      <c r="C349" s="2"/>
      <c r="D349" s="2"/>
      <c r="E349" s="2"/>
      <c r="F349" s="2"/>
      <c r="G349" s="2"/>
      <c r="H349" s="2"/>
      <c r="I349" s="2"/>
    </row>
    <row r="350" spans="3:9">
      <c r="C350" s="2"/>
      <c r="D350" s="2"/>
      <c r="E350" s="2"/>
      <c r="F350" s="2"/>
      <c r="G350" s="2"/>
      <c r="H350" s="2"/>
      <c r="I350" s="2"/>
    </row>
    <row r="351" spans="3:9">
      <c r="C351" s="2"/>
      <c r="D351" s="2"/>
      <c r="E351" s="2"/>
      <c r="F351" s="2"/>
      <c r="G351" s="2"/>
      <c r="H351" s="2"/>
      <c r="I351" s="2"/>
    </row>
    <row r="352" spans="3:9">
      <c r="C352" s="2"/>
      <c r="D352" s="2"/>
      <c r="E352" s="2"/>
      <c r="F352" s="2"/>
      <c r="G352" s="2"/>
      <c r="H352" s="2"/>
      <c r="I352" s="2"/>
    </row>
    <row r="353" spans="3:9">
      <c r="C353" s="2"/>
      <c r="D353" s="2"/>
      <c r="E353" s="2"/>
      <c r="F353" s="2"/>
      <c r="G353" s="2"/>
      <c r="H353" s="2"/>
      <c r="I353" s="2"/>
    </row>
    <row r="354" spans="3:9">
      <c r="C354" s="2"/>
      <c r="D354" s="2"/>
      <c r="E354" s="2"/>
      <c r="F354" s="2"/>
      <c r="G354" s="2"/>
      <c r="H354" s="2"/>
      <c r="I354" s="2"/>
    </row>
    <row r="355" spans="3:9">
      <c r="C355" s="2"/>
      <c r="D355" s="2"/>
      <c r="E355" s="2"/>
      <c r="F355" s="2"/>
      <c r="G355" s="2"/>
      <c r="H355" s="2"/>
      <c r="I355" s="2"/>
    </row>
    <row r="356" spans="3:9">
      <c r="C356" s="2"/>
      <c r="D356" s="2"/>
      <c r="E356" s="2"/>
      <c r="F356" s="2"/>
      <c r="G356" s="2"/>
      <c r="H356" s="2"/>
      <c r="I356" s="2"/>
    </row>
    <row r="357" spans="3:9">
      <c r="C357" s="2"/>
      <c r="D357" s="2"/>
      <c r="E357" s="2"/>
      <c r="F357" s="2"/>
      <c r="G357" s="2"/>
      <c r="H357" s="2"/>
      <c r="I357" s="2"/>
    </row>
    <row r="358" spans="3:9">
      <c r="C358" s="2"/>
      <c r="D358" s="2"/>
      <c r="E358" s="2"/>
      <c r="F358" s="2"/>
      <c r="G358" s="2"/>
      <c r="H358" s="2"/>
      <c r="I358" s="2"/>
    </row>
    <row r="359" spans="3:9">
      <c r="C359" s="2"/>
      <c r="D359" s="2"/>
      <c r="E359" s="2"/>
      <c r="F359" s="2"/>
      <c r="G359" s="2"/>
      <c r="H359" s="2"/>
      <c r="I359" s="2"/>
    </row>
    <row r="360" spans="3:9">
      <c r="C360" s="2"/>
      <c r="D360" s="2"/>
      <c r="E360" s="2"/>
      <c r="F360" s="2"/>
      <c r="G360" s="2"/>
      <c r="H360" s="2"/>
      <c r="I360" s="2"/>
    </row>
    <row r="361" spans="3:9">
      <c r="C361" s="2"/>
      <c r="D361" s="2"/>
      <c r="E361" s="2"/>
      <c r="F361" s="2"/>
      <c r="G361" s="2"/>
      <c r="H361" s="2"/>
      <c r="I361" s="2"/>
    </row>
    <row r="362" spans="3:9">
      <c r="C362" s="2"/>
      <c r="D362" s="2"/>
      <c r="E362" s="2"/>
      <c r="F362" s="2"/>
      <c r="G362" s="2"/>
      <c r="H362" s="2"/>
      <c r="I362" s="2"/>
    </row>
    <row r="363" spans="3:9">
      <c r="C363" s="2"/>
      <c r="D363" s="2"/>
      <c r="E363" s="2"/>
      <c r="F363" s="2"/>
      <c r="G363" s="2"/>
      <c r="H363" s="2"/>
      <c r="I363" s="2"/>
    </row>
    <row r="364" spans="3:9">
      <c r="C364" s="2"/>
      <c r="D364" s="2"/>
      <c r="E364" s="2"/>
      <c r="F364" s="2"/>
      <c r="G364" s="2"/>
      <c r="H364" s="2"/>
      <c r="I364" s="2"/>
    </row>
    <row r="365" spans="3:9">
      <c r="C365" s="2"/>
      <c r="D365" s="2"/>
      <c r="E365" s="2"/>
      <c r="F365" s="2"/>
      <c r="G365" s="2"/>
      <c r="H365" s="2"/>
      <c r="I365" s="2"/>
    </row>
    <row r="366" spans="3:9">
      <c r="C366" s="2"/>
      <c r="D366" s="2"/>
      <c r="E366" s="2"/>
      <c r="F366" s="2"/>
      <c r="G366" s="2"/>
      <c r="H366" s="2"/>
      <c r="I366" s="2"/>
    </row>
    <row r="367" spans="3:9">
      <c r="C367" s="2"/>
      <c r="D367" s="2"/>
      <c r="E367" s="2"/>
      <c r="F367" s="2"/>
      <c r="G367" s="2"/>
      <c r="H367" s="2"/>
      <c r="I367" s="2"/>
    </row>
    <row r="368" spans="3:9">
      <c r="C368" s="2"/>
      <c r="D368" s="2"/>
      <c r="E368" s="2"/>
      <c r="F368" s="2"/>
      <c r="G368" s="2"/>
      <c r="H368" s="2"/>
      <c r="I368" s="2"/>
    </row>
    <row r="369" spans="3:9">
      <c r="C369" s="2"/>
      <c r="D369" s="2"/>
      <c r="E369" s="2"/>
      <c r="F369" s="2"/>
      <c r="G369" s="2"/>
      <c r="H369" s="2"/>
      <c r="I369" s="2"/>
    </row>
  </sheetData>
  <pageMargins left="0.25" right="0.25" top="0.75" bottom="0.75" header="0.3" footer="0.3"/>
  <pageSetup paperSize="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53B48-D1D6-421C-96E7-DAC1C359E737}">
  <sheetPr codeName="Sheet9"/>
  <dimension ref="C1:O69"/>
  <sheetViews>
    <sheetView showGridLines="0" topLeftCell="A9" workbookViewId="0">
      <selection activeCell="L21" sqref="L21:L35"/>
    </sheetView>
  </sheetViews>
  <sheetFormatPr defaultRowHeight="14.4"/>
  <cols>
    <col min="1" max="2" width="1.6640625" customWidth="1"/>
    <col min="3" max="3" width="36.109375" bestFit="1" customWidth="1"/>
    <col min="4" max="4" width="25.109375" bestFit="1" customWidth="1"/>
    <col min="8" max="8" width="5.5546875" customWidth="1"/>
    <col min="9" max="9" width="38.5546875" bestFit="1" customWidth="1"/>
    <col min="10" max="10" width="30.109375" customWidth="1"/>
    <col min="11" max="11" width="27.33203125" customWidth="1"/>
    <col min="12" max="12" width="34.109375" customWidth="1"/>
    <col min="13" max="13" width="9.88671875" bestFit="1" customWidth="1"/>
  </cols>
  <sheetData>
    <row r="1" spans="3:15">
      <c r="I1" t="s">
        <v>1872</v>
      </c>
      <c r="M1" s="163">
        <f>+MAX(M3:M35)</f>
        <v>45775</v>
      </c>
    </row>
    <row r="2" spans="3:15">
      <c r="H2" s="138" t="s">
        <v>7</v>
      </c>
      <c r="I2" s="156" t="s">
        <v>1658</v>
      </c>
      <c r="J2" s="138" t="s">
        <v>1659</v>
      </c>
      <c r="K2" s="138" t="s">
        <v>1660</v>
      </c>
      <c r="L2" s="138" t="s">
        <v>1661</v>
      </c>
    </row>
    <row r="3" spans="3:15">
      <c r="C3" t="s">
        <v>1454</v>
      </c>
      <c r="D3" t="s">
        <v>204</v>
      </c>
      <c r="H3" s="141">
        <v>1</v>
      </c>
      <c r="I3" s="151" t="s">
        <v>1318</v>
      </c>
      <c r="J3" s="152" t="s">
        <v>329</v>
      </c>
      <c r="K3" s="152" t="s">
        <v>1290</v>
      </c>
      <c r="L3" s="144" t="s">
        <v>1873</v>
      </c>
      <c r="M3" s="164">
        <f>+INDEX(Pipe!F:F,MATCH('Reuniao Vertical_old'!I3,Pipe!E:E,0))</f>
        <v>45734</v>
      </c>
    </row>
    <row r="4" spans="3:15">
      <c r="C4" t="s">
        <v>1458</v>
      </c>
      <c r="D4" t="s">
        <v>304</v>
      </c>
      <c r="H4" s="158">
        <f t="shared" ref="H4:H9" si="0">+H3+1</f>
        <v>2</v>
      </c>
      <c r="I4" s="159" t="s">
        <v>1362</v>
      </c>
      <c r="J4" s="160" t="s">
        <v>1668</v>
      </c>
      <c r="K4" s="160" t="s">
        <v>1290</v>
      </c>
      <c r="L4" s="144" t="s">
        <v>1874</v>
      </c>
      <c r="M4" s="164">
        <f>+INDEX(Pipe!F:F,MATCH('Reuniao Vertical_old'!I4,Pipe!E:E,0))</f>
        <v>45751</v>
      </c>
    </row>
    <row r="5" spans="3:15">
      <c r="C5" t="s">
        <v>1461</v>
      </c>
      <c r="D5" t="s">
        <v>320</v>
      </c>
      <c r="H5" s="141">
        <f t="shared" si="0"/>
        <v>3</v>
      </c>
      <c r="I5" s="151" t="s">
        <v>1400</v>
      </c>
      <c r="J5" s="152" t="s">
        <v>1672</v>
      </c>
      <c r="K5" s="152" t="s">
        <v>1673</v>
      </c>
      <c r="L5" s="144" t="s">
        <v>1875</v>
      </c>
      <c r="M5" s="164">
        <f>+INDEX(Pipe!F:F,MATCH('Reuniao Vertical_old'!I5,Pipe!E:E,0))</f>
        <v>45754</v>
      </c>
      <c r="O5" t="s">
        <v>1675</v>
      </c>
    </row>
    <row r="6" spans="3:15">
      <c r="C6" t="s">
        <v>1463</v>
      </c>
      <c r="D6" t="s">
        <v>320</v>
      </c>
      <c r="H6" s="147">
        <f t="shared" si="0"/>
        <v>4</v>
      </c>
      <c r="I6" s="148" t="s">
        <v>1303</v>
      </c>
      <c r="J6" s="149" t="s">
        <v>204</v>
      </c>
      <c r="K6" s="149" t="s">
        <v>1721</v>
      </c>
      <c r="L6" s="144" t="s">
        <v>1876</v>
      </c>
      <c r="M6" s="164">
        <f>+INDEX(Pipe!F:F,MATCH('Reuniao Vertical_old'!I6,Pipe!E:E,0))</f>
        <v>45726</v>
      </c>
    </row>
    <row r="7" spans="3:15">
      <c r="C7" t="s">
        <v>1467</v>
      </c>
      <c r="D7" t="s">
        <v>1045</v>
      </c>
      <c r="H7" s="141">
        <f t="shared" si="0"/>
        <v>5</v>
      </c>
      <c r="I7" s="151" t="s">
        <v>1383</v>
      </c>
      <c r="J7" s="152" t="s">
        <v>204</v>
      </c>
      <c r="K7" s="152" t="s">
        <v>1723</v>
      </c>
      <c r="L7" s="144" t="s">
        <v>1876</v>
      </c>
      <c r="M7" s="164">
        <f>+INDEX(Pipe!F:F,MATCH('Reuniao Vertical_old'!I7,Pipe!E:E,0))</f>
        <v>45748</v>
      </c>
    </row>
    <row r="8" spans="3:15" ht="28.8">
      <c r="C8" t="s">
        <v>1877</v>
      </c>
      <c r="D8" t="s">
        <v>1470</v>
      </c>
      <c r="H8" s="158">
        <f t="shared" si="0"/>
        <v>6</v>
      </c>
      <c r="I8" s="161" t="s">
        <v>1677</v>
      </c>
      <c r="J8" s="158" t="s">
        <v>204</v>
      </c>
      <c r="K8" s="158" t="s">
        <v>1678</v>
      </c>
      <c r="L8" s="145" t="s">
        <v>1878</v>
      </c>
      <c r="M8" s="164">
        <v>45685</v>
      </c>
    </row>
    <row r="9" spans="3:15" ht="28.8">
      <c r="C9" t="s">
        <v>1475</v>
      </c>
      <c r="D9" t="s">
        <v>270</v>
      </c>
      <c r="H9" s="141">
        <f t="shared" si="0"/>
        <v>7</v>
      </c>
      <c r="I9" s="153" t="s">
        <v>1724</v>
      </c>
      <c r="J9" s="141" t="s">
        <v>1045</v>
      </c>
      <c r="K9" s="141" t="s">
        <v>1725</v>
      </c>
      <c r="L9" s="157" t="s">
        <v>1879</v>
      </c>
      <c r="M9" s="164">
        <v>45764</v>
      </c>
    </row>
    <row r="10" spans="3:15">
      <c r="C10" t="s">
        <v>1479</v>
      </c>
      <c r="D10" t="s">
        <v>1045</v>
      </c>
      <c r="G10" t="s">
        <v>691</v>
      </c>
      <c r="H10" s="147">
        <f t="shared" ref="H10:H22" si="1">+H9+1</f>
        <v>8</v>
      </c>
      <c r="I10" s="150" t="s">
        <v>906</v>
      </c>
      <c r="J10" s="147" t="s">
        <v>1045</v>
      </c>
      <c r="K10" s="147" t="s">
        <v>1725</v>
      </c>
      <c r="L10" s="143" t="s">
        <v>1880</v>
      </c>
      <c r="M10" s="164">
        <f>+INDEX(Pipe!F:F,MATCH('Reuniao Vertical_old'!I10,Pipe!E:E,0))</f>
        <v>45597</v>
      </c>
    </row>
    <row r="11" spans="3:15">
      <c r="C11" t="s">
        <v>1484</v>
      </c>
      <c r="D11" t="s">
        <v>1045</v>
      </c>
      <c r="H11" s="141">
        <f t="shared" si="1"/>
        <v>9</v>
      </c>
      <c r="I11" s="153" t="s">
        <v>1666</v>
      </c>
      <c r="J11" s="141" t="s">
        <v>329</v>
      </c>
      <c r="K11" s="141" t="s">
        <v>1680</v>
      </c>
      <c r="L11" s="143" t="s">
        <v>1681</v>
      </c>
      <c r="M11" s="164">
        <v>45747</v>
      </c>
    </row>
    <row r="12" spans="3:15">
      <c r="C12" t="s">
        <v>1486</v>
      </c>
      <c r="D12" t="s">
        <v>1045</v>
      </c>
      <c r="G12" t="s">
        <v>691</v>
      </c>
      <c r="H12" s="147">
        <f t="shared" si="1"/>
        <v>10</v>
      </c>
      <c r="I12" s="150" t="s">
        <v>1397</v>
      </c>
      <c r="J12" s="147" t="s">
        <v>1728</v>
      </c>
      <c r="K12" s="147" t="s">
        <v>1682</v>
      </c>
      <c r="L12" s="143" t="s">
        <v>1729</v>
      </c>
      <c r="M12" s="164">
        <f>+INDEX(Pipe!F:F,MATCH('Reuniao Vertical_old'!I12,Pipe!E:E,0))</f>
        <v>45754</v>
      </c>
    </row>
    <row r="13" spans="3:15">
      <c r="C13" t="s">
        <v>1488</v>
      </c>
      <c r="D13" t="s">
        <v>1045</v>
      </c>
      <c r="H13" s="141">
        <f t="shared" si="1"/>
        <v>11</v>
      </c>
      <c r="I13" s="153" t="s">
        <v>1376</v>
      </c>
      <c r="J13" s="141" t="s">
        <v>1045</v>
      </c>
      <c r="K13" s="141" t="s">
        <v>1682</v>
      </c>
      <c r="L13" s="143" t="s">
        <v>1881</v>
      </c>
      <c r="M13" s="164">
        <f>+INDEX(Pipe!F:F,MATCH('Reuniao Vertical_old'!I13,Pipe!E:E,0))</f>
        <v>45751</v>
      </c>
    </row>
    <row r="14" spans="3:15">
      <c r="C14" t="s">
        <v>1491</v>
      </c>
      <c r="D14" t="s">
        <v>86</v>
      </c>
      <c r="H14" s="147">
        <f t="shared" si="1"/>
        <v>12</v>
      </c>
      <c r="I14" s="150" t="s">
        <v>1339</v>
      </c>
      <c r="J14" s="147" t="s">
        <v>1045</v>
      </c>
      <c r="K14" s="147" t="s">
        <v>1713</v>
      </c>
      <c r="L14" s="143" t="s">
        <v>1502</v>
      </c>
      <c r="M14" s="164">
        <f>+INDEX(Pipe!F:F,MATCH('Reuniao Vertical_old'!I14,Pipe!E:E,0))</f>
        <v>45744</v>
      </c>
    </row>
    <row r="15" spans="3:15">
      <c r="C15" t="s">
        <v>1750</v>
      </c>
      <c r="D15" t="s">
        <v>320</v>
      </c>
      <c r="H15" s="141">
        <f t="shared" si="1"/>
        <v>13</v>
      </c>
      <c r="I15" s="153" t="s">
        <v>1372</v>
      </c>
      <c r="J15" s="141" t="s">
        <v>204</v>
      </c>
      <c r="K15" s="141" t="s">
        <v>1730</v>
      </c>
      <c r="L15" s="143" t="s">
        <v>1882</v>
      </c>
      <c r="M15" s="164">
        <f>+INDEX(Pipe!F:F,MATCH('Reuniao Vertical_old'!I15,Pipe!E:E,0))</f>
        <v>45751</v>
      </c>
    </row>
    <row r="16" spans="3:15">
      <c r="C16" t="s">
        <v>1494</v>
      </c>
      <c r="D16" t="s">
        <v>329</v>
      </c>
      <c r="G16" t="s">
        <v>691</v>
      </c>
      <c r="H16" s="147">
        <f t="shared" si="1"/>
        <v>14</v>
      </c>
      <c r="I16" s="150" t="s">
        <v>1732</v>
      </c>
      <c r="J16" s="147" t="s">
        <v>1045</v>
      </c>
      <c r="K16" s="147" t="s">
        <v>1733</v>
      </c>
      <c r="L16" s="143" t="s">
        <v>1883</v>
      </c>
      <c r="M16" s="164">
        <f>+INDEX(Pipe!F:F,MATCH('Reuniao Vertical_old'!I16,Pipe!E:E,0))</f>
        <v>45737</v>
      </c>
    </row>
    <row r="17" spans="3:13">
      <c r="C17" t="s">
        <v>1497</v>
      </c>
      <c r="D17" t="s">
        <v>320</v>
      </c>
      <c r="H17" s="141">
        <f t="shared" si="1"/>
        <v>15</v>
      </c>
      <c r="I17" s="153" t="s">
        <v>1421</v>
      </c>
      <c r="J17" s="141" t="s">
        <v>1045</v>
      </c>
      <c r="K17" s="141"/>
      <c r="L17" s="143"/>
      <c r="M17" s="164">
        <f>+INDEX(Pipe!F:F,MATCH('Reuniao Vertical_old'!I17,Pipe!E:E,0))</f>
        <v>45764</v>
      </c>
    </row>
    <row r="18" spans="3:13">
      <c r="C18" t="s">
        <v>1500</v>
      </c>
      <c r="D18" t="s">
        <v>1045</v>
      </c>
      <c r="H18" s="147">
        <f t="shared" si="1"/>
        <v>16</v>
      </c>
      <c r="I18" s="150" t="s">
        <v>1449</v>
      </c>
      <c r="J18" s="147" t="s">
        <v>1045</v>
      </c>
      <c r="K18" s="147"/>
      <c r="L18" s="143"/>
      <c r="M18" s="164">
        <f>+INDEX(Pipe!F:F,MATCH('Reuniao Vertical_old'!I18,Pipe!E:E,0))</f>
        <v>45775</v>
      </c>
    </row>
    <row r="19" spans="3:13">
      <c r="C19" t="s">
        <v>1503</v>
      </c>
      <c r="D19" t="s">
        <v>1045</v>
      </c>
      <c r="H19" s="141">
        <f t="shared" si="1"/>
        <v>17</v>
      </c>
      <c r="I19" s="153" t="s">
        <v>1408</v>
      </c>
      <c r="J19" s="141" t="s">
        <v>329</v>
      </c>
      <c r="K19" s="141" t="s">
        <v>1689</v>
      </c>
      <c r="L19" s="143" t="s">
        <v>1884</v>
      </c>
      <c r="M19" s="164">
        <f>+INDEX(Pipe!F:F,MATCH('Reuniao Vertical_old'!I19,Pipe!E:E,0))</f>
        <v>45757</v>
      </c>
    </row>
    <row r="20" spans="3:13">
      <c r="H20" s="147">
        <f t="shared" si="1"/>
        <v>18</v>
      </c>
      <c r="I20" s="150" t="s">
        <v>1685</v>
      </c>
      <c r="J20" s="147" t="s">
        <v>204</v>
      </c>
      <c r="K20" s="147" t="s">
        <v>1692</v>
      </c>
      <c r="L20" s="143" t="s">
        <v>1885</v>
      </c>
      <c r="M20" s="164">
        <v>45684</v>
      </c>
    </row>
    <row r="21" spans="3:13">
      <c r="H21" s="141">
        <f t="shared" si="1"/>
        <v>19</v>
      </c>
      <c r="I21" s="153" t="s">
        <v>870</v>
      </c>
      <c r="J21" s="141" t="s">
        <v>1045</v>
      </c>
      <c r="K21" s="141" t="s">
        <v>1886</v>
      </c>
      <c r="L21" s="142" t="s">
        <v>1887</v>
      </c>
      <c r="M21" s="164">
        <f>+INDEX(Pipe!F:F,MATCH('Reuniao Vertical_old'!I21,Pipe!E:E,0))</f>
        <v>45597</v>
      </c>
    </row>
    <row r="22" spans="3:13">
      <c r="H22" s="147">
        <f t="shared" si="1"/>
        <v>20</v>
      </c>
      <c r="I22" s="150" t="s">
        <v>1114</v>
      </c>
      <c r="J22" s="147" t="s">
        <v>1672</v>
      </c>
      <c r="K22" s="147" t="s">
        <v>1888</v>
      </c>
      <c r="L22" s="142" t="s">
        <v>1889</v>
      </c>
      <c r="M22" s="164">
        <f>+INDEX(Pipe!F:F,MATCH('Reuniao Vertical_old'!I22,Pipe!E:E,0))</f>
        <v>45687</v>
      </c>
    </row>
    <row r="23" spans="3:13">
      <c r="H23" s="141">
        <f t="shared" ref="H23:H35" si="2">+H22+1</f>
        <v>21</v>
      </c>
      <c r="I23" s="153" t="s">
        <v>1217</v>
      </c>
      <c r="J23" s="141" t="s">
        <v>1045</v>
      </c>
      <c r="K23" s="141" t="s">
        <v>1890</v>
      </c>
      <c r="L23" s="142" t="s">
        <v>1889</v>
      </c>
      <c r="M23" s="164">
        <f>+INDEX(Pipe!F:F,MATCH('Reuniao Vertical_old'!I23,Pipe!E:E,0))</f>
        <v>45705</v>
      </c>
    </row>
    <row r="24" spans="3:13">
      <c r="H24" s="147">
        <f t="shared" si="2"/>
        <v>22</v>
      </c>
      <c r="I24" s="150" t="s">
        <v>1293</v>
      </c>
      <c r="J24" s="147" t="s">
        <v>1672</v>
      </c>
      <c r="K24" s="147" t="s">
        <v>1290</v>
      </c>
      <c r="L24" s="142" t="s">
        <v>1889</v>
      </c>
      <c r="M24" s="164">
        <f>+INDEX(Pipe!F:F,MATCH('Reuniao Vertical_old'!I24,Pipe!E:E,0))</f>
        <v>45726</v>
      </c>
    </row>
    <row r="25" spans="3:13">
      <c r="H25" s="141">
        <f t="shared" si="2"/>
        <v>23</v>
      </c>
      <c r="I25" s="153" t="s">
        <v>1364</v>
      </c>
      <c r="J25" s="141" t="s">
        <v>329</v>
      </c>
      <c r="K25" s="141" t="s">
        <v>1891</v>
      </c>
      <c r="L25" s="142" t="s">
        <v>1889</v>
      </c>
      <c r="M25" s="164">
        <f>+INDEX(Pipe!F:F,MATCH('Reuniao Vertical_old'!I25,Pipe!E:E,0))</f>
        <v>45751</v>
      </c>
    </row>
    <row r="26" spans="3:13">
      <c r="H26" s="147">
        <f t="shared" si="2"/>
        <v>24</v>
      </c>
      <c r="I26" s="150" t="s">
        <v>1892</v>
      </c>
      <c r="J26" s="147" t="s">
        <v>204</v>
      </c>
      <c r="K26" s="147" t="s">
        <v>1893</v>
      </c>
      <c r="L26" s="142" t="s">
        <v>1889</v>
      </c>
      <c r="M26" s="164">
        <v>45754</v>
      </c>
    </row>
    <row r="27" spans="3:13">
      <c r="H27" s="141">
        <f t="shared" si="2"/>
        <v>25</v>
      </c>
      <c r="I27" s="153" t="s">
        <v>1167</v>
      </c>
      <c r="J27" s="141" t="s">
        <v>204</v>
      </c>
      <c r="K27" s="141" t="s">
        <v>1717</v>
      </c>
      <c r="L27" s="142" t="s">
        <v>1889</v>
      </c>
      <c r="M27" s="164">
        <f>+INDEX(Pipe!F:F,MATCH('Reuniao Vertical_old'!I27,Pipe!E:E,0))</f>
        <v>45693</v>
      </c>
    </row>
    <row r="28" spans="3:13">
      <c r="H28" s="147">
        <f t="shared" si="2"/>
        <v>26</v>
      </c>
      <c r="I28" s="150" t="s">
        <v>1286</v>
      </c>
      <c r="J28" s="147" t="s">
        <v>204</v>
      </c>
      <c r="K28" s="147" t="s">
        <v>1725</v>
      </c>
      <c r="L28" s="142" t="s">
        <v>1894</v>
      </c>
      <c r="M28" s="164">
        <f>+INDEX(Pipe!F:F,MATCH('Reuniao Vertical_old'!I28,Pipe!E:E,0))</f>
        <v>45726</v>
      </c>
    </row>
    <row r="29" spans="3:13" ht="28.8">
      <c r="H29" s="141">
        <f t="shared" si="2"/>
        <v>27</v>
      </c>
      <c r="I29" s="153" t="s">
        <v>1327</v>
      </c>
      <c r="J29" s="141" t="s">
        <v>1045</v>
      </c>
      <c r="K29" s="141" t="s">
        <v>1895</v>
      </c>
      <c r="L29" s="146" t="s">
        <v>1896</v>
      </c>
      <c r="M29" s="164">
        <f>+INDEX(Pipe!F:F,MATCH('Reuniao Vertical_old'!I29,Pipe!E:E,0))</f>
        <v>45734</v>
      </c>
    </row>
    <row r="30" spans="3:13">
      <c r="H30" s="147">
        <f t="shared" si="2"/>
        <v>28</v>
      </c>
      <c r="I30" s="150" t="s">
        <v>1368</v>
      </c>
      <c r="J30" s="147" t="s">
        <v>1045</v>
      </c>
      <c r="K30" s="147" t="s">
        <v>1897</v>
      </c>
      <c r="L30" s="142" t="s">
        <v>1889</v>
      </c>
      <c r="M30" s="164">
        <f>+INDEX(Pipe!F:F,MATCH('Reuniao Vertical_old'!I30,Pipe!E:E,0))</f>
        <v>45751</v>
      </c>
    </row>
    <row r="31" spans="3:13">
      <c r="H31" s="141">
        <f t="shared" si="2"/>
        <v>29</v>
      </c>
      <c r="I31" s="153" t="s">
        <v>1201</v>
      </c>
      <c r="J31" s="141" t="s">
        <v>1045</v>
      </c>
      <c r="K31" s="141" t="s">
        <v>1290</v>
      </c>
      <c r="L31" s="142" t="s">
        <v>1889</v>
      </c>
      <c r="M31" s="164">
        <f>+INDEX(Pipe!F:F,MATCH('Reuniao Vertical_old'!I31,Pipe!E:E,0))</f>
        <v>45701</v>
      </c>
    </row>
    <row r="32" spans="3:13">
      <c r="H32" s="147">
        <f t="shared" si="2"/>
        <v>30</v>
      </c>
      <c r="I32" s="150" t="s">
        <v>1233</v>
      </c>
      <c r="J32" s="147" t="s">
        <v>1045</v>
      </c>
      <c r="K32" s="147" t="s">
        <v>1898</v>
      </c>
      <c r="L32" s="142" t="s">
        <v>1889</v>
      </c>
      <c r="M32" s="164">
        <f>+INDEX(Pipe!F:F,MATCH('Reuniao Vertical_old'!I32,Pipe!E:E,0))</f>
        <v>45709</v>
      </c>
    </row>
    <row r="33" spans="8:13">
      <c r="H33" s="141">
        <f t="shared" si="2"/>
        <v>31</v>
      </c>
      <c r="I33" s="153" t="s">
        <v>113</v>
      </c>
      <c r="J33" s="141" t="s">
        <v>329</v>
      </c>
      <c r="K33" s="141" t="s">
        <v>1725</v>
      </c>
      <c r="L33" s="142" t="s">
        <v>1889</v>
      </c>
      <c r="M33" s="164">
        <f>+INDEX(Pipe!F:F,MATCH('Reuniao Vertical_old'!I33,Pipe!E:E,0))</f>
        <v>45329</v>
      </c>
    </row>
    <row r="34" spans="8:13">
      <c r="H34" s="147">
        <f t="shared" si="2"/>
        <v>32</v>
      </c>
      <c r="I34" s="150" t="s">
        <v>1899</v>
      </c>
      <c r="J34" s="147" t="s">
        <v>1045</v>
      </c>
      <c r="K34" s="147" t="s">
        <v>1900</v>
      </c>
      <c r="L34" s="142" t="s">
        <v>1889</v>
      </c>
      <c r="M34" s="164">
        <v>45713</v>
      </c>
    </row>
    <row r="35" spans="8:13">
      <c r="H35" s="141">
        <f t="shared" si="2"/>
        <v>33</v>
      </c>
      <c r="I35" s="153" t="s">
        <v>1244</v>
      </c>
      <c r="J35" s="141" t="s">
        <v>1901</v>
      </c>
      <c r="K35" s="141" t="s">
        <v>1902</v>
      </c>
      <c r="L35" s="142" t="s">
        <v>1889</v>
      </c>
      <c r="M35" s="164">
        <f>+INDEX(Pipe!F:F,MATCH('Reuniao Vertical_old'!I35,Pipe!E:E,0))</f>
        <v>45712</v>
      </c>
    </row>
    <row r="40" spans="8:13">
      <c r="M40" s="163">
        <f>+MAX(M42:M69)</f>
        <v>45764</v>
      </c>
    </row>
    <row r="41" spans="8:13">
      <c r="H41" s="138" t="s">
        <v>7</v>
      </c>
      <c r="I41" s="137" t="s">
        <v>415</v>
      </c>
      <c r="J41" s="138" t="s">
        <v>1659</v>
      </c>
      <c r="K41" s="138" t="s">
        <v>1660</v>
      </c>
      <c r="L41" s="138" t="s">
        <v>1661</v>
      </c>
    </row>
    <row r="42" spans="8:13">
      <c r="H42" s="141">
        <v>1</v>
      </c>
      <c r="I42" s="154" t="s">
        <v>1735</v>
      </c>
      <c r="J42" s="141" t="s">
        <v>270</v>
      </c>
      <c r="K42" s="141" t="s">
        <v>1717</v>
      </c>
      <c r="L42" s="35" t="s">
        <v>1873</v>
      </c>
      <c r="M42" s="164">
        <f>+INDEX(Pipe!F:F,MATCH('Reuniao Vertical_old'!I42,Pipe!E:E,0))</f>
        <v>45530</v>
      </c>
    </row>
    <row r="43" spans="8:13">
      <c r="H43" s="147">
        <f>+H42+1</f>
        <v>2</v>
      </c>
      <c r="I43" s="155" t="s">
        <v>1737</v>
      </c>
      <c r="J43" s="147" t="s">
        <v>1738</v>
      </c>
      <c r="K43" s="147" t="s">
        <v>1678</v>
      </c>
      <c r="L43" s="35" t="s">
        <v>1903</v>
      </c>
      <c r="M43" s="164">
        <v>45685</v>
      </c>
    </row>
    <row r="44" spans="8:13" ht="28.8">
      <c r="H44" s="141">
        <f t="shared" ref="H44:H69" si="3">+H43+1</f>
        <v>3</v>
      </c>
      <c r="I44" s="154" t="s">
        <v>1762</v>
      </c>
      <c r="J44" s="141" t="s">
        <v>695</v>
      </c>
      <c r="K44" s="141" t="s">
        <v>1763</v>
      </c>
      <c r="L44" s="139" t="s">
        <v>1904</v>
      </c>
      <c r="M44" s="164">
        <v>45567</v>
      </c>
    </row>
    <row r="45" spans="8:13">
      <c r="H45" s="147">
        <f t="shared" si="3"/>
        <v>4</v>
      </c>
      <c r="I45" s="155" t="s">
        <v>1740</v>
      </c>
      <c r="J45" s="147" t="s">
        <v>1741</v>
      </c>
      <c r="K45" s="147" t="s">
        <v>1742</v>
      </c>
      <c r="L45" s="35" t="s">
        <v>1873</v>
      </c>
      <c r="M45" s="164">
        <v>45737</v>
      </c>
    </row>
    <row r="46" spans="8:13">
      <c r="H46" s="141">
        <f t="shared" si="3"/>
        <v>5</v>
      </c>
      <c r="I46" s="154" t="s">
        <v>243</v>
      </c>
      <c r="J46" s="141" t="s">
        <v>320</v>
      </c>
      <c r="K46" s="141"/>
      <c r="L46" s="35" t="s">
        <v>1873</v>
      </c>
      <c r="M46" s="164">
        <v>45742</v>
      </c>
    </row>
    <row r="47" spans="8:13">
      <c r="H47" s="147">
        <f t="shared" si="3"/>
        <v>6</v>
      </c>
      <c r="I47" s="155" t="s">
        <v>1744</v>
      </c>
      <c r="J47" s="147" t="s">
        <v>1745</v>
      </c>
      <c r="K47" s="147"/>
      <c r="L47" s="35" t="s">
        <v>1746</v>
      </c>
      <c r="M47" s="164">
        <v>45716</v>
      </c>
    </row>
    <row r="48" spans="8:13">
      <c r="H48" s="141">
        <f t="shared" si="3"/>
        <v>7</v>
      </c>
      <c r="I48" s="154" t="s">
        <v>1766</v>
      </c>
      <c r="J48" s="141" t="s">
        <v>156</v>
      </c>
      <c r="K48" s="141" t="s">
        <v>1763</v>
      </c>
      <c r="L48" s="12" t="s">
        <v>1905</v>
      </c>
      <c r="M48" s="164">
        <f>+INDEX(Pipe!F:F,MATCH('Reuniao Vertical_old'!I48,Pipe!E:E,0))</f>
        <v>45643</v>
      </c>
    </row>
    <row r="49" spans="8:13">
      <c r="H49" s="147">
        <f t="shared" si="3"/>
        <v>8</v>
      </c>
      <c r="I49" s="155" t="s">
        <v>1121</v>
      </c>
      <c r="J49" s="147" t="s">
        <v>270</v>
      </c>
      <c r="K49" s="147" t="s">
        <v>1717</v>
      </c>
      <c r="L49" s="72" t="s">
        <v>1747</v>
      </c>
      <c r="M49" s="164">
        <f>+INDEX(Pipe!F:F,MATCH('Reuniao Vertical_old'!I49,Pipe!E:E,0))</f>
        <v>45686</v>
      </c>
    </row>
    <row r="50" spans="8:13" ht="28.8">
      <c r="H50" s="141">
        <f t="shared" si="3"/>
        <v>9</v>
      </c>
      <c r="I50" s="154" t="s">
        <v>1748</v>
      </c>
      <c r="J50" s="141" t="s">
        <v>270</v>
      </c>
      <c r="K50" s="141" t="s">
        <v>1717</v>
      </c>
      <c r="L50" s="140" t="s">
        <v>1749</v>
      </c>
      <c r="M50" s="164">
        <v>45706</v>
      </c>
    </row>
    <row r="51" spans="8:13">
      <c r="H51" s="147">
        <f t="shared" si="3"/>
        <v>10</v>
      </c>
      <c r="I51" s="155" t="s">
        <v>1751</v>
      </c>
      <c r="J51" s="147" t="s">
        <v>270</v>
      </c>
      <c r="K51" s="147" t="s">
        <v>1717</v>
      </c>
      <c r="L51" s="12" t="s">
        <v>1873</v>
      </c>
      <c r="M51" s="164">
        <f>+INDEX(Pipe!F:F,MATCH('Reuniao Vertical_old'!I51,Pipe!E:E,0))</f>
        <v>45715</v>
      </c>
    </row>
    <row r="52" spans="8:13">
      <c r="H52" s="141">
        <f t="shared" si="3"/>
        <v>11</v>
      </c>
      <c r="I52" s="154" t="s">
        <v>1752</v>
      </c>
      <c r="J52" s="141" t="s">
        <v>320</v>
      </c>
      <c r="K52" s="141"/>
      <c r="L52" s="12" t="s">
        <v>1753</v>
      </c>
      <c r="M52" s="164">
        <v>45731</v>
      </c>
    </row>
    <row r="53" spans="8:13">
      <c r="H53" s="147">
        <f t="shared" si="3"/>
        <v>12</v>
      </c>
      <c r="I53" s="155" t="s">
        <v>1388</v>
      </c>
      <c r="J53" s="147" t="s">
        <v>270</v>
      </c>
      <c r="K53" s="147" t="s">
        <v>1710</v>
      </c>
      <c r="L53" s="12" t="s">
        <v>1754</v>
      </c>
      <c r="M53" s="164">
        <f>+INDEX(Pipe!F:F,MATCH('Reuniao Vertical_old'!I53,Pipe!E:E,0))</f>
        <v>45751</v>
      </c>
    </row>
    <row r="54" spans="8:13">
      <c r="H54" s="141">
        <f t="shared" si="3"/>
        <v>13</v>
      </c>
      <c r="I54" s="154" t="s">
        <v>1393</v>
      </c>
      <c r="J54" s="141" t="s">
        <v>270</v>
      </c>
      <c r="K54" s="141" t="s">
        <v>1755</v>
      </c>
      <c r="L54" s="12" t="s">
        <v>1754</v>
      </c>
      <c r="M54" s="164">
        <f>+INDEX(Pipe!F:F,MATCH('Reuniao Vertical_old'!I54,Pipe!E:E,0))</f>
        <v>45754</v>
      </c>
    </row>
    <row r="55" spans="8:13">
      <c r="H55" s="147">
        <f t="shared" si="3"/>
        <v>14</v>
      </c>
      <c r="I55" s="155" t="s">
        <v>1405</v>
      </c>
      <c r="J55" s="147" t="s">
        <v>270</v>
      </c>
      <c r="K55" s="147" t="s">
        <v>1763</v>
      </c>
      <c r="L55" s="11" t="s">
        <v>1889</v>
      </c>
      <c r="M55" s="164">
        <f>+INDEX(Pipe!F:F,MATCH('Reuniao Vertical_old'!I55,Pipe!E:E,0))</f>
        <v>45757</v>
      </c>
    </row>
    <row r="56" spans="8:13">
      <c r="H56" s="141">
        <f t="shared" si="3"/>
        <v>15</v>
      </c>
      <c r="I56" s="154" t="s">
        <v>1352</v>
      </c>
      <c r="J56" s="141" t="s">
        <v>270</v>
      </c>
      <c r="K56" s="141" t="s">
        <v>1717</v>
      </c>
      <c r="L56" s="11" t="s">
        <v>1889</v>
      </c>
      <c r="M56" s="164">
        <f>+INDEX(Pipe!F:F,MATCH('Reuniao Vertical_old'!I56,Pipe!E:E,0))</f>
        <v>45742</v>
      </c>
    </row>
    <row r="57" spans="8:13">
      <c r="H57" s="147">
        <f t="shared" si="3"/>
        <v>16</v>
      </c>
      <c r="I57" s="155" t="s">
        <v>1358</v>
      </c>
      <c r="J57" s="147" t="s">
        <v>86</v>
      </c>
      <c r="K57" s="147" t="s">
        <v>1906</v>
      </c>
      <c r="L57" s="11" t="s">
        <v>1889</v>
      </c>
      <c r="M57" s="164">
        <f>+INDEX(Pipe!F:F,MATCH('Reuniao Vertical_old'!I57,Pipe!E:E,0))</f>
        <v>45744</v>
      </c>
    </row>
    <row r="58" spans="8:13">
      <c r="H58" s="141">
        <f t="shared" si="3"/>
        <v>17</v>
      </c>
      <c r="I58" s="154" t="s">
        <v>1424</v>
      </c>
      <c r="J58" s="141" t="s">
        <v>198</v>
      </c>
      <c r="K58" s="141"/>
      <c r="L58" s="11" t="s">
        <v>1889</v>
      </c>
      <c r="M58" s="164">
        <f>+INDEX(Pipe!F:F,MATCH('Reuniao Vertical_old'!I58,Pipe!E:E,0))</f>
        <v>45764</v>
      </c>
    </row>
    <row r="59" spans="8:13">
      <c r="H59" s="147">
        <f t="shared" si="3"/>
        <v>18</v>
      </c>
      <c r="I59" s="155" t="s">
        <v>1412</v>
      </c>
      <c r="J59" s="147" t="s">
        <v>270</v>
      </c>
      <c r="K59" s="147" t="s">
        <v>1907</v>
      </c>
      <c r="L59" s="11" t="s">
        <v>1889</v>
      </c>
      <c r="M59" s="164">
        <f>+INDEX(Pipe!F:F,MATCH('Reuniao Vertical_old'!I59,Pipe!E:E,0))</f>
        <v>45757</v>
      </c>
    </row>
    <row r="60" spans="8:13">
      <c r="H60" s="141">
        <f t="shared" si="3"/>
        <v>19</v>
      </c>
      <c r="I60" s="154" t="s">
        <v>1156</v>
      </c>
      <c r="J60" s="141" t="s">
        <v>695</v>
      </c>
      <c r="K60" s="141" t="s">
        <v>1908</v>
      </c>
      <c r="L60" s="11" t="s">
        <v>1889</v>
      </c>
      <c r="M60" s="164">
        <f>+INDEX(Pipe!F:F,MATCH('Reuniao Vertical_old'!I60,Pipe!E:E,0))</f>
        <v>45688</v>
      </c>
    </row>
    <row r="61" spans="8:13">
      <c r="H61" s="147">
        <f t="shared" si="3"/>
        <v>20</v>
      </c>
      <c r="I61" s="155" t="s">
        <v>1909</v>
      </c>
      <c r="J61" s="147" t="s">
        <v>304</v>
      </c>
      <c r="K61" s="147"/>
      <c r="L61" s="11" t="s">
        <v>1889</v>
      </c>
      <c r="M61" s="164">
        <v>45715</v>
      </c>
    </row>
    <row r="62" spans="8:13">
      <c r="H62" s="141">
        <f t="shared" si="3"/>
        <v>21</v>
      </c>
      <c r="I62" s="154" t="s">
        <v>1910</v>
      </c>
      <c r="J62" s="141" t="s">
        <v>270</v>
      </c>
      <c r="K62" s="141" t="s">
        <v>1717</v>
      </c>
      <c r="L62" s="11" t="s">
        <v>1889</v>
      </c>
      <c r="M62" s="164">
        <v>45716</v>
      </c>
    </row>
    <row r="63" spans="8:13">
      <c r="H63" s="147">
        <f t="shared" si="3"/>
        <v>22</v>
      </c>
      <c r="I63" s="155" t="s">
        <v>1306</v>
      </c>
      <c r="J63" s="147" t="s">
        <v>86</v>
      </c>
      <c r="K63" s="147"/>
      <c r="L63" s="11" t="s">
        <v>1889</v>
      </c>
      <c r="M63" s="164">
        <f>+INDEX(Pipe!F:F,MATCH('Reuniao Vertical_old'!I63,Pipe!E:E,0))</f>
        <v>45729</v>
      </c>
    </row>
    <row r="64" spans="8:13">
      <c r="H64" s="141">
        <f t="shared" si="3"/>
        <v>23</v>
      </c>
      <c r="I64" s="154" t="s">
        <v>1911</v>
      </c>
      <c r="J64" s="141" t="s">
        <v>270</v>
      </c>
      <c r="K64" s="141" t="s">
        <v>1912</v>
      </c>
      <c r="L64" s="11" t="s">
        <v>1889</v>
      </c>
      <c r="M64" s="164">
        <v>45733</v>
      </c>
    </row>
    <row r="65" spans="8:13">
      <c r="H65" s="147">
        <f t="shared" si="3"/>
        <v>24</v>
      </c>
      <c r="I65" s="155" t="s">
        <v>1323</v>
      </c>
      <c r="J65" s="147" t="s">
        <v>270</v>
      </c>
      <c r="K65" s="147" t="s">
        <v>1913</v>
      </c>
      <c r="L65" s="11" t="s">
        <v>1889</v>
      </c>
      <c r="M65" s="164">
        <f>+INDEX(Pipe!F:F,MATCH('Reuniao Vertical_old'!I65,Pipe!E:E,0))</f>
        <v>45734</v>
      </c>
    </row>
    <row r="66" spans="8:13">
      <c r="H66" s="141">
        <f t="shared" si="3"/>
        <v>25</v>
      </c>
      <c r="I66" s="154" t="s">
        <v>1914</v>
      </c>
      <c r="J66" s="141" t="s">
        <v>86</v>
      </c>
      <c r="K66" s="141" t="s">
        <v>1915</v>
      </c>
      <c r="L66" s="11" t="s">
        <v>1889</v>
      </c>
      <c r="M66" s="164">
        <v>45742</v>
      </c>
    </row>
    <row r="67" spans="8:13">
      <c r="H67" s="147">
        <f t="shared" si="3"/>
        <v>26</v>
      </c>
      <c r="I67" s="155" t="s">
        <v>1916</v>
      </c>
      <c r="J67" s="147" t="s">
        <v>1212</v>
      </c>
      <c r="K67" s="147"/>
      <c r="L67" s="11" t="s">
        <v>1889</v>
      </c>
      <c r="M67" s="164">
        <v>45705</v>
      </c>
    </row>
    <row r="68" spans="8:13">
      <c r="H68" s="141">
        <f t="shared" si="3"/>
        <v>27</v>
      </c>
      <c r="I68" s="154" t="s">
        <v>1227</v>
      </c>
      <c r="J68" s="141" t="s">
        <v>198</v>
      </c>
      <c r="K68" s="141" t="s">
        <v>352</v>
      </c>
      <c r="L68" s="11" t="s">
        <v>1889</v>
      </c>
      <c r="M68" s="164">
        <f>+INDEX(Pipe!F:F,MATCH('Reuniao Vertical_old'!I68,Pipe!E:E,0))</f>
        <v>45706</v>
      </c>
    </row>
    <row r="69" spans="8:13">
      <c r="H69" s="147">
        <f t="shared" si="3"/>
        <v>28</v>
      </c>
      <c r="I69" s="155" t="s">
        <v>1247</v>
      </c>
      <c r="J69" s="147" t="s">
        <v>270</v>
      </c>
      <c r="K69" s="147" t="s">
        <v>1717</v>
      </c>
      <c r="L69" s="11" t="s">
        <v>1889</v>
      </c>
      <c r="M69" s="164">
        <f>+INDEX(Pipe!F:F,MATCH('Reuniao Vertical_old'!I69,Pipe!E:E,0))</f>
        <v>45712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617FB-A658-476B-A316-DA2D2E72C7F9}">
  <sheetPr codeName="Sheet10"/>
  <dimension ref="C1:V264"/>
  <sheetViews>
    <sheetView showGridLines="0" workbookViewId="0">
      <selection activeCell="AV50" sqref="AV50"/>
    </sheetView>
  </sheetViews>
  <sheetFormatPr defaultRowHeight="14.4"/>
  <cols>
    <col min="1" max="2" width="1.6640625" customWidth="1"/>
    <col min="3" max="3" width="6.6640625" customWidth="1"/>
    <col min="4" max="4" width="45.33203125" bestFit="1" customWidth="1"/>
    <col min="5" max="5" width="47.5546875" bestFit="1" customWidth="1"/>
    <col min="6" max="6" width="9" customWidth="1"/>
    <col min="7" max="7" width="10.44140625" bestFit="1" customWidth="1"/>
    <col min="13" max="13" width="45.33203125" bestFit="1" customWidth="1"/>
    <col min="14" max="14" width="47.5546875" bestFit="1" customWidth="1"/>
    <col min="16" max="16" width="19.5546875" bestFit="1" customWidth="1"/>
    <col min="21" max="21" width="19.5546875" bestFit="1" customWidth="1"/>
  </cols>
  <sheetData>
    <row r="1" spans="3:16">
      <c r="K1" t="s">
        <v>1917</v>
      </c>
      <c r="N1" t="s">
        <v>204</v>
      </c>
    </row>
    <row r="2" spans="3:16">
      <c r="C2" s="24" t="s">
        <v>1770</v>
      </c>
      <c r="D2" s="24" t="s">
        <v>1770</v>
      </c>
      <c r="E2" s="24" t="s">
        <v>1770</v>
      </c>
      <c r="F2" s="24" t="s">
        <v>1770</v>
      </c>
      <c r="G2" s="24" t="s">
        <v>1770</v>
      </c>
      <c r="H2" s="24" t="s">
        <v>1770</v>
      </c>
      <c r="K2" t="s">
        <v>1128</v>
      </c>
      <c r="N2" t="s">
        <v>1918</v>
      </c>
    </row>
    <row r="3" spans="3:16">
      <c r="C3">
        <v>1</v>
      </c>
      <c r="D3" t="s">
        <v>20</v>
      </c>
      <c r="E3" t="s">
        <v>21</v>
      </c>
      <c r="F3" s="65">
        <v>45303</v>
      </c>
      <c r="G3" s="24" t="s">
        <v>1</v>
      </c>
      <c r="H3" t="s">
        <v>320</v>
      </c>
      <c r="P3" t="s">
        <v>1917</v>
      </c>
    </row>
    <row r="4" spans="3:16">
      <c r="C4">
        <f>+C3+1</f>
        <v>2</v>
      </c>
      <c r="D4" t="s">
        <v>20</v>
      </c>
      <c r="E4" t="s">
        <v>26</v>
      </c>
      <c r="F4" s="65">
        <v>45307</v>
      </c>
      <c r="G4" s="24" t="s">
        <v>1</v>
      </c>
      <c r="H4" t="s">
        <v>320</v>
      </c>
      <c r="P4" t="s">
        <v>1128</v>
      </c>
    </row>
    <row r="5" spans="3:16">
      <c r="C5">
        <f t="shared" ref="C5:C68" si="0">+C4+1</f>
        <v>3</v>
      </c>
      <c r="D5" t="s">
        <v>20</v>
      </c>
      <c r="E5" t="s">
        <v>29</v>
      </c>
      <c r="F5" s="65">
        <v>45315</v>
      </c>
      <c r="G5" s="24" t="s">
        <v>1</v>
      </c>
      <c r="H5" t="s">
        <v>320</v>
      </c>
      <c r="P5" t="s">
        <v>1919</v>
      </c>
    </row>
    <row r="6" spans="3:16">
      <c r="C6">
        <f t="shared" si="0"/>
        <v>4</v>
      </c>
      <c r="D6" t="s">
        <v>20</v>
      </c>
      <c r="E6" t="s">
        <v>32</v>
      </c>
      <c r="F6" s="65">
        <v>45306</v>
      </c>
      <c r="G6" s="24" t="s">
        <v>1</v>
      </c>
      <c r="H6" t="s">
        <v>304</v>
      </c>
      <c r="P6" t="s">
        <v>304</v>
      </c>
    </row>
    <row r="7" spans="3:16">
      <c r="C7">
        <f t="shared" si="0"/>
        <v>5</v>
      </c>
      <c r="D7" t="s">
        <v>20</v>
      </c>
      <c r="E7" t="s">
        <v>36</v>
      </c>
      <c r="F7" s="65">
        <v>45314</v>
      </c>
      <c r="G7" s="24" t="s">
        <v>1</v>
      </c>
      <c r="H7" t="s">
        <v>320</v>
      </c>
      <c r="P7" t="s">
        <v>320</v>
      </c>
    </row>
    <row r="8" spans="3:16">
      <c r="C8">
        <f t="shared" si="0"/>
        <v>6</v>
      </c>
      <c r="D8" t="s">
        <v>41</v>
      </c>
      <c r="E8" t="s">
        <v>42</v>
      </c>
      <c r="F8" s="65">
        <v>45302</v>
      </c>
      <c r="G8" s="24" t="s">
        <v>1</v>
      </c>
      <c r="H8" t="s">
        <v>1918</v>
      </c>
      <c r="P8" t="s">
        <v>86</v>
      </c>
    </row>
    <row r="9" spans="3:16">
      <c r="C9">
        <f t="shared" si="0"/>
        <v>7</v>
      </c>
      <c r="D9" t="s">
        <v>47</v>
      </c>
      <c r="E9" t="s">
        <v>48</v>
      </c>
      <c r="F9" s="65">
        <v>45306</v>
      </c>
      <c r="G9" s="24" t="s">
        <v>1</v>
      </c>
      <c r="H9" t="s">
        <v>1917</v>
      </c>
      <c r="P9" t="s">
        <v>204</v>
      </c>
    </row>
    <row r="10" spans="3:16">
      <c r="C10">
        <f t="shared" si="0"/>
        <v>8</v>
      </c>
      <c r="D10" t="s">
        <v>47</v>
      </c>
      <c r="E10" t="s">
        <v>53</v>
      </c>
      <c r="F10" s="65">
        <v>45315</v>
      </c>
      <c r="G10" s="24" t="s">
        <v>1</v>
      </c>
      <c r="H10" t="s">
        <v>1917</v>
      </c>
      <c r="P10" t="s">
        <v>1918</v>
      </c>
    </row>
    <row r="11" spans="3:16">
      <c r="C11">
        <f t="shared" si="0"/>
        <v>9</v>
      </c>
      <c r="D11" t="s">
        <v>57</v>
      </c>
      <c r="E11" t="s">
        <v>58</v>
      </c>
      <c r="F11" s="65">
        <v>45314</v>
      </c>
      <c r="G11" s="24" t="s">
        <v>1</v>
      </c>
      <c r="H11" t="s">
        <v>86</v>
      </c>
    </row>
    <row r="12" spans="3:16">
      <c r="C12">
        <f t="shared" si="0"/>
        <v>10</v>
      </c>
      <c r="D12" t="s">
        <v>63</v>
      </c>
      <c r="E12" t="s">
        <v>64</v>
      </c>
      <c r="F12" s="65">
        <v>45315</v>
      </c>
      <c r="G12" s="24" t="s">
        <v>1</v>
      </c>
      <c r="H12" t="s">
        <v>1918</v>
      </c>
    </row>
    <row r="13" spans="3:16">
      <c r="C13">
        <f t="shared" si="0"/>
        <v>11</v>
      </c>
      <c r="D13" t="s">
        <v>41</v>
      </c>
      <c r="E13" t="s">
        <v>69</v>
      </c>
      <c r="F13" s="65">
        <v>45315</v>
      </c>
      <c r="G13" s="24" t="s">
        <v>1</v>
      </c>
      <c r="H13" t="s">
        <v>1918</v>
      </c>
    </row>
    <row r="14" spans="3:16">
      <c r="C14">
        <f t="shared" si="0"/>
        <v>12</v>
      </c>
      <c r="D14" t="s">
        <v>41</v>
      </c>
      <c r="E14" t="s">
        <v>75</v>
      </c>
      <c r="F14" s="65">
        <v>45315</v>
      </c>
      <c r="G14" s="24" t="s">
        <v>2</v>
      </c>
      <c r="H14" t="s">
        <v>1918</v>
      </c>
    </row>
    <row r="15" spans="3:16">
      <c r="C15">
        <f t="shared" si="0"/>
        <v>13</v>
      </c>
      <c r="D15" t="s">
        <v>80</v>
      </c>
      <c r="E15" t="s">
        <v>81</v>
      </c>
      <c r="F15" s="65">
        <v>45320</v>
      </c>
      <c r="G15" s="24" t="s">
        <v>1</v>
      </c>
      <c r="H15" t="s">
        <v>1917</v>
      </c>
    </row>
    <row r="16" spans="3:16">
      <c r="C16">
        <f t="shared" si="0"/>
        <v>14</v>
      </c>
      <c r="D16" t="s">
        <v>86</v>
      </c>
      <c r="E16" t="s">
        <v>87</v>
      </c>
      <c r="F16" s="65">
        <v>45322</v>
      </c>
      <c r="G16" s="24" t="s">
        <v>1</v>
      </c>
      <c r="H16" t="s">
        <v>86</v>
      </c>
    </row>
    <row r="17" spans="3:8">
      <c r="C17">
        <f t="shared" si="0"/>
        <v>15</v>
      </c>
      <c r="D17" t="s">
        <v>91</v>
      </c>
      <c r="E17" t="s">
        <v>92</v>
      </c>
      <c r="F17" s="65">
        <v>45322</v>
      </c>
      <c r="G17" s="24" t="s">
        <v>1</v>
      </c>
      <c r="H17" t="s">
        <v>1918</v>
      </c>
    </row>
    <row r="18" spans="3:8">
      <c r="C18">
        <f t="shared" si="0"/>
        <v>16</v>
      </c>
      <c r="D18" t="s">
        <v>96</v>
      </c>
      <c r="E18" t="s">
        <v>97</v>
      </c>
      <c r="F18" s="65">
        <v>45366</v>
      </c>
      <c r="G18" s="24" t="s">
        <v>2</v>
      </c>
      <c r="H18" t="s">
        <v>1918</v>
      </c>
    </row>
    <row r="19" spans="3:8">
      <c r="C19">
        <f t="shared" si="0"/>
        <v>17</v>
      </c>
      <c r="D19" t="s">
        <v>86</v>
      </c>
      <c r="E19" t="s">
        <v>100</v>
      </c>
      <c r="F19" s="65">
        <v>45322</v>
      </c>
      <c r="G19" s="24" t="s">
        <v>1</v>
      </c>
      <c r="H19" t="s">
        <v>86</v>
      </c>
    </row>
    <row r="20" spans="3:8">
      <c r="C20">
        <f t="shared" si="0"/>
        <v>18</v>
      </c>
      <c r="D20" t="s">
        <v>20</v>
      </c>
      <c r="E20" t="s">
        <v>104</v>
      </c>
      <c r="F20" s="65">
        <v>45323</v>
      </c>
      <c r="G20" s="24" t="s">
        <v>1</v>
      </c>
      <c r="H20" t="s">
        <v>320</v>
      </c>
    </row>
    <row r="21" spans="3:8">
      <c r="C21">
        <f t="shared" si="0"/>
        <v>19</v>
      </c>
      <c r="D21" t="s">
        <v>41</v>
      </c>
      <c r="E21" t="s">
        <v>107</v>
      </c>
      <c r="F21" s="65">
        <v>45329</v>
      </c>
      <c r="G21" s="24" t="s">
        <v>1</v>
      </c>
      <c r="H21" t="s">
        <v>1918</v>
      </c>
    </row>
    <row r="22" spans="3:8">
      <c r="C22">
        <f t="shared" si="0"/>
        <v>20</v>
      </c>
      <c r="D22" t="s">
        <v>112</v>
      </c>
      <c r="E22" t="s">
        <v>113</v>
      </c>
      <c r="F22" s="65">
        <v>45329</v>
      </c>
      <c r="G22" s="24" t="s">
        <v>1</v>
      </c>
      <c r="H22" t="s">
        <v>1918</v>
      </c>
    </row>
    <row r="23" spans="3:8">
      <c r="C23">
        <f t="shared" si="0"/>
        <v>21</v>
      </c>
      <c r="D23" t="s">
        <v>41</v>
      </c>
      <c r="E23" t="s">
        <v>118</v>
      </c>
      <c r="F23" s="65">
        <v>45330</v>
      </c>
      <c r="G23" s="24" t="s">
        <v>1</v>
      </c>
      <c r="H23" t="s">
        <v>1918</v>
      </c>
    </row>
    <row r="24" spans="3:8">
      <c r="C24">
        <f t="shared" si="0"/>
        <v>22</v>
      </c>
      <c r="D24" t="s">
        <v>41</v>
      </c>
      <c r="E24" t="s">
        <v>123</v>
      </c>
      <c r="F24" s="65">
        <v>45330</v>
      </c>
      <c r="G24" s="24" t="s">
        <v>1</v>
      </c>
      <c r="H24" t="s">
        <v>1918</v>
      </c>
    </row>
    <row r="25" spans="3:8">
      <c r="C25">
        <f t="shared" si="0"/>
        <v>23</v>
      </c>
      <c r="D25" t="s">
        <v>127</v>
      </c>
      <c r="E25" t="s">
        <v>128</v>
      </c>
      <c r="F25" s="65">
        <v>45330</v>
      </c>
      <c r="G25" s="24" t="s">
        <v>1</v>
      </c>
      <c r="H25" t="s">
        <v>204</v>
      </c>
    </row>
    <row r="26" spans="3:8">
      <c r="C26">
        <f t="shared" si="0"/>
        <v>24</v>
      </c>
      <c r="D26" t="s">
        <v>133</v>
      </c>
      <c r="E26" t="s">
        <v>134</v>
      </c>
      <c r="F26" s="65">
        <v>45330</v>
      </c>
      <c r="G26" s="24" t="s">
        <v>1</v>
      </c>
      <c r="H26" t="s">
        <v>1918</v>
      </c>
    </row>
    <row r="27" spans="3:8">
      <c r="C27">
        <f t="shared" si="0"/>
        <v>25</v>
      </c>
      <c r="D27" t="s">
        <v>133</v>
      </c>
      <c r="E27" t="s">
        <v>138</v>
      </c>
      <c r="F27" s="65">
        <v>45337</v>
      </c>
      <c r="G27" s="24" t="s">
        <v>1</v>
      </c>
      <c r="H27" t="s">
        <v>1918</v>
      </c>
    </row>
    <row r="28" spans="3:8">
      <c r="C28">
        <f t="shared" si="0"/>
        <v>26</v>
      </c>
      <c r="D28" t="s">
        <v>86</v>
      </c>
      <c r="E28" t="s">
        <v>143</v>
      </c>
      <c r="F28" s="65">
        <v>45344</v>
      </c>
      <c r="G28" s="24" t="s">
        <v>1</v>
      </c>
      <c r="H28" t="s">
        <v>86</v>
      </c>
    </row>
    <row r="29" spans="3:8">
      <c r="C29">
        <f t="shared" si="0"/>
        <v>27</v>
      </c>
      <c r="D29" t="s">
        <v>86</v>
      </c>
      <c r="E29" t="s">
        <v>148</v>
      </c>
      <c r="F29" s="65">
        <v>45338</v>
      </c>
      <c r="G29" s="24" t="s">
        <v>1</v>
      </c>
      <c r="H29" t="s">
        <v>86</v>
      </c>
    </row>
    <row r="30" spans="3:8">
      <c r="C30">
        <f t="shared" si="0"/>
        <v>28</v>
      </c>
      <c r="D30" t="s">
        <v>41</v>
      </c>
      <c r="E30" t="s">
        <v>152</v>
      </c>
      <c r="F30" s="65">
        <v>45337</v>
      </c>
      <c r="G30" s="24" t="s">
        <v>1</v>
      </c>
      <c r="H30" t="s">
        <v>1128</v>
      </c>
    </row>
    <row r="31" spans="3:8">
      <c r="C31">
        <f t="shared" si="0"/>
        <v>29</v>
      </c>
      <c r="D31" t="s">
        <v>156</v>
      </c>
      <c r="E31" t="s">
        <v>157</v>
      </c>
      <c r="F31" s="65">
        <v>45337</v>
      </c>
      <c r="G31" s="24" t="s">
        <v>3</v>
      </c>
      <c r="H31" t="s">
        <v>1919</v>
      </c>
    </row>
    <row r="32" spans="3:8">
      <c r="C32">
        <f t="shared" si="0"/>
        <v>30</v>
      </c>
      <c r="D32" t="s">
        <v>161</v>
      </c>
      <c r="E32" t="s">
        <v>162</v>
      </c>
      <c r="F32" s="65">
        <v>45338</v>
      </c>
      <c r="G32" s="24" t="s">
        <v>166</v>
      </c>
      <c r="H32" t="s">
        <v>1918</v>
      </c>
    </row>
    <row r="33" spans="3:8">
      <c r="C33">
        <f t="shared" si="0"/>
        <v>31</v>
      </c>
      <c r="D33" t="s">
        <v>168</v>
      </c>
      <c r="E33" t="s">
        <v>169</v>
      </c>
      <c r="F33" s="65">
        <v>45342</v>
      </c>
      <c r="G33" s="24" t="s">
        <v>1</v>
      </c>
      <c r="H33" t="s">
        <v>1917</v>
      </c>
    </row>
    <row r="34" spans="3:8">
      <c r="C34">
        <f t="shared" si="0"/>
        <v>32</v>
      </c>
      <c r="D34" t="s">
        <v>168</v>
      </c>
      <c r="E34" t="s">
        <v>174</v>
      </c>
      <c r="F34" s="65">
        <v>45343</v>
      </c>
      <c r="G34" s="24" t="s">
        <v>1</v>
      </c>
      <c r="H34" t="s">
        <v>1917</v>
      </c>
    </row>
    <row r="35" spans="3:8">
      <c r="C35">
        <f t="shared" si="0"/>
        <v>33</v>
      </c>
      <c r="D35" t="s">
        <v>179</v>
      </c>
      <c r="E35" t="s">
        <v>180</v>
      </c>
      <c r="F35" s="65">
        <v>45342</v>
      </c>
      <c r="G35" s="24" t="s">
        <v>2</v>
      </c>
      <c r="H35" t="s">
        <v>1917</v>
      </c>
    </row>
    <row r="36" spans="3:8">
      <c r="C36">
        <f t="shared" si="0"/>
        <v>34</v>
      </c>
      <c r="D36" t="s">
        <v>168</v>
      </c>
      <c r="E36" t="s">
        <v>184</v>
      </c>
      <c r="F36" s="65">
        <v>45345</v>
      </c>
      <c r="G36" s="24" t="s">
        <v>1</v>
      </c>
      <c r="H36" t="s">
        <v>1917</v>
      </c>
    </row>
    <row r="37" spans="3:8">
      <c r="C37">
        <f t="shared" si="0"/>
        <v>35</v>
      </c>
      <c r="E37" t="s">
        <v>188</v>
      </c>
      <c r="F37" s="65">
        <v>45330</v>
      </c>
      <c r="G37" s="24" t="s">
        <v>166</v>
      </c>
      <c r="H37" t="s">
        <v>1917</v>
      </c>
    </row>
    <row r="38" spans="3:8">
      <c r="C38">
        <f t="shared" si="0"/>
        <v>36</v>
      </c>
      <c r="D38" t="s">
        <v>193</v>
      </c>
      <c r="E38" t="s">
        <v>194</v>
      </c>
      <c r="F38" s="65">
        <v>45330</v>
      </c>
      <c r="G38" s="24" t="s">
        <v>1</v>
      </c>
      <c r="H38" t="s">
        <v>1918</v>
      </c>
    </row>
    <row r="39" spans="3:8">
      <c r="C39">
        <f t="shared" si="0"/>
        <v>37</v>
      </c>
      <c r="D39" t="s">
        <v>198</v>
      </c>
      <c r="E39" t="s">
        <v>199</v>
      </c>
      <c r="F39" s="65">
        <v>45349</v>
      </c>
      <c r="G39" s="24" t="s">
        <v>1</v>
      </c>
      <c r="H39" t="s">
        <v>304</v>
      </c>
    </row>
    <row r="40" spans="3:8">
      <c r="C40">
        <f t="shared" si="0"/>
        <v>38</v>
      </c>
      <c r="D40" t="s">
        <v>204</v>
      </c>
      <c r="E40" t="s">
        <v>205</v>
      </c>
      <c r="F40" s="65">
        <v>45350</v>
      </c>
      <c r="G40" s="24" t="s">
        <v>166</v>
      </c>
      <c r="H40" t="s">
        <v>204</v>
      </c>
    </row>
    <row r="41" spans="3:8">
      <c r="C41">
        <f t="shared" si="0"/>
        <v>39</v>
      </c>
      <c r="D41" t="s">
        <v>209</v>
      </c>
      <c r="E41" t="s">
        <v>210</v>
      </c>
      <c r="F41" s="65">
        <v>45358</v>
      </c>
      <c r="G41" s="24" t="s">
        <v>1</v>
      </c>
      <c r="H41" t="s">
        <v>304</v>
      </c>
    </row>
    <row r="42" spans="3:8">
      <c r="C42">
        <f t="shared" si="0"/>
        <v>40</v>
      </c>
      <c r="D42" t="s">
        <v>215</v>
      </c>
      <c r="E42" t="s">
        <v>216</v>
      </c>
      <c r="F42" s="65">
        <v>45364</v>
      </c>
      <c r="G42" s="24" t="s">
        <v>1</v>
      </c>
      <c r="H42" t="s">
        <v>320</v>
      </c>
    </row>
    <row r="43" spans="3:8">
      <c r="C43">
        <f t="shared" si="0"/>
        <v>41</v>
      </c>
      <c r="D43" t="s">
        <v>221</v>
      </c>
      <c r="E43" t="s">
        <v>222</v>
      </c>
      <c r="F43" s="65">
        <v>45366</v>
      </c>
      <c r="G43" s="24" t="s">
        <v>2</v>
      </c>
      <c r="H43" t="s">
        <v>320</v>
      </c>
    </row>
    <row r="44" spans="3:8">
      <c r="C44">
        <f t="shared" si="0"/>
        <v>42</v>
      </c>
      <c r="D44" t="s">
        <v>224</v>
      </c>
      <c r="E44" t="s">
        <v>225</v>
      </c>
      <c r="F44" s="65">
        <v>45366</v>
      </c>
      <c r="G44" s="24" t="s">
        <v>1</v>
      </c>
      <c r="H44" t="s">
        <v>320</v>
      </c>
    </row>
    <row r="45" spans="3:8">
      <c r="C45">
        <f t="shared" si="0"/>
        <v>43</v>
      </c>
      <c r="D45" t="s">
        <v>230</v>
      </c>
      <c r="E45" t="s">
        <v>231</v>
      </c>
      <c r="F45" s="65">
        <v>45366</v>
      </c>
      <c r="G45" s="24" t="s">
        <v>2</v>
      </c>
      <c r="H45" t="s">
        <v>1917</v>
      </c>
    </row>
    <row r="46" spans="3:8">
      <c r="C46">
        <f t="shared" si="0"/>
        <v>44</v>
      </c>
      <c r="D46" t="s">
        <v>20</v>
      </c>
      <c r="E46" t="s">
        <v>234</v>
      </c>
      <c r="F46" s="65">
        <v>45365</v>
      </c>
      <c r="G46" s="24" t="s">
        <v>1</v>
      </c>
      <c r="H46" t="s">
        <v>304</v>
      </c>
    </row>
    <row r="47" spans="3:8">
      <c r="C47">
        <f t="shared" si="0"/>
        <v>45</v>
      </c>
      <c r="D47" t="s">
        <v>239</v>
      </c>
      <c r="E47" t="s">
        <v>240</v>
      </c>
      <c r="F47" s="65">
        <v>45365</v>
      </c>
      <c r="G47" s="24" t="s">
        <v>1</v>
      </c>
      <c r="H47" t="s">
        <v>304</v>
      </c>
    </row>
    <row r="48" spans="3:8">
      <c r="C48">
        <f t="shared" si="0"/>
        <v>46</v>
      </c>
      <c r="D48" t="s">
        <v>243</v>
      </c>
      <c r="E48" t="s">
        <v>244</v>
      </c>
      <c r="F48" s="65">
        <v>45365</v>
      </c>
      <c r="G48" s="24" t="s">
        <v>1</v>
      </c>
      <c r="H48" t="s">
        <v>320</v>
      </c>
    </row>
    <row r="49" spans="3:8">
      <c r="C49">
        <f t="shared" si="0"/>
        <v>47</v>
      </c>
      <c r="D49" t="s">
        <v>247</v>
      </c>
      <c r="E49" t="s">
        <v>248</v>
      </c>
      <c r="F49" s="65">
        <v>45365</v>
      </c>
      <c r="G49" s="24" t="s">
        <v>1</v>
      </c>
      <c r="H49" t="s">
        <v>320</v>
      </c>
    </row>
    <row r="50" spans="3:8">
      <c r="C50">
        <f t="shared" si="0"/>
        <v>48</v>
      </c>
      <c r="D50" t="s">
        <v>249</v>
      </c>
      <c r="F50" s="65">
        <v>45366</v>
      </c>
      <c r="G50" s="24" t="s">
        <v>3</v>
      </c>
      <c r="H50" t="s">
        <v>320</v>
      </c>
    </row>
    <row r="51" spans="3:8">
      <c r="C51">
        <f t="shared" si="0"/>
        <v>49</v>
      </c>
      <c r="D51" t="s">
        <v>221</v>
      </c>
      <c r="E51" t="s">
        <v>251</v>
      </c>
      <c r="F51" s="65">
        <v>45366</v>
      </c>
      <c r="G51" s="24" t="s">
        <v>1</v>
      </c>
      <c r="H51" t="s">
        <v>1128</v>
      </c>
    </row>
    <row r="52" spans="3:8">
      <c r="C52">
        <f t="shared" si="0"/>
        <v>50</v>
      </c>
      <c r="D52" t="s">
        <v>254</v>
      </c>
      <c r="E52" t="s">
        <v>255</v>
      </c>
      <c r="F52" s="65">
        <v>45366</v>
      </c>
      <c r="G52" s="24" t="s">
        <v>1</v>
      </c>
      <c r="H52" t="s">
        <v>1128</v>
      </c>
    </row>
    <row r="53" spans="3:8">
      <c r="C53">
        <f t="shared" si="0"/>
        <v>51</v>
      </c>
      <c r="E53" t="s">
        <v>259</v>
      </c>
      <c r="F53" s="65">
        <v>45366</v>
      </c>
      <c r="G53" s="24" t="s">
        <v>1</v>
      </c>
      <c r="H53" t="s">
        <v>1917</v>
      </c>
    </row>
    <row r="54" spans="3:8">
      <c r="C54">
        <f t="shared" si="0"/>
        <v>52</v>
      </c>
      <c r="D54" t="s">
        <v>230</v>
      </c>
      <c r="E54" t="s">
        <v>261</v>
      </c>
      <c r="F54" s="65">
        <v>45366</v>
      </c>
      <c r="G54" s="24" t="s">
        <v>1</v>
      </c>
      <c r="H54" t="s">
        <v>320</v>
      </c>
    </row>
    <row r="55" spans="3:8">
      <c r="C55">
        <f t="shared" si="0"/>
        <v>53</v>
      </c>
      <c r="D55" t="s">
        <v>224</v>
      </c>
      <c r="E55" t="s">
        <v>264</v>
      </c>
      <c r="F55" s="65">
        <v>45366</v>
      </c>
      <c r="G55" s="24" t="s">
        <v>1</v>
      </c>
      <c r="H55" t="s">
        <v>1128</v>
      </c>
    </row>
    <row r="56" spans="3:8">
      <c r="C56">
        <f t="shared" si="0"/>
        <v>54</v>
      </c>
      <c r="D56" t="s">
        <v>268</v>
      </c>
      <c r="F56" s="65">
        <v>45366</v>
      </c>
      <c r="G56" s="24" t="s">
        <v>1</v>
      </c>
      <c r="H56" t="s">
        <v>1128</v>
      </c>
    </row>
    <row r="57" spans="3:8">
      <c r="C57">
        <f t="shared" si="0"/>
        <v>55</v>
      </c>
      <c r="D57" t="s">
        <v>270</v>
      </c>
      <c r="E57" t="s">
        <v>271</v>
      </c>
      <c r="F57" s="65">
        <v>45366</v>
      </c>
      <c r="G57" s="24" t="s">
        <v>2</v>
      </c>
      <c r="H57" t="s">
        <v>204</v>
      </c>
    </row>
    <row r="58" spans="3:8">
      <c r="C58">
        <f t="shared" si="0"/>
        <v>56</v>
      </c>
      <c r="D58" t="s">
        <v>273</v>
      </c>
      <c r="E58" t="s">
        <v>274</v>
      </c>
      <c r="F58" s="65">
        <v>45366</v>
      </c>
      <c r="G58" s="24" t="s">
        <v>1</v>
      </c>
      <c r="H58" t="s">
        <v>204</v>
      </c>
    </row>
    <row r="59" spans="3:8">
      <c r="C59">
        <f t="shared" si="0"/>
        <v>57</v>
      </c>
      <c r="D59" t="s">
        <v>276</v>
      </c>
      <c r="E59" t="s">
        <v>277</v>
      </c>
      <c r="F59" s="65">
        <v>45366</v>
      </c>
      <c r="G59" s="24" t="s">
        <v>1</v>
      </c>
      <c r="H59" t="s">
        <v>1918</v>
      </c>
    </row>
    <row r="60" spans="3:8">
      <c r="C60">
        <f t="shared" si="0"/>
        <v>58</v>
      </c>
      <c r="D60" t="s">
        <v>96</v>
      </c>
      <c r="E60" t="s">
        <v>280</v>
      </c>
      <c r="F60" s="65">
        <v>45377</v>
      </c>
      <c r="G60" s="24" t="s">
        <v>1</v>
      </c>
      <c r="H60" t="s">
        <v>1918</v>
      </c>
    </row>
    <row r="61" spans="3:8">
      <c r="C61">
        <f t="shared" si="0"/>
        <v>59</v>
      </c>
      <c r="E61" t="s">
        <v>283</v>
      </c>
      <c r="F61" s="65">
        <v>45366</v>
      </c>
      <c r="G61" s="24" t="s">
        <v>1</v>
      </c>
      <c r="H61" t="s">
        <v>1918</v>
      </c>
    </row>
    <row r="62" spans="3:8">
      <c r="C62">
        <f t="shared" si="0"/>
        <v>60</v>
      </c>
      <c r="E62" t="s">
        <v>287</v>
      </c>
      <c r="F62" s="65">
        <v>45366</v>
      </c>
      <c r="G62" s="24" t="s">
        <v>1</v>
      </c>
      <c r="H62" t="s">
        <v>204</v>
      </c>
    </row>
    <row r="63" spans="3:8">
      <c r="C63">
        <f t="shared" si="0"/>
        <v>61</v>
      </c>
      <c r="D63" t="s">
        <v>289</v>
      </c>
      <c r="E63" t="s">
        <v>290</v>
      </c>
      <c r="F63" s="65">
        <v>45366</v>
      </c>
      <c r="G63" s="24" t="s">
        <v>1</v>
      </c>
      <c r="H63" t="s">
        <v>1128</v>
      </c>
    </row>
    <row r="64" spans="3:8">
      <c r="C64">
        <f t="shared" si="0"/>
        <v>62</v>
      </c>
      <c r="D64" t="s">
        <v>254</v>
      </c>
      <c r="E64" t="s">
        <v>292</v>
      </c>
      <c r="F64" s="65">
        <v>45366</v>
      </c>
      <c r="G64" s="24" t="s">
        <v>3</v>
      </c>
      <c r="H64" t="s">
        <v>1917</v>
      </c>
    </row>
    <row r="65" spans="3:8">
      <c r="C65">
        <f t="shared" si="0"/>
        <v>63</v>
      </c>
      <c r="D65" t="s">
        <v>230</v>
      </c>
      <c r="E65" t="s">
        <v>294</v>
      </c>
      <c r="F65" s="65">
        <v>45366</v>
      </c>
      <c r="G65" s="24" t="s">
        <v>1</v>
      </c>
      <c r="H65" t="s">
        <v>1128</v>
      </c>
    </row>
    <row r="66" spans="3:8">
      <c r="C66">
        <f t="shared" si="0"/>
        <v>64</v>
      </c>
      <c r="D66" t="s">
        <v>297</v>
      </c>
      <c r="E66" t="s">
        <v>298</v>
      </c>
      <c r="F66" s="65">
        <v>45366</v>
      </c>
      <c r="G66" s="24" t="s">
        <v>1</v>
      </c>
      <c r="H66" t="s">
        <v>86</v>
      </c>
    </row>
    <row r="67" spans="3:8">
      <c r="C67">
        <f t="shared" si="0"/>
        <v>65</v>
      </c>
      <c r="D67" t="s">
        <v>86</v>
      </c>
      <c r="E67" t="s">
        <v>301</v>
      </c>
      <c r="F67" s="65">
        <v>45366</v>
      </c>
      <c r="G67" s="24" t="s">
        <v>1</v>
      </c>
      <c r="H67" t="s">
        <v>304</v>
      </c>
    </row>
    <row r="68" spans="3:8">
      <c r="C68">
        <f t="shared" si="0"/>
        <v>66</v>
      </c>
      <c r="D68" t="s">
        <v>304</v>
      </c>
      <c r="E68" t="s">
        <v>305</v>
      </c>
      <c r="F68" s="65">
        <v>45370</v>
      </c>
      <c r="G68" s="24" t="s">
        <v>1</v>
      </c>
      <c r="H68" t="s">
        <v>86</v>
      </c>
    </row>
    <row r="69" spans="3:8">
      <c r="C69">
        <f t="shared" ref="C69:C132" si="1">+C68+1</f>
        <v>67</v>
      </c>
      <c r="D69" t="s">
        <v>86</v>
      </c>
      <c r="E69" t="s">
        <v>310</v>
      </c>
      <c r="F69" s="65">
        <v>45370</v>
      </c>
      <c r="G69" s="24" t="s">
        <v>1</v>
      </c>
      <c r="H69" t="s">
        <v>86</v>
      </c>
    </row>
    <row r="70" spans="3:8">
      <c r="C70">
        <f t="shared" si="1"/>
        <v>68</v>
      </c>
      <c r="D70" t="s">
        <v>86</v>
      </c>
      <c r="E70" t="s">
        <v>315</v>
      </c>
      <c r="F70" s="65">
        <v>45376</v>
      </c>
      <c r="G70" s="24" t="s">
        <v>1</v>
      </c>
      <c r="H70" t="s">
        <v>320</v>
      </c>
    </row>
    <row r="71" spans="3:8">
      <c r="C71">
        <f t="shared" si="1"/>
        <v>69</v>
      </c>
      <c r="D71" t="s">
        <v>320</v>
      </c>
      <c r="E71" t="s">
        <v>321</v>
      </c>
      <c r="F71" s="65">
        <v>45377</v>
      </c>
      <c r="G71" s="24" t="s">
        <v>1</v>
      </c>
      <c r="H71" t="s">
        <v>86</v>
      </c>
    </row>
    <row r="72" spans="3:8">
      <c r="C72">
        <f t="shared" si="1"/>
        <v>70</v>
      </c>
      <c r="D72" t="s">
        <v>86</v>
      </c>
      <c r="E72" t="s">
        <v>325</v>
      </c>
      <c r="F72" s="65">
        <v>45377</v>
      </c>
      <c r="G72" s="24" t="s">
        <v>1</v>
      </c>
      <c r="H72" t="s">
        <v>86</v>
      </c>
    </row>
    <row r="73" spans="3:8">
      <c r="C73">
        <f t="shared" si="1"/>
        <v>71</v>
      </c>
      <c r="D73" t="s">
        <v>329</v>
      </c>
      <c r="E73" t="s">
        <v>330</v>
      </c>
      <c r="F73" s="65">
        <v>45384</v>
      </c>
      <c r="G73" s="24" t="s">
        <v>1</v>
      </c>
      <c r="H73" t="s">
        <v>86</v>
      </c>
    </row>
    <row r="74" spans="3:8">
      <c r="C74">
        <f t="shared" si="1"/>
        <v>72</v>
      </c>
      <c r="D74" t="s">
        <v>335</v>
      </c>
      <c r="E74" t="s">
        <v>336</v>
      </c>
      <c r="F74" s="65">
        <v>45379</v>
      </c>
      <c r="G74" s="24" t="s">
        <v>1</v>
      </c>
      <c r="H74" t="s">
        <v>86</v>
      </c>
    </row>
    <row r="75" spans="3:8">
      <c r="C75">
        <f t="shared" si="1"/>
        <v>73</v>
      </c>
      <c r="D75" t="s">
        <v>338</v>
      </c>
      <c r="E75" t="s">
        <v>339</v>
      </c>
      <c r="F75" s="65">
        <v>45383</v>
      </c>
      <c r="G75" s="24" t="s">
        <v>1</v>
      </c>
      <c r="H75" t="s">
        <v>1128</v>
      </c>
    </row>
    <row r="76" spans="3:8">
      <c r="C76">
        <f t="shared" si="1"/>
        <v>74</v>
      </c>
      <c r="D76" t="s">
        <v>342</v>
      </c>
      <c r="E76" t="s">
        <v>343</v>
      </c>
      <c r="F76" s="65">
        <v>45390</v>
      </c>
      <c r="G76" s="24" t="s">
        <v>2</v>
      </c>
      <c r="H76" t="s">
        <v>1128</v>
      </c>
    </row>
    <row r="77" spans="3:8">
      <c r="C77">
        <f t="shared" si="1"/>
        <v>75</v>
      </c>
      <c r="D77" t="s">
        <v>270</v>
      </c>
      <c r="E77" t="s">
        <v>348</v>
      </c>
      <c r="F77" s="65">
        <v>45383</v>
      </c>
      <c r="G77" s="24" t="s">
        <v>2</v>
      </c>
      <c r="H77" t="s">
        <v>320</v>
      </c>
    </row>
    <row r="78" spans="3:8">
      <c r="C78">
        <f t="shared" si="1"/>
        <v>76</v>
      </c>
      <c r="D78" t="s">
        <v>270</v>
      </c>
      <c r="E78" t="s">
        <v>350</v>
      </c>
      <c r="F78" s="65">
        <v>45383</v>
      </c>
      <c r="G78" s="24" t="s">
        <v>1</v>
      </c>
      <c r="H78" t="s">
        <v>204</v>
      </c>
    </row>
    <row r="79" spans="3:8">
      <c r="C79">
        <f t="shared" si="1"/>
        <v>77</v>
      </c>
      <c r="D79" t="s">
        <v>352</v>
      </c>
      <c r="E79" t="s">
        <v>353</v>
      </c>
      <c r="F79" s="65">
        <v>45387</v>
      </c>
      <c r="G79" s="24" t="s">
        <v>1</v>
      </c>
      <c r="H79" t="s">
        <v>1918</v>
      </c>
    </row>
    <row r="80" spans="3:8">
      <c r="C80">
        <f t="shared" si="1"/>
        <v>78</v>
      </c>
      <c r="D80" t="s">
        <v>357</v>
      </c>
      <c r="E80" t="s">
        <v>358</v>
      </c>
      <c r="F80" s="65">
        <v>45322</v>
      </c>
      <c r="G80" s="24" t="s">
        <v>1</v>
      </c>
      <c r="H80" t="s">
        <v>320</v>
      </c>
    </row>
    <row r="81" spans="3:8">
      <c r="C81">
        <f t="shared" si="1"/>
        <v>79</v>
      </c>
      <c r="D81" t="s">
        <v>342</v>
      </c>
      <c r="E81" t="s">
        <v>363</v>
      </c>
      <c r="F81" s="65">
        <v>45386</v>
      </c>
      <c r="G81" s="24" t="s">
        <v>1</v>
      </c>
      <c r="H81" t="s">
        <v>320</v>
      </c>
    </row>
    <row r="82" spans="3:8">
      <c r="C82">
        <f t="shared" si="1"/>
        <v>80</v>
      </c>
      <c r="D82" t="s">
        <v>20</v>
      </c>
      <c r="E82" t="s">
        <v>367</v>
      </c>
      <c r="F82" s="65">
        <v>45386</v>
      </c>
      <c r="G82" s="24" t="s">
        <v>1</v>
      </c>
      <c r="H82" t="s">
        <v>304</v>
      </c>
    </row>
    <row r="83" spans="3:8">
      <c r="C83">
        <f t="shared" si="1"/>
        <v>81</v>
      </c>
      <c r="D83" t="s">
        <v>369</v>
      </c>
      <c r="E83" t="s">
        <v>370</v>
      </c>
      <c r="F83" s="65">
        <v>45385</v>
      </c>
      <c r="G83" s="24" t="s">
        <v>1</v>
      </c>
      <c r="H83" t="s">
        <v>304</v>
      </c>
    </row>
    <row r="84" spans="3:8">
      <c r="C84">
        <f t="shared" si="1"/>
        <v>82</v>
      </c>
      <c r="D84" t="s">
        <v>329</v>
      </c>
      <c r="E84" t="s">
        <v>374</v>
      </c>
      <c r="F84" s="65">
        <v>45391</v>
      </c>
      <c r="G84" s="24" t="s">
        <v>1</v>
      </c>
      <c r="H84" t="s">
        <v>1918</v>
      </c>
    </row>
    <row r="85" spans="3:8">
      <c r="C85">
        <f t="shared" si="1"/>
        <v>83</v>
      </c>
      <c r="D85" t="s">
        <v>329</v>
      </c>
      <c r="E85" t="s">
        <v>378</v>
      </c>
      <c r="F85" s="65">
        <v>45386</v>
      </c>
      <c r="G85" s="24" t="s">
        <v>2</v>
      </c>
      <c r="H85" t="s">
        <v>204</v>
      </c>
    </row>
    <row r="86" spans="3:8">
      <c r="C86">
        <f t="shared" si="1"/>
        <v>84</v>
      </c>
      <c r="D86" t="s">
        <v>380</v>
      </c>
      <c r="E86" t="s">
        <v>381</v>
      </c>
      <c r="F86" s="65">
        <v>45390</v>
      </c>
      <c r="G86" s="24" t="s">
        <v>3</v>
      </c>
      <c r="H86" t="s">
        <v>86</v>
      </c>
    </row>
    <row r="87" spans="3:8">
      <c r="C87">
        <f t="shared" si="1"/>
        <v>85</v>
      </c>
      <c r="D87" t="s">
        <v>385</v>
      </c>
      <c r="E87" t="s">
        <v>386</v>
      </c>
      <c r="F87" s="65">
        <v>45386</v>
      </c>
      <c r="G87" s="24" t="s">
        <v>1</v>
      </c>
      <c r="H87" t="s">
        <v>204</v>
      </c>
    </row>
    <row r="88" spans="3:8">
      <c r="C88">
        <f t="shared" si="1"/>
        <v>86</v>
      </c>
      <c r="D88" t="s">
        <v>86</v>
      </c>
      <c r="E88" t="s">
        <v>388</v>
      </c>
      <c r="F88" s="65">
        <v>45390</v>
      </c>
      <c r="G88" s="24" t="s">
        <v>1</v>
      </c>
      <c r="H88" t="s">
        <v>304</v>
      </c>
    </row>
    <row r="89" spans="3:8">
      <c r="C89">
        <f t="shared" si="1"/>
        <v>87</v>
      </c>
      <c r="D89" t="s">
        <v>390</v>
      </c>
      <c r="E89" t="s">
        <v>391</v>
      </c>
      <c r="F89" s="65">
        <v>45397</v>
      </c>
      <c r="G89" s="24" t="s">
        <v>1</v>
      </c>
      <c r="H89" t="s">
        <v>1918</v>
      </c>
    </row>
    <row r="90" spans="3:8">
      <c r="C90">
        <f t="shared" si="1"/>
        <v>88</v>
      </c>
      <c r="D90" t="s">
        <v>395</v>
      </c>
      <c r="E90" t="s">
        <v>396</v>
      </c>
      <c r="F90" s="65">
        <v>45401</v>
      </c>
      <c r="G90" s="24" t="s">
        <v>1</v>
      </c>
      <c r="H90" t="s">
        <v>1918</v>
      </c>
    </row>
    <row r="91" spans="3:8">
      <c r="C91">
        <f t="shared" si="1"/>
        <v>89</v>
      </c>
      <c r="D91" t="s">
        <v>96</v>
      </c>
      <c r="E91" t="s">
        <v>402</v>
      </c>
      <c r="F91" s="65">
        <v>45401</v>
      </c>
      <c r="G91" s="24" t="s">
        <v>1</v>
      </c>
      <c r="H91" t="s">
        <v>320</v>
      </c>
    </row>
    <row r="92" spans="3:8">
      <c r="C92">
        <f t="shared" si="1"/>
        <v>90</v>
      </c>
      <c r="D92" t="s">
        <v>96</v>
      </c>
      <c r="E92" t="s">
        <v>407</v>
      </c>
      <c r="F92" s="65">
        <v>45401</v>
      </c>
      <c r="G92" s="24" t="s">
        <v>1</v>
      </c>
      <c r="H92" t="s">
        <v>1128</v>
      </c>
    </row>
    <row r="93" spans="3:8">
      <c r="C93">
        <f t="shared" si="1"/>
        <v>91</v>
      </c>
      <c r="D93" t="s">
        <v>320</v>
      </c>
      <c r="E93" t="s">
        <v>412</v>
      </c>
      <c r="F93" s="65">
        <v>45401</v>
      </c>
      <c r="G93" s="24" t="s">
        <v>1</v>
      </c>
      <c r="H93" t="s">
        <v>304</v>
      </c>
    </row>
    <row r="94" spans="3:8">
      <c r="C94">
        <f t="shared" si="1"/>
        <v>92</v>
      </c>
      <c r="D94" t="s">
        <v>415</v>
      </c>
      <c r="F94" s="65">
        <v>45401</v>
      </c>
      <c r="G94" s="24" t="s">
        <v>1</v>
      </c>
      <c r="H94" t="s">
        <v>320</v>
      </c>
    </row>
    <row r="95" spans="3:8">
      <c r="C95">
        <f t="shared" si="1"/>
        <v>93</v>
      </c>
      <c r="D95" t="s">
        <v>96</v>
      </c>
      <c r="E95" t="s">
        <v>418</v>
      </c>
      <c r="F95" s="65">
        <v>45415</v>
      </c>
      <c r="G95" s="24" t="s">
        <v>1</v>
      </c>
      <c r="H95" t="s">
        <v>1918</v>
      </c>
    </row>
    <row r="96" spans="3:8">
      <c r="C96">
        <f t="shared" si="1"/>
        <v>94</v>
      </c>
      <c r="D96" t="s">
        <v>320</v>
      </c>
      <c r="E96" t="s">
        <v>421</v>
      </c>
      <c r="F96" s="65">
        <v>45419</v>
      </c>
      <c r="G96" s="24" t="s">
        <v>1</v>
      </c>
      <c r="H96" t="s">
        <v>304</v>
      </c>
    </row>
    <row r="97" spans="3:8">
      <c r="C97">
        <f t="shared" si="1"/>
        <v>95</v>
      </c>
      <c r="D97" t="s">
        <v>96</v>
      </c>
      <c r="E97" t="s">
        <v>424</v>
      </c>
      <c r="F97" s="65">
        <v>45419</v>
      </c>
      <c r="G97" s="24" t="s">
        <v>1</v>
      </c>
      <c r="H97" t="s">
        <v>1919</v>
      </c>
    </row>
    <row r="98" spans="3:8">
      <c r="C98">
        <f t="shared" si="1"/>
        <v>96</v>
      </c>
      <c r="D98" t="s">
        <v>96</v>
      </c>
      <c r="E98" t="s">
        <v>428</v>
      </c>
      <c r="F98" s="65">
        <v>45419</v>
      </c>
      <c r="G98" s="24" t="s">
        <v>1</v>
      </c>
      <c r="H98" t="s">
        <v>1128</v>
      </c>
    </row>
    <row r="99" spans="3:8">
      <c r="C99">
        <f t="shared" si="1"/>
        <v>97</v>
      </c>
      <c r="D99" t="s">
        <v>430</v>
      </c>
      <c r="E99" t="s">
        <v>431</v>
      </c>
      <c r="F99" s="65">
        <v>45425</v>
      </c>
      <c r="G99" s="24" t="s">
        <v>3</v>
      </c>
      <c r="H99" t="s">
        <v>1919</v>
      </c>
    </row>
    <row r="100" spans="3:8">
      <c r="C100">
        <f t="shared" si="1"/>
        <v>98</v>
      </c>
      <c r="D100" t="s">
        <v>434</v>
      </c>
      <c r="E100" t="s">
        <v>424</v>
      </c>
      <c r="F100" s="65">
        <v>45425</v>
      </c>
      <c r="G100" s="24" t="s">
        <v>2</v>
      </c>
      <c r="H100" t="s">
        <v>320</v>
      </c>
    </row>
    <row r="101" spans="3:8">
      <c r="C101">
        <f t="shared" si="1"/>
        <v>99</v>
      </c>
      <c r="D101" t="s">
        <v>436</v>
      </c>
      <c r="E101" t="s">
        <v>437</v>
      </c>
      <c r="F101" s="65">
        <v>45425</v>
      </c>
      <c r="G101" s="24" t="s">
        <v>2</v>
      </c>
      <c r="H101" t="s">
        <v>1128</v>
      </c>
    </row>
    <row r="102" spans="3:8">
      <c r="C102">
        <f t="shared" si="1"/>
        <v>100</v>
      </c>
      <c r="D102" t="s">
        <v>440</v>
      </c>
      <c r="E102" t="s">
        <v>441</v>
      </c>
      <c r="F102" s="65">
        <v>45432</v>
      </c>
      <c r="G102" s="24" t="s">
        <v>1</v>
      </c>
      <c r="H102" t="s">
        <v>320</v>
      </c>
    </row>
    <row r="103" spans="3:8">
      <c r="C103">
        <f t="shared" si="1"/>
        <v>101</v>
      </c>
      <c r="D103" t="s">
        <v>444</v>
      </c>
      <c r="E103" t="s">
        <v>445</v>
      </c>
      <c r="F103" s="65">
        <v>45436</v>
      </c>
      <c r="G103" s="24" t="s">
        <v>1</v>
      </c>
      <c r="H103" t="s">
        <v>1128</v>
      </c>
    </row>
    <row r="104" spans="3:8">
      <c r="C104">
        <f t="shared" si="1"/>
        <v>102</v>
      </c>
      <c r="D104" t="s">
        <v>444</v>
      </c>
      <c r="E104" t="s">
        <v>449</v>
      </c>
      <c r="F104" s="65">
        <v>45436</v>
      </c>
      <c r="G104" s="24" t="s">
        <v>1</v>
      </c>
      <c r="H104" t="s">
        <v>320</v>
      </c>
    </row>
    <row r="105" spans="3:8">
      <c r="C105">
        <f t="shared" si="1"/>
        <v>103</v>
      </c>
      <c r="D105" t="s">
        <v>453</v>
      </c>
      <c r="E105" t="s">
        <v>454</v>
      </c>
      <c r="F105" s="65">
        <v>45436</v>
      </c>
      <c r="G105" s="24" t="s">
        <v>1</v>
      </c>
      <c r="H105" t="s">
        <v>204</v>
      </c>
    </row>
    <row r="106" spans="3:8">
      <c r="C106">
        <f t="shared" si="1"/>
        <v>104</v>
      </c>
      <c r="D106" t="s">
        <v>458</v>
      </c>
      <c r="E106" t="s">
        <v>459</v>
      </c>
      <c r="F106" s="65">
        <v>45436</v>
      </c>
      <c r="G106" s="24" t="s">
        <v>1</v>
      </c>
      <c r="H106" t="s">
        <v>320</v>
      </c>
    </row>
    <row r="107" spans="3:8">
      <c r="C107">
        <f t="shared" si="1"/>
        <v>105</v>
      </c>
      <c r="D107" t="s">
        <v>463</v>
      </c>
      <c r="E107" t="s">
        <v>464</v>
      </c>
      <c r="F107" s="65">
        <v>45436</v>
      </c>
      <c r="G107" s="24" t="s">
        <v>1</v>
      </c>
      <c r="H107" t="s">
        <v>1128</v>
      </c>
    </row>
    <row r="108" spans="3:8">
      <c r="C108">
        <f t="shared" si="1"/>
        <v>106</v>
      </c>
      <c r="D108" t="s">
        <v>467</v>
      </c>
      <c r="E108" t="s">
        <v>468</v>
      </c>
      <c r="F108" s="65">
        <v>45446</v>
      </c>
      <c r="G108" s="24" t="s">
        <v>1</v>
      </c>
      <c r="H108" t="s">
        <v>1128</v>
      </c>
    </row>
    <row r="109" spans="3:8">
      <c r="C109">
        <f t="shared" si="1"/>
        <v>107</v>
      </c>
      <c r="D109" t="s">
        <v>472</v>
      </c>
      <c r="E109" t="s">
        <v>473</v>
      </c>
      <c r="F109" s="65">
        <v>45446</v>
      </c>
      <c r="G109" s="24" t="s">
        <v>1</v>
      </c>
      <c r="H109" t="s">
        <v>1128</v>
      </c>
    </row>
    <row r="110" spans="3:8">
      <c r="C110">
        <f t="shared" si="1"/>
        <v>108</v>
      </c>
      <c r="D110" t="s">
        <v>479</v>
      </c>
      <c r="E110" t="s">
        <v>480</v>
      </c>
      <c r="F110" s="65">
        <v>45440</v>
      </c>
      <c r="G110" s="24" t="s">
        <v>1</v>
      </c>
      <c r="H110" t="s">
        <v>1917</v>
      </c>
    </row>
    <row r="111" spans="3:8">
      <c r="C111">
        <f t="shared" si="1"/>
        <v>109</v>
      </c>
      <c r="D111" t="s">
        <v>96</v>
      </c>
      <c r="E111" t="s">
        <v>483</v>
      </c>
      <c r="F111" s="65">
        <v>45441</v>
      </c>
      <c r="G111" s="24" t="s">
        <v>1</v>
      </c>
      <c r="H111" t="s">
        <v>1128</v>
      </c>
    </row>
    <row r="112" spans="3:8">
      <c r="C112">
        <f t="shared" si="1"/>
        <v>110</v>
      </c>
      <c r="D112" t="s">
        <v>329</v>
      </c>
      <c r="E112" t="s">
        <v>486</v>
      </c>
      <c r="F112" s="65">
        <v>45441</v>
      </c>
      <c r="G112" s="24" t="s">
        <v>1</v>
      </c>
      <c r="H112" t="s">
        <v>204</v>
      </c>
    </row>
    <row r="113" spans="3:8">
      <c r="C113">
        <f t="shared" si="1"/>
        <v>111</v>
      </c>
      <c r="D113" t="s">
        <v>444</v>
      </c>
      <c r="E113" t="s">
        <v>491</v>
      </c>
      <c r="F113" s="65">
        <v>45447</v>
      </c>
      <c r="G113" s="24" t="s">
        <v>1</v>
      </c>
      <c r="H113" t="s">
        <v>320</v>
      </c>
    </row>
    <row r="114" spans="3:8">
      <c r="C114">
        <f t="shared" si="1"/>
        <v>112</v>
      </c>
      <c r="D114" t="s">
        <v>495</v>
      </c>
      <c r="E114" t="s">
        <v>496</v>
      </c>
      <c r="F114" s="65">
        <v>45447</v>
      </c>
      <c r="G114" s="24" t="s">
        <v>1</v>
      </c>
      <c r="H114" t="s">
        <v>1919</v>
      </c>
    </row>
    <row r="115" spans="3:8">
      <c r="C115">
        <f t="shared" si="1"/>
        <v>113</v>
      </c>
      <c r="D115" t="s">
        <v>499</v>
      </c>
      <c r="E115" t="s">
        <v>500</v>
      </c>
      <c r="F115" s="65">
        <v>45449</v>
      </c>
      <c r="G115" s="24" t="s">
        <v>1</v>
      </c>
      <c r="H115" t="s">
        <v>320</v>
      </c>
    </row>
    <row r="116" spans="3:8">
      <c r="C116">
        <f t="shared" si="1"/>
        <v>114</v>
      </c>
      <c r="D116" t="s">
        <v>503</v>
      </c>
      <c r="F116" s="65">
        <v>45449</v>
      </c>
      <c r="G116" s="24" t="s">
        <v>1</v>
      </c>
      <c r="H116" t="s">
        <v>1128</v>
      </c>
    </row>
    <row r="117" spans="3:8">
      <c r="C117">
        <f t="shared" si="1"/>
        <v>115</v>
      </c>
      <c r="D117" t="s">
        <v>506</v>
      </c>
      <c r="E117" t="s">
        <v>507</v>
      </c>
      <c r="F117" s="65">
        <v>45450</v>
      </c>
      <c r="G117" s="24" t="s">
        <v>1</v>
      </c>
      <c r="H117" t="s">
        <v>1919</v>
      </c>
    </row>
    <row r="118" spans="3:8">
      <c r="C118">
        <f t="shared" si="1"/>
        <v>116</v>
      </c>
      <c r="D118" t="s">
        <v>270</v>
      </c>
      <c r="E118" t="s">
        <v>511</v>
      </c>
      <c r="F118" s="65">
        <v>45453</v>
      </c>
      <c r="G118" s="24" t="s">
        <v>2</v>
      </c>
      <c r="H118" t="s">
        <v>86</v>
      </c>
    </row>
    <row r="119" spans="3:8">
      <c r="C119">
        <f t="shared" si="1"/>
        <v>117</v>
      </c>
      <c r="D119" t="s">
        <v>514</v>
      </c>
      <c r="E119" t="s">
        <v>234</v>
      </c>
      <c r="F119" s="65">
        <v>45453</v>
      </c>
      <c r="G119" s="24" t="s">
        <v>1</v>
      </c>
      <c r="H119" t="s">
        <v>1919</v>
      </c>
    </row>
    <row r="120" spans="3:8">
      <c r="C120">
        <f t="shared" si="1"/>
        <v>118</v>
      </c>
      <c r="D120" t="s">
        <v>198</v>
      </c>
      <c r="E120" t="s">
        <v>517</v>
      </c>
      <c r="F120" s="65">
        <v>45457</v>
      </c>
      <c r="G120" s="24" t="s">
        <v>1</v>
      </c>
      <c r="H120" t="s">
        <v>304</v>
      </c>
    </row>
    <row r="121" spans="3:8">
      <c r="C121">
        <f t="shared" si="1"/>
        <v>119</v>
      </c>
      <c r="D121" t="s">
        <v>463</v>
      </c>
      <c r="E121" t="s">
        <v>464</v>
      </c>
      <c r="F121" s="65">
        <v>45453</v>
      </c>
      <c r="G121" s="24" t="s">
        <v>1</v>
      </c>
      <c r="H121" t="s">
        <v>1128</v>
      </c>
    </row>
    <row r="122" spans="3:8">
      <c r="C122">
        <f t="shared" si="1"/>
        <v>120</v>
      </c>
      <c r="D122" t="s">
        <v>524</v>
      </c>
      <c r="E122" t="s">
        <v>525</v>
      </c>
      <c r="F122" s="65">
        <v>45457</v>
      </c>
      <c r="G122" s="24" t="s">
        <v>1</v>
      </c>
      <c r="H122" t="s">
        <v>320</v>
      </c>
    </row>
    <row r="123" spans="3:8">
      <c r="C123">
        <f t="shared" si="1"/>
        <v>121</v>
      </c>
      <c r="D123" t="s">
        <v>444</v>
      </c>
      <c r="E123" t="s">
        <v>528</v>
      </c>
      <c r="F123" s="65">
        <v>45460</v>
      </c>
      <c r="G123" s="24" t="s">
        <v>1</v>
      </c>
      <c r="H123" t="s">
        <v>1918</v>
      </c>
    </row>
    <row r="124" spans="3:8">
      <c r="C124">
        <f t="shared" si="1"/>
        <v>122</v>
      </c>
      <c r="D124" t="s">
        <v>532</v>
      </c>
      <c r="E124" t="s">
        <v>533</v>
      </c>
      <c r="F124" s="65">
        <v>45460</v>
      </c>
      <c r="G124" s="24" t="s">
        <v>3</v>
      </c>
      <c r="H124" t="s">
        <v>1918</v>
      </c>
    </row>
    <row r="125" spans="3:8">
      <c r="C125">
        <f t="shared" si="1"/>
        <v>123</v>
      </c>
      <c r="D125" t="s">
        <v>96</v>
      </c>
      <c r="E125" t="s">
        <v>536</v>
      </c>
      <c r="F125" s="65">
        <v>45464</v>
      </c>
      <c r="G125" s="24" t="s">
        <v>1</v>
      </c>
      <c r="H125" t="s">
        <v>1918</v>
      </c>
    </row>
    <row r="126" spans="3:8">
      <c r="C126">
        <f t="shared" si="1"/>
        <v>124</v>
      </c>
      <c r="D126" t="s">
        <v>96</v>
      </c>
      <c r="E126" t="s">
        <v>539</v>
      </c>
      <c r="F126" s="65">
        <v>45461</v>
      </c>
      <c r="G126" s="24" t="s">
        <v>1</v>
      </c>
      <c r="H126" t="s">
        <v>304</v>
      </c>
    </row>
    <row r="127" spans="3:8">
      <c r="C127">
        <f t="shared" si="1"/>
        <v>125</v>
      </c>
      <c r="D127" t="s">
        <v>198</v>
      </c>
      <c r="E127" t="s">
        <v>543</v>
      </c>
      <c r="F127" s="65">
        <v>45467</v>
      </c>
      <c r="G127" s="24" t="s">
        <v>1</v>
      </c>
      <c r="H127" t="s">
        <v>320</v>
      </c>
    </row>
    <row r="128" spans="3:8">
      <c r="C128">
        <f t="shared" si="1"/>
        <v>126</v>
      </c>
      <c r="D128" t="s">
        <v>198</v>
      </c>
      <c r="E128" t="s">
        <v>547</v>
      </c>
      <c r="F128" s="65">
        <v>45461</v>
      </c>
      <c r="G128" s="24" t="s">
        <v>1</v>
      </c>
      <c r="H128" t="s">
        <v>320</v>
      </c>
    </row>
    <row r="129" spans="3:22">
      <c r="C129">
        <f t="shared" si="1"/>
        <v>127</v>
      </c>
      <c r="D129" t="s">
        <v>552</v>
      </c>
      <c r="F129" s="65">
        <v>45461</v>
      </c>
      <c r="G129" s="24" t="s">
        <v>3</v>
      </c>
      <c r="H129" t="s">
        <v>1128</v>
      </c>
    </row>
    <row r="130" spans="3:22">
      <c r="C130">
        <f t="shared" si="1"/>
        <v>128</v>
      </c>
      <c r="D130" t="s">
        <v>434</v>
      </c>
      <c r="E130" t="s">
        <v>555</v>
      </c>
      <c r="F130" s="65">
        <v>45461</v>
      </c>
      <c r="G130" s="24" t="s">
        <v>1</v>
      </c>
      <c r="H130" t="s">
        <v>304</v>
      </c>
      <c r="L130" t="s">
        <v>1770</v>
      </c>
      <c r="M130" t="s">
        <v>1770</v>
      </c>
      <c r="N130" t="s">
        <v>1770</v>
      </c>
      <c r="O130" t="s">
        <v>1770</v>
      </c>
      <c r="P130" t="s">
        <v>1770</v>
      </c>
      <c r="Q130" t="s">
        <v>1770</v>
      </c>
    </row>
    <row r="131" spans="3:22">
      <c r="C131">
        <f t="shared" si="1"/>
        <v>129</v>
      </c>
      <c r="D131" t="s">
        <v>390</v>
      </c>
      <c r="E131" t="s">
        <v>557</v>
      </c>
      <c r="F131" s="65">
        <v>45474</v>
      </c>
      <c r="G131" s="24" t="s">
        <v>2</v>
      </c>
      <c r="H131" t="s">
        <v>204</v>
      </c>
      <c r="L131">
        <v>1</v>
      </c>
      <c r="M131" t="s">
        <v>390</v>
      </c>
      <c r="N131" t="s">
        <v>557</v>
      </c>
      <c r="O131" s="65">
        <v>45474</v>
      </c>
      <c r="P131" s="24" t="s">
        <v>2</v>
      </c>
      <c r="Q131" t="s">
        <v>204</v>
      </c>
      <c r="U131" t="s">
        <v>1917</v>
      </c>
      <c r="V131" s="24">
        <f>COUNTIF($Q$131:Q264,U131)</f>
        <v>9</v>
      </c>
    </row>
    <row r="132" spans="3:22">
      <c r="C132">
        <f t="shared" si="1"/>
        <v>130</v>
      </c>
      <c r="D132" t="s">
        <v>96</v>
      </c>
      <c r="E132" t="s">
        <v>560</v>
      </c>
      <c r="F132" s="65">
        <v>45474</v>
      </c>
      <c r="G132" s="24" t="s">
        <v>1</v>
      </c>
      <c r="H132" t="s">
        <v>96</v>
      </c>
      <c r="L132">
        <f t="shared" ref="L132:L194" si="2">+L131+1</f>
        <v>2</v>
      </c>
      <c r="M132" t="s">
        <v>96</v>
      </c>
      <c r="N132" t="s">
        <v>560</v>
      </c>
      <c r="O132" s="65">
        <v>45474</v>
      </c>
      <c r="P132" s="24" t="s">
        <v>1</v>
      </c>
      <c r="Q132" t="s">
        <v>96</v>
      </c>
      <c r="U132" t="s">
        <v>1128</v>
      </c>
      <c r="V132" s="24">
        <f>COUNTIF($Q$131:Q265,U132)</f>
        <v>25</v>
      </c>
    </row>
    <row r="133" spans="3:22">
      <c r="C133">
        <f t="shared" ref="C133:C196" si="3">+C132+1</f>
        <v>131</v>
      </c>
      <c r="D133" t="s">
        <v>198</v>
      </c>
      <c r="E133" t="s">
        <v>564</v>
      </c>
      <c r="F133" s="65">
        <v>45474</v>
      </c>
      <c r="G133" s="24" t="s">
        <v>1</v>
      </c>
      <c r="H133" t="s">
        <v>320</v>
      </c>
      <c r="L133">
        <f t="shared" si="2"/>
        <v>3</v>
      </c>
      <c r="M133" t="s">
        <v>198</v>
      </c>
      <c r="N133" t="s">
        <v>564</v>
      </c>
      <c r="O133" s="65">
        <v>45474</v>
      </c>
      <c r="P133" s="24" t="s">
        <v>1</v>
      </c>
      <c r="Q133" t="s">
        <v>320</v>
      </c>
      <c r="U133" t="s">
        <v>1919</v>
      </c>
      <c r="V133" s="24">
        <f>COUNTIF($Q$131:Q266,U133)</f>
        <v>9</v>
      </c>
    </row>
    <row r="134" spans="3:22">
      <c r="C134">
        <f t="shared" si="3"/>
        <v>132</v>
      </c>
      <c r="D134" t="s">
        <v>96</v>
      </c>
      <c r="E134" t="s">
        <v>567</v>
      </c>
      <c r="F134" s="65">
        <v>45474</v>
      </c>
      <c r="G134" s="24" t="s">
        <v>1</v>
      </c>
      <c r="H134" t="s">
        <v>96</v>
      </c>
      <c r="L134">
        <f t="shared" si="2"/>
        <v>4</v>
      </c>
      <c r="M134" t="s">
        <v>96</v>
      </c>
      <c r="N134" t="s">
        <v>567</v>
      </c>
      <c r="O134" s="65">
        <v>45474</v>
      </c>
      <c r="P134" s="24" t="s">
        <v>1</v>
      </c>
      <c r="Q134" t="s">
        <v>96</v>
      </c>
      <c r="U134" t="s">
        <v>304</v>
      </c>
      <c r="V134" s="24">
        <f>COUNTIF($Q$131:Q267,U134)</f>
        <v>8</v>
      </c>
    </row>
    <row r="135" spans="3:22">
      <c r="C135">
        <f t="shared" si="3"/>
        <v>133</v>
      </c>
      <c r="D135" t="s">
        <v>96</v>
      </c>
      <c r="E135" t="s">
        <v>572</v>
      </c>
      <c r="F135" s="65">
        <v>45478</v>
      </c>
      <c r="G135" s="24" t="s">
        <v>1</v>
      </c>
      <c r="H135" t="s">
        <v>1917</v>
      </c>
      <c r="L135">
        <f t="shared" si="2"/>
        <v>5</v>
      </c>
      <c r="M135" t="s">
        <v>96</v>
      </c>
      <c r="N135" t="s">
        <v>572</v>
      </c>
      <c r="O135" s="65">
        <v>45478</v>
      </c>
      <c r="P135" s="24" t="s">
        <v>1</v>
      </c>
      <c r="Q135" t="s">
        <v>1917</v>
      </c>
      <c r="U135" t="s">
        <v>320</v>
      </c>
      <c r="V135" s="24">
        <f>COUNTIF($Q$131:Q268,U135)</f>
        <v>20</v>
      </c>
    </row>
    <row r="136" spans="3:22">
      <c r="C136">
        <f t="shared" si="3"/>
        <v>134</v>
      </c>
      <c r="D136" t="s">
        <v>578</v>
      </c>
      <c r="E136" t="s">
        <v>579</v>
      </c>
      <c r="F136" s="65">
        <v>45523</v>
      </c>
      <c r="G136" s="24" t="s">
        <v>1</v>
      </c>
      <c r="H136" t="s">
        <v>320</v>
      </c>
      <c r="L136">
        <f t="shared" si="2"/>
        <v>6</v>
      </c>
      <c r="M136" t="s">
        <v>578</v>
      </c>
      <c r="N136" t="s">
        <v>579</v>
      </c>
      <c r="O136" s="65">
        <v>45523</v>
      </c>
      <c r="P136" s="24" t="s">
        <v>1</v>
      </c>
      <c r="Q136" t="s">
        <v>320</v>
      </c>
      <c r="U136" t="s">
        <v>86</v>
      </c>
      <c r="V136" s="24">
        <f>COUNTIF($Q$131:Q269,U136)</f>
        <v>10</v>
      </c>
    </row>
    <row r="137" spans="3:22">
      <c r="C137">
        <f t="shared" si="3"/>
        <v>135</v>
      </c>
      <c r="D137" t="s">
        <v>304</v>
      </c>
      <c r="E137" t="s">
        <v>584</v>
      </c>
      <c r="F137" s="65">
        <v>45523</v>
      </c>
      <c r="G137" s="24" t="s">
        <v>1</v>
      </c>
      <c r="H137" t="s">
        <v>304</v>
      </c>
      <c r="L137">
        <f t="shared" si="2"/>
        <v>7</v>
      </c>
      <c r="M137" t="s">
        <v>304</v>
      </c>
      <c r="N137" t="s">
        <v>584</v>
      </c>
      <c r="O137" s="65">
        <v>45523</v>
      </c>
      <c r="P137" s="24" t="s">
        <v>1</v>
      </c>
      <c r="Q137" t="s">
        <v>304</v>
      </c>
      <c r="U137" t="s">
        <v>204</v>
      </c>
      <c r="V137" s="24">
        <f>COUNTIF($Q$131:Q270,U137)</f>
        <v>8</v>
      </c>
    </row>
    <row r="138" spans="3:22">
      <c r="C138">
        <f t="shared" si="3"/>
        <v>136</v>
      </c>
      <c r="D138" t="s">
        <v>96</v>
      </c>
      <c r="E138" t="s">
        <v>459</v>
      </c>
      <c r="F138" s="65">
        <v>45498</v>
      </c>
      <c r="G138" s="24" t="s">
        <v>2</v>
      </c>
      <c r="H138" t="s">
        <v>1917</v>
      </c>
      <c r="L138">
        <f t="shared" si="2"/>
        <v>8</v>
      </c>
      <c r="M138" t="s">
        <v>96</v>
      </c>
      <c r="N138" t="s">
        <v>459</v>
      </c>
      <c r="O138" s="65">
        <v>45498</v>
      </c>
      <c r="P138" s="24" t="s">
        <v>2</v>
      </c>
      <c r="Q138" t="s">
        <v>1917</v>
      </c>
      <c r="U138" t="s">
        <v>96</v>
      </c>
      <c r="V138" s="24">
        <f>COUNTIF($Q$131:Q271,U138)</f>
        <v>31</v>
      </c>
    </row>
    <row r="139" spans="3:22">
      <c r="C139">
        <f t="shared" si="3"/>
        <v>137</v>
      </c>
      <c r="E139" t="s">
        <v>589</v>
      </c>
      <c r="F139" s="65">
        <v>45503</v>
      </c>
      <c r="G139" s="24" t="s">
        <v>3</v>
      </c>
      <c r="H139" t="s">
        <v>1918</v>
      </c>
      <c r="L139">
        <f t="shared" si="2"/>
        <v>9</v>
      </c>
      <c r="N139" t="s">
        <v>589</v>
      </c>
      <c r="O139" s="65">
        <v>45503</v>
      </c>
      <c r="P139" s="24" t="s">
        <v>3</v>
      </c>
      <c r="Q139" t="s">
        <v>1918</v>
      </c>
      <c r="U139" t="s">
        <v>1918</v>
      </c>
      <c r="V139" s="24">
        <f>COUNTIF($Q$131:Q272,U139)</f>
        <v>14</v>
      </c>
    </row>
    <row r="140" spans="3:22">
      <c r="C140">
        <f t="shared" si="3"/>
        <v>138</v>
      </c>
      <c r="D140" t="s">
        <v>592</v>
      </c>
      <c r="E140" t="s">
        <v>593</v>
      </c>
      <c r="F140" s="65">
        <v>45503</v>
      </c>
      <c r="G140" s="24" t="s">
        <v>1</v>
      </c>
      <c r="H140" t="s">
        <v>1128</v>
      </c>
      <c r="L140">
        <f t="shared" si="2"/>
        <v>10</v>
      </c>
      <c r="M140" t="s">
        <v>592</v>
      </c>
      <c r="N140" t="s">
        <v>593</v>
      </c>
      <c r="O140" s="65">
        <v>45503</v>
      </c>
      <c r="P140" s="24" t="s">
        <v>1</v>
      </c>
      <c r="Q140" t="s">
        <v>1128</v>
      </c>
    </row>
    <row r="141" spans="3:22">
      <c r="C141">
        <f t="shared" si="3"/>
        <v>139</v>
      </c>
      <c r="D141" t="s">
        <v>297</v>
      </c>
      <c r="E141" t="s">
        <v>597</v>
      </c>
      <c r="F141" s="65">
        <v>45503</v>
      </c>
      <c r="G141" s="24" t="s">
        <v>1</v>
      </c>
      <c r="H141" t="s">
        <v>1128</v>
      </c>
      <c r="L141">
        <f t="shared" si="2"/>
        <v>11</v>
      </c>
      <c r="M141" t="s">
        <v>297</v>
      </c>
      <c r="N141" t="s">
        <v>597</v>
      </c>
      <c r="O141" s="65">
        <v>45503</v>
      </c>
      <c r="P141" s="24" t="s">
        <v>1</v>
      </c>
      <c r="Q141" t="s">
        <v>1128</v>
      </c>
    </row>
    <row r="142" spans="3:22">
      <c r="C142">
        <f t="shared" si="3"/>
        <v>140</v>
      </c>
      <c r="D142" t="s">
        <v>329</v>
      </c>
      <c r="E142" t="s">
        <v>602</v>
      </c>
      <c r="F142" s="65">
        <v>45503</v>
      </c>
      <c r="G142" s="24" t="s">
        <v>1</v>
      </c>
      <c r="H142" t="s">
        <v>1917</v>
      </c>
      <c r="L142">
        <f t="shared" si="2"/>
        <v>12</v>
      </c>
      <c r="M142" t="s">
        <v>329</v>
      </c>
      <c r="N142" t="s">
        <v>602</v>
      </c>
      <c r="O142" s="65">
        <v>45503</v>
      </c>
      <c r="P142" s="24" t="s">
        <v>1</v>
      </c>
      <c r="Q142" t="s">
        <v>1917</v>
      </c>
    </row>
    <row r="143" spans="3:22">
      <c r="C143">
        <f t="shared" si="3"/>
        <v>141</v>
      </c>
      <c r="D143" t="s">
        <v>604</v>
      </c>
      <c r="F143" s="65">
        <v>45503</v>
      </c>
      <c r="G143" s="24" t="s">
        <v>1</v>
      </c>
      <c r="H143" t="s">
        <v>1128</v>
      </c>
      <c r="L143">
        <f t="shared" si="2"/>
        <v>13</v>
      </c>
      <c r="M143" t="s">
        <v>604</v>
      </c>
      <c r="O143" s="65">
        <v>45503</v>
      </c>
      <c r="P143" s="24" t="s">
        <v>1</v>
      </c>
      <c r="Q143" t="s">
        <v>1128</v>
      </c>
    </row>
    <row r="144" spans="3:22">
      <c r="C144">
        <f t="shared" si="3"/>
        <v>142</v>
      </c>
      <c r="D144" t="s">
        <v>20</v>
      </c>
      <c r="F144" s="65">
        <v>45506</v>
      </c>
      <c r="G144" s="24" t="s">
        <v>1</v>
      </c>
      <c r="H144" t="s">
        <v>304</v>
      </c>
      <c r="L144">
        <f t="shared" si="2"/>
        <v>14</v>
      </c>
      <c r="M144" t="s">
        <v>20</v>
      </c>
      <c r="O144" s="65">
        <v>45506</v>
      </c>
      <c r="P144" s="24" t="s">
        <v>1</v>
      </c>
      <c r="Q144" t="s">
        <v>304</v>
      </c>
    </row>
    <row r="145" spans="3:17">
      <c r="C145">
        <f t="shared" si="3"/>
        <v>143</v>
      </c>
      <c r="D145" t="s">
        <v>612</v>
      </c>
      <c r="E145" t="s">
        <v>613</v>
      </c>
      <c r="F145" s="65">
        <v>45503</v>
      </c>
      <c r="G145" s="24" t="s">
        <v>1</v>
      </c>
      <c r="H145" t="s">
        <v>1128</v>
      </c>
      <c r="L145">
        <f t="shared" si="2"/>
        <v>15</v>
      </c>
      <c r="M145" t="s">
        <v>612</v>
      </c>
      <c r="N145" t="s">
        <v>613</v>
      </c>
      <c r="O145" s="65">
        <v>45503</v>
      </c>
      <c r="P145" s="24" t="s">
        <v>1</v>
      </c>
      <c r="Q145" t="s">
        <v>1128</v>
      </c>
    </row>
    <row r="146" spans="3:17">
      <c r="C146">
        <f t="shared" si="3"/>
        <v>144</v>
      </c>
      <c r="D146" t="s">
        <v>96</v>
      </c>
      <c r="E146" t="s">
        <v>615</v>
      </c>
      <c r="F146" s="65">
        <v>45503</v>
      </c>
      <c r="G146" s="24" t="s">
        <v>1</v>
      </c>
      <c r="H146" t="s">
        <v>96</v>
      </c>
      <c r="L146">
        <f t="shared" si="2"/>
        <v>16</v>
      </c>
      <c r="M146" t="s">
        <v>96</v>
      </c>
      <c r="N146" t="s">
        <v>615</v>
      </c>
      <c r="O146" s="65">
        <v>45503</v>
      </c>
      <c r="P146" s="24" t="s">
        <v>1</v>
      </c>
      <c r="Q146" t="s">
        <v>96</v>
      </c>
    </row>
    <row r="147" spans="3:17">
      <c r="C147">
        <f t="shared" si="3"/>
        <v>145</v>
      </c>
      <c r="D147" t="s">
        <v>96</v>
      </c>
      <c r="E147" t="s">
        <v>618</v>
      </c>
      <c r="F147" s="65">
        <v>45503</v>
      </c>
      <c r="G147" s="24" t="s">
        <v>1</v>
      </c>
      <c r="H147" t="s">
        <v>96</v>
      </c>
      <c r="L147">
        <f t="shared" si="2"/>
        <v>17</v>
      </c>
      <c r="M147" t="s">
        <v>96</v>
      </c>
      <c r="N147" t="s">
        <v>618</v>
      </c>
      <c r="O147" s="65">
        <v>45503</v>
      </c>
      <c r="P147" s="24" t="s">
        <v>1</v>
      </c>
      <c r="Q147" t="s">
        <v>96</v>
      </c>
    </row>
    <row r="148" spans="3:17">
      <c r="C148">
        <f t="shared" si="3"/>
        <v>146</v>
      </c>
      <c r="D148" t="s">
        <v>198</v>
      </c>
      <c r="E148" t="s">
        <v>621</v>
      </c>
      <c r="F148" s="65">
        <v>45505</v>
      </c>
      <c r="G148" s="24" t="s">
        <v>1</v>
      </c>
      <c r="H148" t="s">
        <v>304</v>
      </c>
      <c r="L148">
        <f t="shared" si="2"/>
        <v>18</v>
      </c>
      <c r="M148" t="s">
        <v>198</v>
      </c>
      <c r="N148" t="s">
        <v>621</v>
      </c>
      <c r="O148" s="65">
        <v>45505</v>
      </c>
      <c r="P148" s="24" t="s">
        <v>1</v>
      </c>
      <c r="Q148" t="s">
        <v>304</v>
      </c>
    </row>
    <row r="149" spans="3:17">
      <c r="C149">
        <f t="shared" si="3"/>
        <v>147</v>
      </c>
      <c r="D149" t="s">
        <v>625</v>
      </c>
      <c r="E149" t="s">
        <v>626</v>
      </c>
      <c r="F149" s="65">
        <v>45503</v>
      </c>
      <c r="G149" s="24" t="s">
        <v>1</v>
      </c>
      <c r="H149" t="s">
        <v>96</v>
      </c>
      <c r="L149">
        <f t="shared" si="2"/>
        <v>19</v>
      </c>
      <c r="M149" t="s">
        <v>625</v>
      </c>
      <c r="N149" t="s">
        <v>626</v>
      </c>
      <c r="O149" s="65">
        <v>45503</v>
      </c>
      <c r="P149" s="24" t="s">
        <v>1</v>
      </c>
      <c r="Q149" t="s">
        <v>96</v>
      </c>
    </row>
    <row r="150" spans="3:17">
      <c r="C150">
        <f t="shared" si="3"/>
        <v>148</v>
      </c>
      <c r="D150" t="s">
        <v>629</v>
      </c>
      <c r="E150" t="s">
        <v>630</v>
      </c>
      <c r="F150" s="65">
        <v>45512</v>
      </c>
      <c r="G150" s="24" t="s">
        <v>1</v>
      </c>
      <c r="H150" t="s">
        <v>320</v>
      </c>
      <c r="L150">
        <f t="shared" si="2"/>
        <v>20</v>
      </c>
      <c r="M150" t="s">
        <v>629</v>
      </c>
      <c r="N150" t="s">
        <v>630</v>
      </c>
      <c r="O150" s="65">
        <v>45512</v>
      </c>
      <c r="P150" s="24" t="s">
        <v>1</v>
      </c>
      <c r="Q150" t="s">
        <v>320</v>
      </c>
    </row>
    <row r="151" spans="3:17">
      <c r="C151">
        <f t="shared" si="3"/>
        <v>149</v>
      </c>
      <c r="D151" t="s">
        <v>633</v>
      </c>
      <c r="E151" t="s">
        <v>634</v>
      </c>
      <c r="F151" s="65">
        <v>45512</v>
      </c>
      <c r="G151" s="24" t="s">
        <v>1</v>
      </c>
      <c r="H151" t="s">
        <v>1919</v>
      </c>
      <c r="L151">
        <f t="shared" si="2"/>
        <v>21</v>
      </c>
      <c r="M151" t="s">
        <v>633</v>
      </c>
      <c r="N151" t="s">
        <v>634</v>
      </c>
      <c r="O151" s="65">
        <v>45512</v>
      </c>
      <c r="P151" s="24" t="s">
        <v>1</v>
      </c>
      <c r="Q151" t="s">
        <v>1919</v>
      </c>
    </row>
    <row r="152" spans="3:17">
      <c r="C152">
        <f t="shared" si="3"/>
        <v>150</v>
      </c>
      <c r="D152" t="s">
        <v>633</v>
      </c>
      <c r="E152" t="s">
        <v>638</v>
      </c>
      <c r="F152" s="65">
        <v>45512</v>
      </c>
      <c r="G152" s="24" t="s">
        <v>2</v>
      </c>
      <c r="H152" t="s">
        <v>1919</v>
      </c>
      <c r="L152">
        <f t="shared" si="2"/>
        <v>22</v>
      </c>
      <c r="M152" t="s">
        <v>633</v>
      </c>
      <c r="N152" t="s">
        <v>638</v>
      </c>
      <c r="O152" s="65">
        <v>45512</v>
      </c>
      <c r="P152" s="24" t="s">
        <v>2</v>
      </c>
      <c r="Q152" t="s">
        <v>1919</v>
      </c>
    </row>
    <row r="153" spans="3:17">
      <c r="C153">
        <f t="shared" si="3"/>
        <v>151</v>
      </c>
      <c r="D153" t="s">
        <v>640</v>
      </c>
      <c r="E153" t="s">
        <v>641</v>
      </c>
      <c r="F153" s="65">
        <v>45516</v>
      </c>
      <c r="G153" s="24" t="s">
        <v>1</v>
      </c>
      <c r="H153" t="s">
        <v>1918</v>
      </c>
      <c r="L153">
        <f t="shared" si="2"/>
        <v>23</v>
      </c>
      <c r="M153" t="s">
        <v>640</v>
      </c>
      <c r="N153" t="s">
        <v>641</v>
      </c>
      <c r="O153" s="65">
        <v>45516</v>
      </c>
      <c r="P153" s="24" t="s">
        <v>1</v>
      </c>
      <c r="Q153" t="s">
        <v>1918</v>
      </c>
    </row>
    <row r="154" spans="3:17">
      <c r="C154">
        <f t="shared" si="3"/>
        <v>152</v>
      </c>
      <c r="D154" t="s">
        <v>644</v>
      </c>
      <c r="E154" t="s">
        <v>645</v>
      </c>
      <c r="F154" s="65">
        <v>45520</v>
      </c>
      <c r="G154" s="24" t="s">
        <v>1</v>
      </c>
      <c r="H154" t="s">
        <v>1917</v>
      </c>
      <c r="L154">
        <f t="shared" si="2"/>
        <v>24</v>
      </c>
      <c r="M154" t="s">
        <v>644</v>
      </c>
      <c r="N154" t="s">
        <v>645</v>
      </c>
      <c r="O154" s="65">
        <v>45520</v>
      </c>
      <c r="P154" s="24" t="s">
        <v>1</v>
      </c>
      <c r="Q154" t="s">
        <v>1917</v>
      </c>
    </row>
    <row r="155" spans="3:17">
      <c r="C155">
        <f t="shared" si="3"/>
        <v>153</v>
      </c>
      <c r="D155" t="s">
        <v>320</v>
      </c>
      <c r="E155" t="s">
        <v>649</v>
      </c>
      <c r="F155" s="65">
        <v>45520</v>
      </c>
      <c r="G155" s="24" t="s">
        <v>1</v>
      </c>
      <c r="H155" t="s">
        <v>320</v>
      </c>
      <c r="L155">
        <f t="shared" si="2"/>
        <v>25</v>
      </c>
      <c r="M155" t="s">
        <v>320</v>
      </c>
      <c r="N155" t="s">
        <v>649</v>
      </c>
      <c r="O155" s="65">
        <v>45520</v>
      </c>
      <c r="P155" s="24" t="s">
        <v>1</v>
      </c>
      <c r="Q155" t="s">
        <v>320</v>
      </c>
    </row>
    <row r="156" spans="3:17">
      <c r="C156">
        <f t="shared" si="3"/>
        <v>154</v>
      </c>
      <c r="D156" t="s">
        <v>633</v>
      </c>
      <c r="E156" t="s">
        <v>633</v>
      </c>
      <c r="F156" s="65">
        <v>45520</v>
      </c>
      <c r="G156" s="24" t="s">
        <v>1</v>
      </c>
      <c r="H156" t="s">
        <v>1919</v>
      </c>
      <c r="L156">
        <f t="shared" si="2"/>
        <v>26</v>
      </c>
      <c r="M156" t="s">
        <v>633</v>
      </c>
      <c r="N156" t="s">
        <v>633</v>
      </c>
      <c r="O156" s="65">
        <v>45520</v>
      </c>
      <c r="P156" s="24" t="s">
        <v>1</v>
      </c>
      <c r="Q156" t="s">
        <v>1919</v>
      </c>
    </row>
    <row r="157" spans="3:17">
      <c r="C157">
        <f t="shared" si="3"/>
        <v>155</v>
      </c>
      <c r="D157" t="s">
        <v>657</v>
      </c>
      <c r="E157" t="s">
        <v>658</v>
      </c>
      <c r="F157" s="65">
        <v>45520</v>
      </c>
      <c r="G157" s="24" t="s">
        <v>1</v>
      </c>
      <c r="H157" t="s">
        <v>204</v>
      </c>
      <c r="L157">
        <f t="shared" si="2"/>
        <v>27</v>
      </c>
      <c r="M157" t="s">
        <v>657</v>
      </c>
      <c r="N157" t="s">
        <v>658</v>
      </c>
      <c r="O157" s="65">
        <v>45520</v>
      </c>
      <c r="P157" s="24" t="s">
        <v>1</v>
      </c>
      <c r="Q157" t="s">
        <v>204</v>
      </c>
    </row>
    <row r="158" spans="3:17">
      <c r="C158">
        <f t="shared" si="3"/>
        <v>156</v>
      </c>
      <c r="D158" t="s">
        <v>660</v>
      </c>
      <c r="E158" t="s">
        <v>661</v>
      </c>
      <c r="F158" s="65">
        <v>45520</v>
      </c>
      <c r="G158" s="24" t="s">
        <v>1</v>
      </c>
      <c r="H158" t="s">
        <v>204</v>
      </c>
      <c r="L158">
        <f t="shared" si="2"/>
        <v>28</v>
      </c>
      <c r="M158" t="s">
        <v>660</v>
      </c>
      <c r="N158" t="s">
        <v>661</v>
      </c>
      <c r="O158" s="65">
        <v>45520</v>
      </c>
      <c r="P158" s="24" t="s">
        <v>1</v>
      </c>
      <c r="Q158" t="s">
        <v>204</v>
      </c>
    </row>
    <row r="159" spans="3:17">
      <c r="C159">
        <f t="shared" si="3"/>
        <v>157</v>
      </c>
      <c r="D159" t="s">
        <v>665</v>
      </c>
      <c r="E159" t="s">
        <v>198</v>
      </c>
      <c r="F159" s="65">
        <v>45527</v>
      </c>
      <c r="G159" s="24" t="s">
        <v>1</v>
      </c>
      <c r="H159" t="s">
        <v>320</v>
      </c>
      <c r="L159">
        <f t="shared" si="2"/>
        <v>29</v>
      </c>
      <c r="M159" t="s">
        <v>665</v>
      </c>
      <c r="N159" t="s">
        <v>198</v>
      </c>
      <c r="O159" s="65">
        <v>45527</v>
      </c>
      <c r="P159" s="24" t="s">
        <v>1</v>
      </c>
      <c r="Q159" t="s">
        <v>320</v>
      </c>
    </row>
    <row r="160" spans="3:17">
      <c r="C160">
        <f t="shared" si="3"/>
        <v>158</v>
      </c>
      <c r="D160" t="s">
        <v>668</v>
      </c>
      <c r="F160" s="65">
        <v>45525</v>
      </c>
      <c r="G160" s="24" t="s">
        <v>1</v>
      </c>
      <c r="H160" t="s">
        <v>1918</v>
      </c>
      <c r="L160">
        <f t="shared" si="2"/>
        <v>30</v>
      </c>
      <c r="M160" t="s">
        <v>668</v>
      </c>
      <c r="O160" s="65">
        <v>45525</v>
      </c>
      <c r="P160" s="24" t="s">
        <v>1</v>
      </c>
      <c r="Q160" t="s">
        <v>1918</v>
      </c>
    </row>
    <row r="161" spans="3:17">
      <c r="C161">
        <f t="shared" si="3"/>
        <v>159</v>
      </c>
      <c r="D161" t="s">
        <v>672</v>
      </c>
      <c r="E161" t="s">
        <v>673</v>
      </c>
      <c r="F161" s="65">
        <v>45527</v>
      </c>
      <c r="G161" s="24" t="s">
        <v>2</v>
      </c>
      <c r="H161" t="s">
        <v>204</v>
      </c>
      <c r="L161">
        <f t="shared" si="2"/>
        <v>31</v>
      </c>
      <c r="M161" t="s">
        <v>672</v>
      </c>
      <c r="N161" t="s">
        <v>673</v>
      </c>
      <c r="O161" s="65">
        <v>45527</v>
      </c>
      <c r="P161" s="24" t="s">
        <v>2</v>
      </c>
      <c r="Q161" t="s">
        <v>204</v>
      </c>
    </row>
    <row r="162" spans="3:17">
      <c r="C162">
        <f t="shared" si="3"/>
        <v>160</v>
      </c>
      <c r="D162" t="s">
        <v>677</v>
      </c>
      <c r="F162" s="65">
        <v>45527</v>
      </c>
      <c r="G162" s="24" t="s">
        <v>1</v>
      </c>
      <c r="H162" t="s">
        <v>204</v>
      </c>
      <c r="L162">
        <f t="shared" si="2"/>
        <v>32</v>
      </c>
      <c r="M162" t="s">
        <v>677</v>
      </c>
      <c r="O162" s="65">
        <v>45527</v>
      </c>
      <c r="P162" s="24" t="s">
        <v>1</v>
      </c>
      <c r="Q162" t="s">
        <v>204</v>
      </c>
    </row>
    <row r="163" spans="3:17">
      <c r="C163">
        <f t="shared" si="3"/>
        <v>161</v>
      </c>
      <c r="D163" t="s">
        <v>681</v>
      </c>
      <c r="E163" t="s">
        <v>682</v>
      </c>
      <c r="F163" s="65">
        <v>45527</v>
      </c>
      <c r="G163" s="24" t="s">
        <v>1</v>
      </c>
      <c r="H163" t="s">
        <v>320</v>
      </c>
      <c r="L163">
        <f t="shared" si="2"/>
        <v>33</v>
      </c>
      <c r="M163" t="s">
        <v>681</v>
      </c>
      <c r="N163" t="s">
        <v>682</v>
      </c>
      <c r="O163" s="65">
        <v>45527</v>
      </c>
      <c r="P163" s="24" t="s">
        <v>1</v>
      </c>
      <c r="Q163" t="s">
        <v>320</v>
      </c>
    </row>
    <row r="164" spans="3:17">
      <c r="C164">
        <f t="shared" si="3"/>
        <v>162</v>
      </c>
      <c r="D164" t="s">
        <v>685</v>
      </c>
      <c r="F164" s="65">
        <v>45524</v>
      </c>
      <c r="G164" s="24" t="s">
        <v>1</v>
      </c>
      <c r="H164" t="s">
        <v>204</v>
      </c>
      <c r="L164">
        <f t="shared" si="2"/>
        <v>34</v>
      </c>
      <c r="M164" t="s">
        <v>685</v>
      </c>
      <c r="O164" s="65">
        <v>45524</v>
      </c>
      <c r="P164" s="24" t="s">
        <v>1</v>
      </c>
      <c r="Q164" t="s">
        <v>204</v>
      </c>
    </row>
    <row r="165" spans="3:17">
      <c r="C165">
        <f t="shared" si="3"/>
        <v>163</v>
      </c>
      <c r="D165" t="s">
        <v>688</v>
      </c>
      <c r="F165" s="65">
        <v>45524</v>
      </c>
      <c r="G165" s="24" t="s">
        <v>3</v>
      </c>
      <c r="H165" t="s">
        <v>1128</v>
      </c>
      <c r="L165">
        <f t="shared" si="2"/>
        <v>35</v>
      </c>
      <c r="M165" t="s">
        <v>688</v>
      </c>
      <c r="O165" s="65">
        <v>45524</v>
      </c>
      <c r="P165" s="24" t="s">
        <v>3</v>
      </c>
      <c r="Q165" t="s">
        <v>1128</v>
      </c>
    </row>
    <row r="166" spans="3:17">
      <c r="C166">
        <f t="shared" si="3"/>
        <v>164</v>
      </c>
      <c r="D166" t="s">
        <v>692</v>
      </c>
      <c r="E166" t="s">
        <v>693</v>
      </c>
      <c r="F166" s="65">
        <v>45530</v>
      </c>
      <c r="G166" s="24" t="s">
        <v>2</v>
      </c>
      <c r="H166" t="s">
        <v>1128</v>
      </c>
      <c r="L166">
        <f t="shared" si="2"/>
        <v>36</v>
      </c>
      <c r="M166" t="s">
        <v>692</v>
      </c>
      <c r="N166" t="s">
        <v>693</v>
      </c>
      <c r="O166" s="65">
        <v>45530</v>
      </c>
      <c r="P166" s="24" t="s">
        <v>2</v>
      </c>
      <c r="Q166" t="s">
        <v>1128</v>
      </c>
    </row>
    <row r="167" spans="3:17">
      <c r="C167">
        <f t="shared" si="3"/>
        <v>165</v>
      </c>
      <c r="D167" t="s">
        <v>695</v>
      </c>
      <c r="E167" t="s">
        <v>696</v>
      </c>
      <c r="F167" s="65">
        <v>45527</v>
      </c>
      <c r="G167" s="24" t="s">
        <v>3</v>
      </c>
      <c r="H167" t="s">
        <v>695</v>
      </c>
      <c r="L167">
        <f t="shared" si="2"/>
        <v>37</v>
      </c>
      <c r="M167" t="s">
        <v>695</v>
      </c>
      <c r="N167" t="s">
        <v>696</v>
      </c>
      <c r="O167" s="65">
        <v>45527</v>
      </c>
      <c r="P167" s="24" t="s">
        <v>3</v>
      </c>
      <c r="Q167" t="s">
        <v>1918</v>
      </c>
    </row>
    <row r="168" spans="3:17">
      <c r="C168">
        <f t="shared" si="3"/>
        <v>166</v>
      </c>
      <c r="D168" t="s">
        <v>699</v>
      </c>
      <c r="E168" t="s">
        <v>700</v>
      </c>
      <c r="F168" s="65">
        <v>45530</v>
      </c>
      <c r="G168" s="24" t="s">
        <v>2</v>
      </c>
      <c r="H168" t="s">
        <v>1917</v>
      </c>
      <c r="L168">
        <f t="shared" si="2"/>
        <v>38</v>
      </c>
      <c r="M168" t="s">
        <v>699</v>
      </c>
      <c r="N168" t="s">
        <v>700</v>
      </c>
      <c r="O168" s="65">
        <v>45530</v>
      </c>
      <c r="P168" s="24" t="s">
        <v>2</v>
      </c>
      <c r="Q168" t="s">
        <v>1917</v>
      </c>
    </row>
    <row r="169" spans="3:17">
      <c r="C169">
        <f t="shared" si="3"/>
        <v>167</v>
      </c>
      <c r="E169" t="s">
        <v>706</v>
      </c>
      <c r="F169" s="65">
        <v>45534</v>
      </c>
      <c r="G169" s="24" t="s">
        <v>3</v>
      </c>
      <c r="L169">
        <f t="shared" si="2"/>
        <v>39</v>
      </c>
      <c r="N169" t="s">
        <v>706</v>
      </c>
      <c r="O169" s="65">
        <v>45534</v>
      </c>
      <c r="P169" s="24" t="s">
        <v>3</v>
      </c>
      <c r="Q169" t="s">
        <v>1918</v>
      </c>
    </row>
    <row r="170" spans="3:17">
      <c r="C170">
        <f t="shared" si="3"/>
        <v>168</v>
      </c>
      <c r="D170" t="s">
        <v>709</v>
      </c>
      <c r="E170" t="s">
        <v>369</v>
      </c>
      <c r="F170" s="65">
        <v>45534</v>
      </c>
      <c r="G170" s="24" t="s">
        <v>1</v>
      </c>
      <c r="H170" t="s">
        <v>320</v>
      </c>
      <c r="L170">
        <f t="shared" si="2"/>
        <v>40</v>
      </c>
      <c r="M170" t="s">
        <v>709</v>
      </c>
      <c r="N170" t="s">
        <v>369</v>
      </c>
      <c r="O170" s="65">
        <v>45534</v>
      </c>
      <c r="P170" s="24" t="s">
        <v>1</v>
      </c>
      <c r="Q170" t="s">
        <v>320</v>
      </c>
    </row>
    <row r="171" spans="3:17">
      <c r="C171">
        <f t="shared" si="3"/>
        <v>169</v>
      </c>
      <c r="D171" t="s">
        <v>270</v>
      </c>
      <c r="F171" s="65">
        <v>45534</v>
      </c>
      <c r="G171" s="24" t="s">
        <v>1</v>
      </c>
      <c r="H171" t="s">
        <v>1128</v>
      </c>
      <c r="L171">
        <f t="shared" si="2"/>
        <v>41</v>
      </c>
      <c r="M171" t="s">
        <v>270</v>
      </c>
      <c r="O171" s="65">
        <v>45534</v>
      </c>
      <c r="P171" s="24" t="s">
        <v>1</v>
      </c>
      <c r="Q171" t="s">
        <v>1128</v>
      </c>
    </row>
    <row r="172" spans="3:17">
      <c r="C172">
        <f t="shared" si="3"/>
        <v>170</v>
      </c>
      <c r="D172" t="s">
        <v>709</v>
      </c>
      <c r="F172" s="65">
        <v>45534</v>
      </c>
      <c r="G172" s="24" t="s">
        <v>1</v>
      </c>
      <c r="H172" t="s">
        <v>320</v>
      </c>
      <c r="L172">
        <f t="shared" si="2"/>
        <v>42</v>
      </c>
      <c r="M172" t="s">
        <v>709</v>
      </c>
      <c r="O172" s="65">
        <v>45534</v>
      </c>
      <c r="P172" s="24" t="s">
        <v>1</v>
      </c>
      <c r="Q172" t="s">
        <v>320</v>
      </c>
    </row>
    <row r="173" spans="3:17">
      <c r="C173">
        <f t="shared" si="3"/>
        <v>171</v>
      </c>
      <c r="D173" t="s">
        <v>715</v>
      </c>
      <c r="E173" t="s">
        <v>716</v>
      </c>
      <c r="F173" s="65">
        <v>45537</v>
      </c>
      <c r="G173" s="24" t="s">
        <v>1</v>
      </c>
      <c r="H173" t="s">
        <v>96</v>
      </c>
      <c r="L173">
        <f t="shared" si="2"/>
        <v>43</v>
      </c>
      <c r="M173" t="s">
        <v>715</v>
      </c>
      <c r="N173" t="s">
        <v>716</v>
      </c>
      <c r="O173" s="65">
        <v>45537</v>
      </c>
      <c r="P173" s="24" t="s">
        <v>1</v>
      </c>
      <c r="Q173" t="s">
        <v>96</v>
      </c>
    </row>
    <row r="174" spans="3:17">
      <c r="C174">
        <f t="shared" si="3"/>
        <v>172</v>
      </c>
      <c r="D174" t="s">
        <v>720</v>
      </c>
      <c r="E174" t="s">
        <v>720</v>
      </c>
      <c r="F174" s="65">
        <v>45541</v>
      </c>
      <c r="G174" s="24" t="s">
        <v>2</v>
      </c>
      <c r="H174" t="s">
        <v>1918</v>
      </c>
      <c r="L174">
        <f t="shared" si="2"/>
        <v>44</v>
      </c>
      <c r="M174" t="s">
        <v>720</v>
      </c>
      <c r="N174" t="s">
        <v>720</v>
      </c>
      <c r="O174" s="65">
        <v>45541</v>
      </c>
      <c r="P174" s="24" t="s">
        <v>2</v>
      </c>
      <c r="Q174" t="s">
        <v>1918</v>
      </c>
    </row>
    <row r="175" spans="3:17">
      <c r="C175">
        <f t="shared" si="3"/>
        <v>173</v>
      </c>
      <c r="D175" t="s">
        <v>722</v>
      </c>
      <c r="E175" t="s">
        <v>723</v>
      </c>
      <c r="F175" s="65">
        <v>45541</v>
      </c>
      <c r="G175" s="24" t="s">
        <v>3</v>
      </c>
      <c r="L175">
        <f t="shared" si="2"/>
        <v>45</v>
      </c>
      <c r="M175" t="s">
        <v>722</v>
      </c>
      <c r="N175" t="s">
        <v>723</v>
      </c>
      <c r="O175" s="65">
        <v>45541</v>
      </c>
      <c r="P175" s="24" t="s">
        <v>3</v>
      </c>
      <c r="Q175" t="s">
        <v>1128</v>
      </c>
    </row>
    <row r="176" spans="3:17">
      <c r="C176">
        <f t="shared" si="3"/>
        <v>174</v>
      </c>
      <c r="D176" t="s">
        <v>726</v>
      </c>
      <c r="E176" t="s">
        <v>727</v>
      </c>
      <c r="F176" s="65">
        <v>45541</v>
      </c>
      <c r="G176" s="24" t="s">
        <v>1</v>
      </c>
      <c r="H176" t="s">
        <v>96</v>
      </c>
      <c r="L176">
        <f t="shared" si="2"/>
        <v>46</v>
      </c>
      <c r="M176" t="s">
        <v>726</v>
      </c>
      <c r="N176" t="s">
        <v>727</v>
      </c>
      <c r="O176" s="65">
        <v>45541</v>
      </c>
      <c r="P176" s="24" t="s">
        <v>1</v>
      </c>
      <c r="Q176" t="s">
        <v>96</v>
      </c>
    </row>
    <row r="177" spans="3:17">
      <c r="C177">
        <f t="shared" si="3"/>
        <v>175</v>
      </c>
      <c r="D177" t="s">
        <v>731</v>
      </c>
      <c r="E177" t="s">
        <v>732</v>
      </c>
      <c r="F177" s="65">
        <v>45541</v>
      </c>
      <c r="G177" s="24" t="s">
        <v>1</v>
      </c>
      <c r="H177" t="s">
        <v>96</v>
      </c>
      <c r="L177">
        <f t="shared" si="2"/>
        <v>47</v>
      </c>
      <c r="M177" t="s">
        <v>731</v>
      </c>
      <c r="N177" t="s">
        <v>732</v>
      </c>
      <c r="O177" s="65">
        <v>45541</v>
      </c>
      <c r="P177" s="24" t="s">
        <v>1</v>
      </c>
      <c r="Q177" t="s">
        <v>96</v>
      </c>
    </row>
    <row r="178" spans="3:17">
      <c r="C178">
        <f t="shared" si="3"/>
        <v>176</v>
      </c>
      <c r="D178" t="s">
        <v>735</v>
      </c>
      <c r="E178" t="s">
        <v>736</v>
      </c>
      <c r="F178" s="65">
        <v>45541</v>
      </c>
      <c r="G178" s="24" t="s">
        <v>1</v>
      </c>
      <c r="L178">
        <f t="shared" si="2"/>
        <v>48</v>
      </c>
      <c r="M178" t="s">
        <v>735</v>
      </c>
      <c r="N178" t="s">
        <v>736</v>
      </c>
      <c r="O178" s="65">
        <v>45541</v>
      </c>
      <c r="P178" s="24" t="s">
        <v>1</v>
      </c>
      <c r="Q178" t="s">
        <v>96</v>
      </c>
    </row>
    <row r="179" spans="3:17">
      <c r="C179">
        <f t="shared" si="3"/>
        <v>177</v>
      </c>
      <c r="D179" t="s">
        <v>741</v>
      </c>
      <c r="E179" t="s">
        <v>742</v>
      </c>
      <c r="F179" s="65">
        <v>45541</v>
      </c>
      <c r="G179" s="24" t="s">
        <v>1</v>
      </c>
      <c r="H179" t="s">
        <v>96</v>
      </c>
      <c r="L179">
        <f t="shared" si="2"/>
        <v>49</v>
      </c>
      <c r="M179" t="s">
        <v>741</v>
      </c>
      <c r="N179" t="s">
        <v>742</v>
      </c>
      <c r="O179" s="65">
        <v>45541</v>
      </c>
      <c r="P179" s="24" t="s">
        <v>1</v>
      </c>
      <c r="Q179" t="s">
        <v>96</v>
      </c>
    </row>
    <row r="180" spans="3:17">
      <c r="C180">
        <f t="shared" si="3"/>
        <v>178</v>
      </c>
      <c r="D180" t="s">
        <v>746</v>
      </c>
      <c r="E180" t="s">
        <v>747</v>
      </c>
      <c r="F180" s="65">
        <v>45544</v>
      </c>
      <c r="G180" s="24" t="s">
        <v>1</v>
      </c>
      <c r="H180" t="s">
        <v>320</v>
      </c>
      <c r="L180">
        <f t="shared" si="2"/>
        <v>50</v>
      </c>
      <c r="M180" t="s">
        <v>746</v>
      </c>
      <c r="N180" t="s">
        <v>747</v>
      </c>
      <c r="O180" s="65">
        <v>45544</v>
      </c>
      <c r="P180" s="24" t="s">
        <v>1</v>
      </c>
      <c r="Q180" t="s">
        <v>320</v>
      </c>
    </row>
    <row r="181" spans="3:17">
      <c r="C181">
        <f t="shared" si="3"/>
        <v>179</v>
      </c>
      <c r="D181" t="s">
        <v>750</v>
      </c>
      <c r="E181" t="s">
        <v>751</v>
      </c>
      <c r="F181" s="65">
        <v>45544</v>
      </c>
      <c r="G181" s="24" t="s">
        <v>3</v>
      </c>
      <c r="H181" t="s">
        <v>204</v>
      </c>
      <c r="L181">
        <f t="shared" si="2"/>
        <v>51</v>
      </c>
      <c r="M181" t="s">
        <v>750</v>
      </c>
      <c r="N181" t="s">
        <v>751</v>
      </c>
      <c r="O181" s="65">
        <v>45544</v>
      </c>
      <c r="P181" s="24" t="s">
        <v>3</v>
      </c>
      <c r="Q181" t="s">
        <v>204</v>
      </c>
    </row>
    <row r="182" spans="3:17">
      <c r="C182">
        <f t="shared" si="3"/>
        <v>180</v>
      </c>
      <c r="D182" t="s">
        <v>467</v>
      </c>
      <c r="E182" t="s">
        <v>755</v>
      </c>
      <c r="F182" s="65">
        <v>45544</v>
      </c>
      <c r="G182" s="24" t="s">
        <v>2</v>
      </c>
      <c r="H182" t="s">
        <v>96</v>
      </c>
      <c r="L182">
        <f t="shared" si="2"/>
        <v>52</v>
      </c>
      <c r="M182" t="s">
        <v>467</v>
      </c>
      <c r="N182" t="s">
        <v>755</v>
      </c>
      <c r="O182" s="65">
        <v>45544</v>
      </c>
      <c r="P182" s="24" t="s">
        <v>2</v>
      </c>
      <c r="Q182" t="s">
        <v>96</v>
      </c>
    </row>
    <row r="183" spans="3:17">
      <c r="C183">
        <f t="shared" si="3"/>
        <v>181</v>
      </c>
      <c r="D183" t="s">
        <v>757</v>
      </c>
      <c r="E183" t="s">
        <v>758</v>
      </c>
      <c r="F183" s="65">
        <v>45546</v>
      </c>
      <c r="G183" s="24" t="s">
        <v>2</v>
      </c>
      <c r="H183" t="s">
        <v>304</v>
      </c>
      <c r="L183">
        <f t="shared" si="2"/>
        <v>53</v>
      </c>
      <c r="M183" t="s">
        <v>757</v>
      </c>
      <c r="N183" t="s">
        <v>758</v>
      </c>
      <c r="O183" s="65">
        <v>45546</v>
      </c>
      <c r="P183" s="24" t="s">
        <v>2</v>
      </c>
      <c r="Q183" t="s">
        <v>304</v>
      </c>
    </row>
    <row r="184" spans="3:17">
      <c r="C184">
        <f t="shared" si="3"/>
        <v>182</v>
      </c>
      <c r="D184" t="s">
        <v>761</v>
      </c>
      <c r="E184" t="s">
        <v>454</v>
      </c>
      <c r="F184" s="65">
        <v>45548</v>
      </c>
      <c r="G184" s="24" t="s">
        <v>2</v>
      </c>
      <c r="H184" t="s">
        <v>1128</v>
      </c>
      <c r="L184">
        <f t="shared" si="2"/>
        <v>54</v>
      </c>
      <c r="M184" t="s">
        <v>761</v>
      </c>
      <c r="N184" t="s">
        <v>454</v>
      </c>
      <c r="O184" s="65">
        <v>45548</v>
      </c>
      <c r="P184" s="24" t="s">
        <v>2</v>
      </c>
      <c r="Q184" t="s">
        <v>1128</v>
      </c>
    </row>
    <row r="185" spans="3:17">
      <c r="C185">
        <f t="shared" si="3"/>
        <v>183</v>
      </c>
      <c r="D185" t="s">
        <v>764</v>
      </c>
      <c r="E185" t="s">
        <v>765</v>
      </c>
      <c r="F185" s="65">
        <v>45548</v>
      </c>
      <c r="G185" s="24" t="s">
        <v>2</v>
      </c>
      <c r="H185" t="s">
        <v>1128</v>
      </c>
      <c r="L185">
        <f t="shared" si="2"/>
        <v>55</v>
      </c>
      <c r="M185" t="s">
        <v>764</v>
      </c>
      <c r="N185" t="s">
        <v>765</v>
      </c>
      <c r="O185" s="65">
        <v>45548</v>
      </c>
      <c r="P185" s="24" t="s">
        <v>2</v>
      </c>
      <c r="Q185" t="s">
        <v>1128</v>
      </c>
    </row>
    <row r="186" spans="3:17">
      <c r="C186">
        <f t="shared" si="3"/>
        <v>184</v>
      </c>
      <c r="D186" t="s">
        <v>270</v>
      </c>
      <c r="E186" t="s">
        <v>768</v>
      </c>
      <c r="F186" s="65">
        <v>45551</v>
      </c>
      <c r="G186" s="24" t="s">
        <v>2</v>
      </c>
      <c r="H186" t="s">
        <v>1128</v>
      </c>
      <c r="L186">
        <f t="shared" si="2"/>
        <v>56</v>
      </c>
      <c r="M186" t="s">
        <v>270</v>
      </c>
      <c r="N186" t="s">
        <v>768</v>
      </c>
      <c r="O186" s="65">
        <v>45551</v>
      </c>
      <c r="P186" s="24" t="s">
        <v>2</v>
      </c>
      <c r="Q186" t="s">
        <v>1128</v>
      </c>
    </row>
    <row r="187" spans="3:17">
      <c r="C187">
        <f t="shared" si="3"/>
        <v>185</v>
      </c>
      <c r="D187" t="s">
        <v>770</v>
      </c>
      <c r="E187" t="s">
        <v>771</v>
      </c>
      <c r="F187" s="65">
        <v>45560</v>
      </c>
      <c r="G187" s="24" t="s">
        <v>2</v>
      </c>
      <c r="H187" t="s">
        <v>304</v>
      </c>
      <c r="L187">
        <f t="shared" si="2"/>
        <v>57</v>
      </c>
      <c r="M187" t="s">
        <v>770</v>
      </c>
      <c r="N187" t="s">
        <v>771</v>
      </c>
      <c r="O187" s="65">
        <v>45560</v>
      </c>
      <c r="P187" s="24" t="s">
        <v>2</v>
      </c>
      <c r="Q187" t="s">
        <v>304</v>
      </c>
    </row>
    <row r="188" spans="3:17">
      <c r="C188">
        <f t="shared" si="3"/>
        <v>186</v>
      </c>
      <c r="D188" t="s">
        <v>297</v>
      </c>
      <c r="E188" t="s">
        <v>775</v>
      </c>
      <c r="F188" s="65">
        <v>45560</v>
      </c>
      <c r="G188" s="24" t="s">
        <v>1</v>
      </c>
      <c r="H188" t="s">
        <v>1128</v>
      </c>
      <c r="L188">
        <f t="shared" si="2"/>
        <v>58</v>
      </c>
      <c r="M188" t="s">
        <v>297</v>
      </c>
      <c r="N188" t="s">
        <v>775</v>
      </c>
      <c r="O188" s="65">
        <v>45560</v>
      </c>
      <c r="P188" s="24" t="s">
        <v>1</v>
      </c>
      <c r="Q188" t="s">
        <v>1128</v>
      </c>
    </row>
    <row r="189" spans="3:17">
      <c r="C189">
        <f t="shared" si="3"/>
        <v>187</v>
      </c>
      <c r="D189" t="s">
        <v>612</v>
      </c>
      <c r="E189" t="s">
        <v>778</v>
      </c>
      <c r="F189" s="65">
        <v>45558</v>
      </c>
      <c r="G189" s="24" t="s">
        <v>1</v>
      </c>
      <c r="H189" t="s">
        <v>1128</v>
      </c>
      <c r="L189">
        <f t="shared" si="2"/>
        <v>59</v>
      </c>
      <c r="M189" t="s">
        <v>612</v>
      </c>
      <c r="N189" t="s">
        <v>778</v>
      </c>
      <c r="O189" s="65">
        <v>45558</v>
      </c>
      <c r="P189" s="24" t="s">
        <v>1</v>
      </c>
      <c r="Q189" t="s">
        <v>1128</v>
      </c>
    </row>
    <row r="190" spans="3:17">
      <c r="C190">
        <f t="shared" si="3"/>
        <v>188</v>
      </c>
      <c r="D190" t="s">
        <v>782</v>
      </c>
      <c r="E190" t="s">
        <v>783</v>
      </c>
      <c r="F190" s="65">
        <v>45558</v>
      </c>
      <c r="G190" s="24" t="s">
        <v>1</v>
      </c>
      <c r="H190" t="s">
        <v>86</v>
      </c>
      <c r="L190">
        <f t="shared" si="2"/>
        <v>60</v>
      </c>
      <c r="M190" t="s">
        <v>782</v>
      </c>
      <c r="N190" t="s">
        <v>783</v>
      </c>
      <c r="O190" s="65">
        <v>45558</v>
      </c>
      <c r="P190" s="24" t="s">
        <v>1</v>
      </c>
      <c r="Q190" t="s">
        <v>86</v>
      </c>
    </row>
    <row r="191" spans="3:17">
      <c r="C191">
        <f t="shared" si="3"/>
        <v>189</v>
      </c>
      <c r="D191" t="s">
        <v>787</v>
      </c>
      <c r="E191" t="s">
        <v>788</v>
      </c>
      <c r="F191" s="65">
        <v>45553</v>
      </c>
      <c r="G191" s="24" t="s">
        <v>1</v>
      </c>
      <c r="L191">
        <f t="shared" si="2"/>
        <v>61</v>
      </c>
      <c r="M191" t="s">
        <v>787</v>
      </c>
      <c r="N191" t="s">
        <v>788</v>
      </c>
      <c r="O191" s="65">
        <v>45553</v>
      </c>
      <c r="P191" s="24" t="s">
        <v>1</v>
      </c>
      <c r="Q191" t="s">
        <v>1918</v>
      </c>
    </row>
    <row r="192" spans="3:17">
      <c r="C192">
        <f t="shared" si="3"/>
        <v>190</v>
      </c>
      <c r="D192" t="s">
        <v>793</v>
      </c>
      <c r="E192" t="s">
        <v>794</v>
      </c>
      <c r="F192" s="65">
        <v>45553</v>
      </c>
      <c r="G192" s="24" t="s">
        <v>2</v>
      </c>
      <c r="H192" t="s">
        <v>96</v>
      </c>
      <c r="L192">
        <f t="shared" si="2"/>
        <v>62</v>
      </c>
      <c r="M192" t="s">
        <v>793</v>
      </c>
      <c r="N192" t="s">
        <v>794</v>
      </c>
      <c r="O192" s="65">
        <v>45553</v>
      </c>
      <c r="P192" s="24" t="s">
        <v>2</v>
      </c>
      <c r="Q192" t="s">
        <v>96</v>
      </c>
    </row>
    <row r="193" spans="3:17">
      <c r="C193">
        <f t="shared" si="3"/>
        <v>191</v>
      </c>
      <c r="D193" t="s">
        <v>270</v>
      </c>
      <c r="E193" t="s">
        <v>797</v>
      </c>
      <c r="F193" s="65">
        <v>45553</v>
      </c>
      <c r="G193" s="24" t="s">
        <v>1</v>
      </c>
      <c r="H193" t="s">
        <v>96</v>
      </c>
      <c r="L193">
        <f t="shared" si="2"/>
        <v>63</v>
      </c>
      <c r="M193" t="s">
        <v>270</v>
      </c>
      <c r="N193" t="s">
        <v>797</v>
      </c>
      <c r="O193" s="65">
        <v>45553</v>
      </c>
      <c r="P193" s="24" t="s">
        <v>1</v>
      </c>
      <c r="Q193" t="s">
        <v>96</v>
      </c>
    </row>
    <row r="194" spans="3:17">
      <c r="C194">
        <f t="shared" si="3"/>
        <v>192</v>
      </c>
      <c r="D194" t="s">
        <v>782</v>
      </c>
      <c r="E194" t="s">
        <v>801</v>
      </c>
      <c r="F194" s="65">
        <v>45567</v>
      </c>
      <c r="G194" s="24" t="s">
        <v>2</v>
      </c>
      <c r="H194" t="s">
        <v>320</v>
      </c>
      <c r="L194">
        <f t="shared" si="2"/>
        <v>64</v>
      </c>
      <c r="M194" t="s">
        <v>782</v>
      </c>
      <c r="N194" t="s">
        <v>801</v>
      </c>
      <c r="O194" s="65">
        <v>45567</v>
      </c>
      <c r="P194" s="24" t="s">
        <v>2</v>
      </c>
      <c r="Q194" t="s">
        <v>320</v>
      </c>
    </row>
    <row r="195" spans="3:17">
      <c r="C195">
        <f t="shared" si="3"/>
        <v>193</v>
      </c>
      <c r="D195" t="s">
        <v>803</v>
      </c>
      <c r="F195" s="65">
        <v>45567</v>
      </c>
      <c r="G195" s="24" t="s">
        <v>1</v>
      </c>
      <c r="H195" t="s">
        <v>96</v>
      </c>
      <c r="L195">
        <f t="shared" ref="L195:L258" si="4">+L194+1</f>
        <v>65</v>
      </c>
      <c r="M195" t="s">
        <v>803</v>
      </c>
      <c r="O195" s="65">
        <v>45567</v>
      </c>
      <c r="P195" s="24" t="s">
        <v>1</v>
      </c>
      <c r="Q195" t="s">
        <v>96</v>
      </c>
    </row>
    <row r="196" spans="3:17">
      <c r="C196">
        <f t="shared" si="3"/>
        <v>194</v>
      </c>
      <c r="D196" t="s">
        <v>807</v>
      </c>
      <c r="E196" t="s">
        <v>808</v>
      </c>
      <c r="F196" s="65">
        <v>45572</v>
      </c>
      <c r="G196" s="24" t="s">
        <v>1</v>
      </c>
      <c r="H196" t="s">
        <v>1919</v>
      </c>
      <c r="L196">
        <f t="shared" si="4"/>
        <v>66</v>
      </c>
      <c r="M196" t="s">
        <v>807</v>
      </c>
      <c r="N196" t="s">
        <v>808</v>
      </c>
      <c r="O196" s="65">
        <v>45572</v>
      </c>
      <c r="P196" s="24" t="s">
        <v>1</v>
      </c>
      <c r="Q196" t="s">
        <v>1919</v>
      </c>
    </row>
    <row r="197" spans="3:17">
      <c r="C197">
        <f t="shared" ref="C197:C260" si="5">+C196+1</f>
        <v>195</v>
      </c>
      <c r="D197" t="s">
        <v>369</v>
      </c>
      <c r="E197" t="s">
        <v>811</v>
      </c>
      <c r="F197" s="65">
        <v>45572</v>
      </c>
      <c r="G197" s="24" t="s">
        <v>1</v>
      </c>
      <c r="H197" t="s">
        <v>320</v>
      </c>
      <c r="L197">
        <f t="shared" si="4"/>
        <v>67</v>
      </c>
      <c r="M197" t="s">
        <v>369</v>
      </c>
      <c r="N197" t="s">
        <v>811</v>
      </c>
      <c r="O197" s="65">
        <v>45572</v>
      </c>
      <c r="P197" s="24" t="s">
        <v>1</v>
      </c>
      <c r="Q197" t="s">
        <v>320</v>
      </c>
    </row>
    <row r="198" spans="3:17">
      <c r="C198">
        <f t="shared" si="5"/>
        <v>196</v>
      </c>
      <c r="D198" t="s">
        <v>814</v>
      </c>
      <c r="E198" t="s">
        <v>815</v>
      </c>
      <c r="F198" s="65">
        <v>45568</v>
      </c>
      <c r="G198" s="24" t="s">
        <v>1</v>
      </c>
      <c r="H198" t="s">
        <v>96</v>
      </c>
      <c r="L198">
        <f t="shared" si="4"/>
        <v>68</v>
      </c>
      <c r="M198" t="s">
        <v>814</v>
      </c>
      <c r="N198" t="s">
        <v>815</v>
      </c>
      <c r="O198" s="65">
        <v>45568</v>
      </c>
      <c r="P198" s="24" t="s">
        <v>1</v>
      </c>
      <c r="Q198" t="s">
        <v>96</v>
      </c>
    </row>
    <row r="199" spans="3:17">
      <c r="C199">
        <f t="shared" si="5"/>
        <v>197</v>
      </c>
      <c r="D199" t="s">
        <v>819</v>
      </c>
      <c r="E199" t="s">
        <v>820</v>
      </c>
      <c r="F199" s="65">
        <v>45568</v>
      </c>
      <c r="G199" s="24" t="s">
        <v>1</v>
      </c>
      <c r="H199" t="s">
        <v>86</v>
      </c>
      <c r="L199">
        <f t="shared" si="4"/>
        <v>69</v>
      </c>
      <c r="M199" t="s">
        <v>819</v>
      </c>
      <c r="N199" t="s">
        <v>820</v>
      </c>
      <c r="O199" s="65">
        <v>45568</v>
      </c>
      <c r="P199" s="24" t="s">
        <v>1</v>
      </c>
      <c r="Q199" t="s">
        <v>86</v>
      </c>
    </row>
    <row r="200" spans="3:17">
      <c r="C200">
        <f t="shared" si="5"/>
        <v>198</v>
      </c>
      <c r="D200" t="s">
        <v>823</v>
      </c>
      <c r="E200" t="s">
        <v>824</v>
      </c>
      <c r="F200" s="65">
        <v>45575</v>
      </c>
      <c r="G200" s="24" t="s">
        <v>1</v>
      </c>
      <c r="H200" t="s">
        <v>320</v>
      </c>
      <c r="L200">
        <f t="shared" si="4"/>
        <v>70</v>
      </c>
      <c r="M200" t="s">
        <v>823</v>
      </c>
      <c r="N200" t="s">
        <v>824</v>
      </c>
      <c r="O200" s="65">
        <v>45575</v>
      </c>
      <c r="P200" s="24" t="s">
        <v>1</v>
      </c>
      <c r="Q200" t="s">
        <v>320</v>
      </c>
    </row>
    <row r="201" spans="3:17">
      <c r="C201">
        <f t="shared" si="5"/>
        <v>199</v>
      </c>
      <c r="D201" t="s">
        <v>825</v>
      </c>
      <c r="E201" t="s">
        <v>826</v>
      </c>
      <c r="F201" s="65">
        <v>45575</v>
      </c>
      <c r="G201" s="24" t="s">
        <v>1</v>
      </c>
      <c r="H201" t="s">
        <v>320</v>
      </c>
      <c r="L201">
        <f t="shared" si="4"/>
        <v>71</v>
      </c>
      <c r="M201" t="s">
        <v>825</v>
      </c>
      <c r="N201" t="s">
        <v>826</v>
      </c>
      <c r="O201" s="65">
        <v>45575</v>
      </c>
      <c r="P201" s="24" t="s">
        <v>1</v>
      </c>
      <c r="Q201" t="s">
        <v>320</v>
      </c>
    </row>
    <row r="202" spans="3:17">
      <c r="C202">
        <f t="shared" si="5"/>
        <v>200</v>
      </c>
      <c r="D202" t="s">
        <v>828</v>
      </c>
      <c r="F202" s="65">
        <v>45575</v>
      </c>
      <c r="G202" s="24" t="s">
        <v>1</v>
      </c>
      <c r="H202" t="s">
        <v>320</v>
      </c>
      <c r="L202">
        <f t="shared" si="4"/>
        <v>72</v>
      </c>
      <c r="M202" t="s">
        <v>828</v>
      </c>
      <c r="O202" s="65">
        <v>45575</v>
      </c>
      <c r="P202" s="24" t="s">
        <v>1</v>
      </c>
      <c r="Q202" t="s">
        <v>320</v>
      </c>
    </row>
    <row r="203" spans="3:17">
      <c r="C203">
        <f t="shared" si="5"/>
        <v>201</v>
      </c>
      <c r="E203" t="s">
        <v>829</v>
      </c>
      <c r="F203" s="65">
        <v>45575</v>
      </c>
      <c r="G203" s="24" t="s">
        <v>1</v>
      </c>
      <c r="H203" t="s">
        <v>320</v>
      </c>
      <c r="L203">
        <f t="shared" si="4"/>
        <v>73</v>
      </c>
      <c r="N203" t="s">
        <v>829</v>
      </c>
      <c r="O203" s="65">
        <v>45575</v>
      </c>
      <c r="P203" s="24" t="s">
        <v>1</v>
      </c>
      <c r="Q203" t="s">
        <v>320</v>
      </c>
    </row>
    <row r="204" spans="3:17">
      <c r="C204">
        <f t="shared" si="5"/>
        <v>202</v>
      </c>
      <c r="D204" t="s">
        <v>831</v>
      </c>
      <c r="F204" s="65">
        <v>45582</v>
      </c>
      <c r="G204" s="24" t="s">
        <v>1</v>
      </c>
      <c r="H204" t="s">
        <v>1919</v>
      </c>
      <c r="L204">
        <f t="shared" si="4"/>
        <v>74</v>
      </c>
      <c r="M204" t="s">
        <v>831</v>
      </c>
      <c r="O204" s="65">
        <v>45582</v>
      </c>
      <c r="P204" s="24" t="s">
        <v>1</v>
      </c>
      <c r="Q204" t="s">
        <v>1919</v>
      </c>
    </row>
    <row r="205" spans="3:17">
      <c r="C205">
        <f t="shared" si="5"/>
        <v>203</v>
      </c>
      <c r="D205" t="s">
        <v>47</v>
      </c>
      <c r="E205" t="s">
        <v>833</v>
      </c>
      <c r="F205" s="65">
        <v>45582</v>
      </c>
      <c r="G205" s="24" t="s">
        <v>1</v>
      </c>
      <c r="H205" t="s">
        <v>1917</v>
      </c>
      <c r="L205">
        <f t="shared" si="4"/>
        <v>75</v>
      </c>
      <c r="M205" t="s">
        <v>47</v>
      </c>
      <c r="N205" t="s">
        <v>833</v>
      </c>
      <c r="O205" s="65">
        <v>45582</v>
      </c>
      <c r="P205" s="24" t="s">
        <v>1</v>
      </c>
      <c r="Q205" t="s">
        <v>1917</v>
      </c>
    </row>
    <row r="206" spans="3:17">
      <c r="C206">
        <f t="shared" si="5"/>
        <v>204</v>
      </c>
      <c r="D206" t="s">
        <v>837</v>
      </c>
      <c r="E206" t="s">
        <v>838</v>
      </c>
      <c r="F206" s="65">
        <v>45583</v>
      </c>
      <c r="G206" s="24" t="s">
        <v>2</v>
      </c>
      <c r="H206" t="s">
        <v>320</v>
      </c>
      <c r="L206">
        <f t="shared" si="4"/>
        <v>76</v>
      </c>
      <c r="M206" t="s">
        <v>837</v>
      </c>
      <c r="N206" t="s">
        <v>838</v>
      </c>
      <c r="O206" s="65">
        <v>45583</v>
      </c>
      <c r="P206" s="24" t="s">
        <v>2</v>
      </c>
      <c r="Q206" t="s">
        <v>320</v>
      </c>
    </row>
    <row r="207" spans="3:17">
      <c r="C207">
        <f t="shared" si="5"/>
        <v>205</v>
      </c>
      <c r="D207" t="s">
        <v>514</v>
      </c>
      <c r="E207" t="s">
        <v>841</v>
      </c>
      <c r="F207" s="65">
        <v>45583</v>
      </c>
      <c r="G207" s="24" t="s">
        <v>1</v>
      </c>
      <c r="H207" t="s">
        <v>1919</v>
      </c>
      <c r="L207">
        <f t="shared" si="4"/>
        <v>77</v>
      </c>
      <c r="M207" t="s">
        <v>514</v>
      </c>
      <c r="N207" t="s">
        <v>841</v>
      </c>
      <c r="O207" s="65">
        <v>45583</v>
      </c>
      <c r="P207" s="24" t="s">
        <v>1</v>
      </c>
      <c r="Q207" t="s">
        <v>1919</v>
      </c>
    </row>
    <row r="208" spans="3:17">
      <c r="C208">
        <f t="shared" si="5"/>
        <v>206</v>
      </c>
      <c r="D208" t="s">
        <v>843</v>
      </c>
      <c r="E208" t="s">
        <v>844</v>
      </c>
      <c r="F208" s="65">
        <v>45583</v>
      </c>
      <c r="G208" s="24" t="s">
        <v>1</v>
      </c>
      <c r="H208" t="s">
        <v>1919</v>
      </c>
      <c r="L208">
        <f t="shared" si="4"/>
        <v>78</v>
      </c>
      <c r="M208" t="s">
        <v>843</v>
      </c>
      <c r="N208" t="s">
        <v>844</v>
      </c>
      <c r="O208" s="65">
        <v>45583</v>
      </c>
      <c r="P208" s="24" t="s">
        <v>1</v>
      </c>
      <c r="Q208" t="s">
        <v>1919</v>
      </c>
    </row>
    <row r="209" spans="3:17">
      <c r="C209">
        <f t="shared" si="5"/>
        <v>207</v>
      </c>
      <c r="D209" t="s">
        <v>847</v>
      </c>
      <c r="E209" t="s">
        <v>848</v>
      </c>
      <c r="F209" s="65">
        <v>45583</v>
      </c>
      <c r="G209" s="24" t="s">
        <v>1</v>
      </c>
      <c r="L209">
        <f t="shared" si="4"/>
        <v>79</v>
      </c>
      <c r="M209" t="s">
        <v>847</v>
      </c>
      <c r="N209" t="s">
        <v>848</v>
      </c>
      <c r="O209" s="65">
        <v>45583</v>
      </c>
      <c r="P209" s="24" t="s">
        <v>1</v>
      </c>
      <c r="Q209" t="s">
        <v>96</v>
      </c>
    </row>
    <row r="210" spans="3:17">
      <c r="C210">
        <f t="shared" si="5"/>
        <v>208</v>
      </c>
      <c r="D210" t="s">
        <v>444</v>
      </c>
      <c r="E210" t="s">
        <v>852</v>
      </c>
      <c r="F210" s="65">
        <v>45583</v>
      </c>
      <c r="G210" s="24" t="s">
        <v>1</v>
      </c>
      <c r="H210" t="s">
        <v>1128</v>
      </c>
      <c r="L210">
        <f t="shared" si="4"/>
        <v>80</v>
      </c>
      <c r="M210" t="s">
        <v>444</v>
      </c>
      <c r="N210" t="s">
        <v>852</v>
      </c>
      <c r="O210" s="65">
        <v>45583</v>
      </c>
      <c r="P210" s="24" t="s">
        <v>1</v>
      </c>
      <c r="Q210" t="s">
        <v>1128</v>
      </c>
    </row>
    <row r="211" spans="3:17">
      <c r="C211">
        <f t="shared" si="5"/>
        <v>209</v>
      </c>
      <c r="D211" t="s">
        <v>444</v>
      </c>
      <c r="E211" t="s">
        <v>854</v>
      </c>
      <c r="F211" s="65">
        <v>45583</v>
      </c>
      <c r="G211" s="24" t="s">
        <v>1</v>
      </c>
      <c r="H211" t="s">
        <v>1128</v>
      </c>
      <c r="L211">
        <f t="shared" si="4"/>
        <v>81</v>
      </c>
      <c r="M211" t="s">
        <v>444</v>
      </c>
      <c r="N211" t="s">
        <v>854</v>
      </c>
      <c r="O211" s="65">
        <v>45583</v>
      </c>
      <c r="P211" s="24" t="s">
        <v>1</v>
      </c>
      <c r="Q211" t="s">
        <v>1128</v>
      </c>
    </row>
    <row r="212" spans="3:17">
      <c r="C212">
        <f t="shared" si="5"/>
        <v>210</v>
      </c>
      <c r="D212" t="s">
        <v>856</v>
      </c>
      <c r="E212" t="s">
        <v>857</v>
      </c>
      <c r="F212" s="65">
        <v>45587</v>
      </c>
      <c r="G212" s="24" t="s">
        <v>1</v>
      </c>
      <c r="H212" t="s">
        <v>1128</v>
      </c>
      <c r="L212">
        <f t="shared" si="4"/>
        <v>82</v>
      </c>
      <c r="M212" t="s">
        <v>856</v>
      </c>
      <c r="N212" t="s">
        <v>857</v>
      </c>
      <c r="O212" s="65">
        <v>45587</v>
      </c>
      <c r="P212" s="24" t="s">
        <v>1</v>
      </c>
      <c r="Q212" t="s">
        <v>1128</v>
      </c>
    </row>
    <row r="213" spans="3:17">
      <c r="C213">
        <f t="shared" si="5"/>
        <v>211</v>
      </c>
      <c r="D213" t="s">
        <v>467</v>
      </c>
      <c r="E213" t="s">
        <v>860</v>
      </c>
      <c r="F213" s="65">
        <v>45593</v>
      </c>
      <c r="G213" s="24" t="s">
        <v>2</v>
      </c>
      <c r="H213" t="s">
        <v>96</v>
      </c>
      <c r="L213">
        <f t="shared" si="4"/>
        <v>83</v>
      </c>
      <c r="M213" t="s">
        <v>467</v>
      </c>
      <c r="N213" t="s">
        <v>860</v>
      </c>
      <c r="O213" s="65">
        <v>45593</v>
      </c>
      <c r="P213" s="24" t="s">
        <v>2</v>
      </c>
      <c r="Q213" t="s">
        <v>96</v>
      </c>
    </row>
    <row r="214" spans="3:17">
      <c r="C214">
        <f t="shared" si="5"/>
        <v>212</v>
      </c>
      <c r="D214" t="s">
        <v>434</v>
      </c>
      <c r="E214" t="s">
        <v>865</v>
      </c>
      <c r="F214" s="65">
        <v>45593</v>
      </c>
      <c r="G214" s="24" t="s">
        <v>1</v>
      </c>
      <c r="H214" t="s">
        <v>96</v>
      </c>
      <c r="L214">
        <f t="shared" si="4"/>
        <v>84</v>
      </c>
      <c r="M214" t="s">
        <v>434</v>
      </c>
      <c r="N214" t="s">
        <v>865</v>
      </c>
      <c r="O214" s="65">
        <v>45593</v>
      </c>
      <c r="P214" s="24" t="s">
        <v>1</v>
      </c>
      <c r="Q214" t="s">
        <v>96</v>
      </c>
    </row>
    <row r="215" spans="3:17">
      <c r="C215">
        <f t="shared" si="5"/>
        <v>213</v>
      </c>
      <c r="D215" t="s">
        <v>811</v>
      </c>
      <c r="F215" s="65">
        <v>45593</v>
      </c>
      <c r="G215" s="24" t="s">
        <v>1</v>
      </c>
      <c r="H215" t="s">
        <v>304</v>
      </c>
      <c r="L215">
        <f t="shared" si="4"/>
        <v>85</v>
      </c>
      <c r="M215" t="s">
        <v>811</v>
      </c>
      <c r="O215" s="65">
        <v>45593</v>
      </c>
      <c r="P215" s="24" t="s">
        <v>1</v>
      </c>
      <c r="Q215" t="s">
        <v>304</v>
      </c>
    </row>
    <row r="216" spans="3:17">
      <c r="C216">
        <f t="shared" si="5"/>
        <v>214</v>
      </c>
      <c r="D216" t="s">
        <v>96</v>
      </c>
      <c r="E216" t="s">
        <v>870</v>
      </c>
      <c r="F216" s="65">
        <v>45597</v>
      </c>
      <c r="G216" s="24" t="s">
        <v>2</v>
      </c>
      <c r="H216" t="s">
        <v>96</v>
      </c>
      <c r="L216">
        <f t="shared" si="4"/>
        <v>86</v>
      </c>
      <c r="M216" t="s">
        <v>96</v>
      </c>
      <c r="N216" t="s">
        <v>870</v>
      </c>
      <c r="O216" s="65">
        <v>45597</v>
      </c>
      <c r="P216" s="24" t="s">
        <v>2</v>
      </c>
      <c r="Q216" t="s">
        <v>96</v>
      </c>
    </row>
    <row r="217" spans="3:17">
      <c r="C217">
        <f t="shared" si="5"/>
        <v>215</v>
      </c>
      <c r="D217" t="s">
        <v>434</v>
      </c>
      <c r="E217" t="s">
        <v>875</v>
      </c>
      <c r="F217" s="65">
        <v>45597</v>
      </c>
      <c r="G217" s="24" t="s">
        <v>1</v>
      </c>
      <c r="H217" t="s">
        <v>96</v>
      </c>
      <c r="L217">
        <f t="shared" si="4"/>
        <v>87</v>
      </c>
      <c r="M217" t="s">
        <v>434</v>
      </c>
      <c r="N217" t="s">
        <v>875</v>
      </c>
      <c r="O217" s="65">
        <v>45597</v>
      </c>
      <c r="P217" s="24" t="s">
        <v>1</v>
      </c>
      <c r="Q217" t="s">
        <v>96</v>
      </c>
    </row>
    <row r="218" spans="3:17">
      <c r="C218">
        <f t="shared" si="5"/>
        <v>216</v>
      </c>
      <c r="D218" t="s">
        <v>782</v>
      </c>
      <c r="E218" t="s">
        <v>879</v>
      </c>
      <c r="F218" s="65">
        <v>45594</v>
      </c>
      <c r="G218" s="24" t="s">
        <v>2</v>
      </c>
      <c r="H218" t="s">
        <v>304</v>
      </c>
      <c r="L218">
        <f t="shared" si="4"/>
        <v>88</v>
      </c>
      <c r="M218" t="s">
        <v>782</v>
      </c>
      <c r="N218" t="s">
        <v>879</v>
      </c>
      <c r="O218" s="65">
        <v>45594</v>
      </c>
      <c r="P218" s="24" t="s">
        <v>2</v>
      </c>
      <c r="Q218" t="s">
        <v>304</v>
      </c>
    </row>
    <row r="219" spans="3:17">
      <c r="C219">
        <f t="shared" si="5"/>
        <v>217</v>
      </c>
      <c r="D219" t="s">
        <v>47</v>
      </c>
      <c r="E219" t="s">
        <v>833</v>
      </c>
      <c r="F219" s="65">
        <v>45594</v>
      </c>
      <c r="G219" s="24" t="s">
        <v>1</v>
      </c>
      <c r="H219" t="s">
        <v>1917</v>
      </c>
      <c r="L219">
        <f t="shared" si="4"/>
        <v>89</v>
      </c>
      <c r="M219" t="s">
        <v>47</v>
      </c>
      <c r="N219" t="s">
        <v>833</v>
      </c>
      <c r="O219" s="65">
        <v>45594</v>
      </c>
      <c r="P219" s="24" t="s">
        <v>1</v>
      </c>
      <c r="Q219" t="s">
        <v>1917</v>
      </c>
    </row>
    <row r="220" spans="3:17">
      <c r="C220">
        <f t="shared" si="5"/>
        <v>218</v>
      </c>
      <c r="D220" t="s">
        <v>883</v>
      </c>
      <c r="F220" s="65">
        <v>45594</v>
      </c>
      <c r="G220" s="24" t="s">
        <v>1</v>
      </c>
      <c r="H220" t="s">
        <v>1918</v>
      </c>
      <c r="L220">
        <f t="shared" si="4"/>
        <v>90</v>
      </c>
      <c r="M220" t="s">
        <v>883</v>
      </c>
      <c r="O220" s="65">
        <v>45594</v>
      </c>
      <c r="P220" s="24" t="s">
        <v>1</v>
      </c>
      <c r="Q220" t="s">
        <v>1918</v>
      </c>
    </row>
    <row r="221" spans="3:17">
      <c r="C221">
        <f t="shared" si="5"/>
        <v>219</v>
      </c>
      <c r="D221" t="s">
        <v>886</v>
      </c>
      <c r="E221" t="s">
        <v>887</v>
      </c>
      <c r="F221" s="65">
        <v>45594</v>
      </c>
      <c r="G221" s="24" t="s">
        <v>2</v>
      </c>
      <c r="H221" t="s">
        <v>1918</v>
      </c>
      <c r="L221">
        <f t="shared" si="4"/>
        <v>91</v>
      </c>
      <c r="M221" t="s">
        <v>886</v>
      </c>
      <c r="N221" t="s">
        <v>887</v>
      </c>
      <c r="O221" s="65">
        <v>45594</v>
      </c>
      <c r="P221" s="24" t="s">
        <v>2</v>
      </c>
      <c r="Q221" t="s">
        <v>1918</v>
      </c>
    </row>
    <row r="222" spans="3:17">
      <c r="C222">
        <f t="shared" si="5"/>
        <v>220</v>
      </c>
      <c r="D222" t="s">
        <v>890</v>
      </c>
      <c r="E222" t="s">
        <v>891</v>
      </c>
      <c r="F222" s="65">
        <v>45594</v>
      </c>
      <c r="G222" s="24" t="s">
        <v>1</v>
      </c>
      <c r="H222" t="s">
        <v>304</v>
      </c>
      <c r="L222">
        <f t="shared" si="4"/>
        <v>92</v>
      </c>
      <c r="M222" t="s">
        <v>890</v>
      </c>
      <c r="N222" t="s">
        <v>891</v>
      </c>
      <c r="O222" s="65">
        <v>45594</v>
      </c>
      <c r="P222" s="24" t="s">
        <v>1</v>
      </c>
      <c r="Q222" t="s">
        <v>304</v>
      </c>
    </row>
    <row r="223" spans="3:17">
      <c r="C223">
        <f t="shared" si="5"/>
        <v>221</v>
      </c>
      <c r="D223" t="s">
        <v>894</v>
      </c>
      <c r="E223" t="s">
        <v>895</v>
      </c>
      <c r="F223" s="65">
        <v>45600</v>
      </c>
      <c r="G223" s="24" t="s">
        <v>2</v>
      </c>
      <c r="H223" t="s">
        <v>1919</v>
      </c>
      <c r="L223">
        <f t="shared" si="4"/>
        <v>93</v>
      </c>
      <c r="M223" t="s">
        <v>894</v>
      </c>
      <c r="N223" t="s">
        <v>895</v>
      </c>
      <c r="O223" s="65">
        <v>45600</v>
      </c>
      <c r="P223" s="24" t="s">
        <v>2</v>
      </c>
      <c r="Q223" t="s">
        <v>1919</v>
      </c>
    </row>
    <row r="224" spans="3:17">
      <c r="C224">
        <f t="shared" si="5"/>
        <v>222</v>
      </c>
      <c r="D224" t="s">
        <v>444</v>
      </c>
      <c r="E224" t="s">
        <v>898</v>
      </c>
      <c r="F224" s="65">
        <v>45608</v>
      </c>
      <c r="G224" s="24" t="s">
        <v>1</v>
      </c>
      <c r="H224" t="s">
        <v>1128</v>
      </c>
      <c r="L224">
        <f t="shared" si="4"/>
        <v>94</v>
      </c>
      <c r="M224" t="s">
        <v>444</v>
      </c>
      <c r="N224" t="s">
        <v>898</v>
      </c>
      <c r="O224" s="65">
        <v>45608</v>
      </c>
      <c r="P224" s="24" t="s">
        <v>1</v>
      </c>
      <c r="Q224" t="s">
        <v>1128</v>
      </c>
    </row>
    <row r="225" spans="3:17">
      <c r="C225">
        <f t="shared" si="5"/>
        <v>223</v>
      </c>
      <c r="D225" t="s">
        <v>444</v>
      </c>
      <c r="E225" t="s">
        <v>902</v>
      </c>
      <c r="F225" s="65">
        <v>45604</v>
      </c>
      <c r="G225" s="24" t="s">
        <v>1</v>
      </c>
      <c r="H225" t="s">
        <v>1128</v>
      </c>
      <c r="L225">
        <f t="shared" si="4"/>
        <v>95</v>
      </c>
      <c r="M225" t="s">
        <v>444</v>
      </c>
      <c r="N225" t="s">
        <v>902</v>
      </c>
      <c r="O225" s="65">
        <v>45604</v>
      </c>
      <c r="P225" s="24" t="s">
        <v>1</v>
      </c>
      <c r="Q225" t="s">
        <v>1128</v>
      </c>
    </row>
    <row r="226" spans="3:17">
      <c r="C226">
        <f t="shared" si="5"/>
        <v>224</v>
      </c>
      <c r="D226" t="s">
        <v>434</v>
      </c>
      <c r="E226" t="s">
        <v>906</v>
      </c>
      <c r="F226" s="65">
        <v>45597</v>
      </c>
      <c r="G226" s="24" t="s">
        <v>2</v>
      </c>
      <c r="H226" t="s">
        <v>96</v>
      </c>
      <c r="L226">
        <f t="shared" si="4"/>
        <v>96</v>
      </c>
      <c r="M226" t="s">
        <v>434</v>
      </c>
      <c r="N226" t="s">
        <v>906</v>
      </c>
      <c r="O226" s="65">
        <v>45597</v>
      </c>
      <c r="P226" s="24" t="s">
        <v>2</v>
      </c>
      <c r="Q226" t="s">
        <v>96</v>
      </c>
    </row>
    <row r="227" spans="3:17">
      <c r="C227">
        <f t="shared" si="5"/>
        <v>225</v>
      </c>
      <c r="D227" t="s">
        <v>612</v>
      </c>
      <c r="E227" t="s">
        <v>909</v>
      </c>
      <c r="F227" s="65">
        <v>45609</v>
      </c>
      <c r="G227" s="24" t="s">
        <v>1</v>
      </c>
      <c r="H227" t="s">
        <v>1128</v>
      </c>
      <c r="L227">
        <f t="shared" si="4"/>
        <v>97</v>
      </c>
      <c r="M227" t="s">
        <v>612</v>
      </c>
      <c r="N227" t="s">
        <v>909</v>
      </c>
      <c r="O227" s="65">
        <v>45609</v>
      </c>
      <c r="P227" s="24" t="s">
        <v>1</v>
      </c>
      <c r="Q227" t="s">
        <v>1128</v>
      </c>
    </row>
    <row r="228" spans="3:17">
      <c r="C228">
        <f t="shared" si="5"/>
        <v>226</v>
      </c>
      <c r="D228" t="s">
        <v>96</v>
      </c>
      <c r="E228" t="s">
        <v>911</v>
      </c>
      <c r="F228" s="65">
        <v>45609</v>
      </c>
      <c r="G228" s="24" t="s">
        <v>1</v>
      </c>
      <c r="H228" t="s">
        <v>96</v>
      </c>
      <c r="L228">
        <f t="shared" si="4"/>
        <v>98</v>
      </c>
      <c r="M228" t="s">
        <v>96</v>
      </c>
      <c r="N228" t="s">
        <v>911</v>
      </c>
      <c r="O228" s="65">
        <v>45609</v>
      </c>
      <c r="P228" s="24" t="s">
        <v>1</v>
      </c>
      <c r="Q228" t="s">
        <v>96</v>
      </c>
    </row>
    <row r="229" spans="3:17">
      <c r="C229">
        <f t="shared" si="5"/>
        <v>227</v>
      </c>
      <c r="D229" t="s">
        <v>270</v>
      </c>
      <c r="E229" t="s">
        <v>915</v>
      </c>
      <c r="F229" s="65">
        <v>45608</v>
      </c>
      <c r="G229" s="24" t="s">
        <v>1</v>
      </c>
      <c r="H229" t="s">
        <v>1128</v>
      </c>
      <c r="L229">
        <f t="shared" si="4"/>
        <v>99</v>
      </c>
      <c r="M229" t="s">
        <v>270</v>
      </c>
      <c r="N229" t="s">
        <v>915</v>
      </c>
      <c r="O229" s="65">
        <v>45608</v>
      </c>
      <c r="P229" s="24" t="s">
        <v>1</v>
      </c>
      <c r="Q229" t="s">
        <v>1128</v>
      </c>
    </row>
    <row r="230" spans="3:17">
      <c r="C230">
        <f t="shared" si="5"/>
        <v>228</v>
      </c>
      <c r="D230" t="s">
        <v>819</v>
      </c>
      <c r="E230" t="s">
        <v>917</v>
      </c>
      <c r="F230" s="65">
        <v>45609</v>
      </c>
      <c r="G230" s="24" t="s">
        <v>1</v>
      </c>
      <c r="H230" t="s">
        <v>86</v>
      </c>
      <c r="L230">
        <f t="shared" si="4"/>
        <v>100</v>
      </c>
      <c r="M230" t="s">
        <v>819</v>
      </c>
      <c r="N230" t="s">
        <v>917</v>
      </c>
      <c r="O230" s="65">
        <v>45609</v>
      </c>
      <c r="P230" s="24" t="s">
        <v>1</v>
      </c>
      <c r="Q230" t="s">
        <v>86</v>
      </c>
    </row>
    <row r="231" spans="3:17">
      <c r="C231">
        <f t="shared" si="5"/>
        <v>229</v>
      </c>
      <c r="D231" t="s">
        <v>633</v>
      </c>
      <c r="E231" t="s">
        <v>920</v>
      </c>
      <c r="F231" s="65">
        <v>45614</v>
      </c>
      <c r="G231" s="24" t="s">
        <v>1</v>
      </c>
      <c r="H231" t="s">
        <v>1919</v>
      </c>
      <c r="L231">
        <f t="shared" si="4"/>
        <v>101</v>
      </c>
      <c r="M231" t="s">
        <v>633</v>
      </c>
      <c r="N231" t="s">
        <v>920</v>
      </c>
      <c r="O231" s="65">
        <v>45614</v>
      </c>
      <c r="P231" s="24" t="s">
        <v>1</v>
      </c>
      <c r="Q231" t="s">
        <v>1919</v>
      </c>
    </row>
    <row r="232" spans="3:17">
      <c r="C232">
        <f t="shared" si="5"/>
        <v>230</v>
      </c>
      <c r="D232" t="s">
        <v>329</v>
      </c>
      <c r="E232" t="s">
        <v>923</v>
      </c>
      <c r="F232" s="65">
        <v>45614</v>
      </c>
      <c r="G232" s="24" t="s">
        <v>2</v>
      </c>
      <c r="H232" t="s">
        <v>1917</v>
      </c>
      <c r="L232">
        <f t="shared" si="4"/>
        <v>102</v>
      </c>
      <c r="M232" t="s">
        <v>329</v>
      </c>
      <c r="N232" t="s">
        <v>923</v>
      </c>
      <c r="O232" s="65">
        <v>45614</v>
      </c>
      <c r="P232" s="24" t="s">
        <v>2</v>
      </c>
      <c r="Q232" t="s">
        <v>1917</v>
      </c>
    </row>
    <row r="233" spans="3:17">
      <c r="C233">
        <f t="shared" si="5"/>
        <v>231</v>
      </c>
      <c r="D233" t="s">
        <v>927</v>
      </c>
      <c r="E233" t="s">
        <v>928</v>
      </c>
      <c r="F233" s="65">
        <v>45614</v>
      </c>
      <c r="G233" s="24" t="s">
        <v>1</v>
      </c>
      <c r="H233" t="s">
        <v>320</v>
      </c>
      <c r="L233">
        <f t="shared" si="4"/>
        <v>103</v>
      </c>
      <c r="M233" t="s">
        <v>927</v>
      </c>
      <c r="N233" t="s">
        <v>928</v>
      </c>
      <c r="O233" s="65">
        <v>45614</v>
      </c>
      <c r="P233" s="24" t="s">
        <v>1</v>
      </c>
      <c r="Q233" t="s">
        <v>320</v>
      </c>
    </row>
    <row r="234" spans="3:17">
      <c r="C234">
        <f t="shared" si="5"/>
        <v>232</v>
      </c>
      <c r="D234" t="s">
        <v>329</v>
      </c>
      <c r="F234" s="65">
        <v>45614</v>
      </c>
      <c r="G234" s="24" t="s">
        <v>2</v>
      </c>
      <c r="H234" t="s">
        <v>1917</v>
      </c>
      <c r="L234">
        <f t="shared" si="4"/>
        <v>104</v>
      </c>
      <c r="M234" t="s">
        <v>329</v>
      </c>
      <c r="O234" s="65">
        <v>45614</v>
      </c>
      <c r="P234" s="24" t="s">
        <v>2</v>
      </c>
      <c r="Q234" t="s">
        <v>1917</v>
      </c>
    </row>
    <row r="235" spans="3:17">
      <c r="C235">
        <f t="shared" si="5"/>
        <v>233</v>
      </c>
      <c r="D235" t="s">
        <v>819</v>
      </c>
      <c r="E235" t="s">
        <v>931</v>
      </c>
      <c r="F235" s="65">
        <v>45614</v>
      </c>
      <c r="G235" s="24" t="s">
        <v>1</v>
      </c>
      <c r="H235" t="s">
        <v>86</v>
      </c>
      <c r="L235">
        <f t="shared" si="4"/>
        <v>105</v>
      </c>
      <c r="M235" t="s">
        <v>819</v>
      </c>
      <c r="N235" t="s">
        <v>931</v>
      </c>
      <c r="O235" s="65">
        <v>45614</v>
      </c>
      <c r="P235" s="24" t="s">
        <v>1</v>
      </c>
      <c r="Q235" t="s">
        <v>86</v>
      </c>
    </row>
    <row r="236" spans="3:17">
      <c r="C236">
        <f t="shared" si="5"/>
        <v>234</v>
      </c>
      <c r="D236" t="s">
        <v>453</v>
      </c>
      <c r="E236" t="s">
        <v>378</v>
      </c>
      <c r="F236" s="65">
        <v>45621</v>
      </c>
      <c r="G236" s="24" t="s">
        <v>1</v>
      </c>
      <c r="H236" t="s">
        <v>1918</v>
      </c>
      <c r="L236">
        <f t="shared" si="4"/>
        <v>106</v>
      </c>
      <c r="M236" t="s">
        <v>453</v>
      </c>
      <c r="N236" t="s">
        <v>378</v>
      </c>
      <c r="O236" s="65">
        <v>45621</v>
      </c>
      <c r="P236" s="24" t="s">
        <v>1</v>
      </c>
      <c r="Q236" t="s">
        <v>1918</v>
      </c>
    </row>
    <row r="237" spans="3:17">
      <c r="C237">
        <f t="shared" si="5"/>
        <v>235</v>
      </c>
      <c r="D237" t="s">
        <v>270</v>
      </c>
      <c r="E237" t="s">
        <v>936</v>
      </c>
      <c r="F237" s="65">
        <v>45618</v>
      </c>
      <c r="G237" s="24" t="s">
        <v>2</v>
      </c>
      <c r="H237" t="s">
        <v>1128</v>
      </c>
      <c r="L237">
        <f t="shared" si="4"/>
        <v>107</v>
      </c>
      <c r="M237" t="s">
        <v>270</v>
      </c>
      <c r="N237" t="s">
        <v>936</v>
      </c>
      <c r="O237" s="65">
        <v>45618</v>
      </c>
      <c r="P237" s="24" t="s">
        <v>2</v>
      </c>
      <c r="Q237" t="s">
        <v>1128</v>
      </c>
    </row>
    <row r="238" spans="3:17">
      <c r="C238">
        <f t="shared" si="5"/>
        <v>236</v>
      </c>
      <c r="D238" t="s">
        <v>96</v>
      </c>
      <c r="E238" t="s">
        <v>939</v>
      </c>
      <c r="F238" s="65">
        <v>45621</v>
      </c>
      <c r="G238" s="24" t="s">
        <v>1</v>
      </c>
      <c r="H238" t="s">
        <v>96</v>
      </c>
      <c r="L238">
        <f t="shared" si="4"/>
        <v>108</v>
      </c>
      <c r="M238" t="s">
        <v>96</v>
      </c>
      <c r="N238" t="s">
        <v>939</v>
      </c>
      <c r="O238" s="65">
        <v>45621</v>
      </c>
      <c r="P238" s="24" t="s">
        <v>1</v>
      </c>
      <c r="Q238" t="s">
        <v>96</v>
      </c>
    </row>
    <row r="239" spans="3:17">
      <c r="C239">
        <f t="shared" si="5"/>
        <v>237</v>
      </c>
      <c r="D239" t="s">
        <v>612</v>
      </c>
      <c r="E239" t="s">
        <v>943</v>
      </c>
      <c r="F239" s="65">
        <v>45622</v>
      </c>
      <c r="G239" s="24" t="s">
        <v>2</v>
      </c>
      <c r="H239" t="s">
        <v>1128</v>
      </c>
      <c r="L239">
        <f t="shared" si="4"/>
        <v>109</v>
      </c>
      <c r="M239" t="s">
        <v>612</v>
      </c>
      <c r="N239" t="s">
        <v>943</v>
      </c>
      <c r="O239" s="65">
        <v>45622</v>
      </c>
      <c r="P239" s="24" t="s">
        <v>2</v>
      </c>
      <c r="Q239" t="s">
        <v>1128</v>
      </c>
    </row>
    <row r="240" spans="3:17">
      <c r="C240">
        <f t="shared" si="5"/>
        <v>238</v>
      </c>
      <c r="D240" t="s">
        <v>96</v>
      </c>
      <c r="E240" t="s">
        <v>946</v>
      </c>
      <c r="F240" s="65">
        <v>45622</v>
      </c>
      <c r="G240" s="24" t="s">
        <v>1</v>
      </c>
      <c r="H240" t="s">
        <v>96</v>
      </c>
      <c r="L240">
        <f t="shared" si="4"/>
        <v>110</v>
      </c>
      <c r="M240" t="s">
        <v>96</v>
      </c>
      <c r="N240" t="s">
        <v>946</v>
      </c>
      <c r="O240" s="65">
        <v>45622</v>
      </c>
      <c r="P240" s="24" t="s">
        <v>1</v>
      </c>
      <c r="Q240" t="s">
        <v>96</v>
      </c>
    </row>
    <row r="241" spans="3:17">
      <c r="C241">
        <f t="shared" si="5"/>
        <v>239</v>
      </c>
      <c r="D241" t="s">
        <v>440</v>
      </c>
      <c r="E241" t="s">
        <v>949</v>
      </c>
      <c r="F241" s="65">
        <v>45624</v>
      </c>
      <c r="G241" s="24" t="s">
        <v>3</v>
      </c>
      <c r="H241" t="s">
        <v>320</v>
      </c>
      <c r="L241">
        <f t="shared" si="4"/>
        <v>111</v>
      </c>
      <c r="M241" t="s">
        <v>440</v>
      </c>
      <c r="N241" t="s">
        <v>949</v>
      </c>
      <c r="O241" s="65">
        <v>45624</v>
      </c>
      <c r="P241" s="24" t="s">
        <v>3</v>
      </c>
      <c r="Q241" t="s">
        <v>320</v>
      </c>
    </row>
    <row r="242" spans="3:17">
      <c r="C242">
        <f t="shared" si="5"/>
        <v>240</v>
      </c>
      <c r="D242" t="s">
        <v>320</v>
      </c>
      <c r="E242" t="s">
        <v>951</v>
      </c>
      <c r="F242" s="65">
        <v>45624</v>
      </c>
      <c r="G242" s="24" t="s">
        <v>1</v>
      </c>
      <c r="H242" t="s">
        <v>320</v>
      </c>
      <c r="L242">
        <f t="shared" si="4"/>
        <v>112</v>
      </c>
      <c r="M242" t="s">
        <v>320</v>
      </c>
      <c r="N242" t="s">
        <v>951</v>
      </c>
      <c r="O242" s="65">
        <v>45624</v>
      </c>
      <c r="P242" s="24" t="s">
        <v>1</v>
      </c>
      <c r="Q242" t="s">
        <v>320</v>
      </c>
    </row>
    <row r="243" spans="3:17">
      <c r="C243">
        <f t="shared" si="5"/>
        <v>241</v>
      </c>
      <c r="D243" t="s">
        <v>612</v>
      </c>
      <c r="E243" t="s">
        <v>955</v>
      </c>
      <c r="F243" s="65">
        <v>45628</v>
      </c>
      <c r="G243" s="24" t="s">
        <v>1</v>
      </c>
      <c r="H243" t="s">
        <v>1128</v>
      </c>
      <c r="L243">
        <f t="shared" si="4"/>
        <v>113</v>
      </c>
      <c r="M243" t="s">
        <v>612</v>
      </c>
      <c r="N243" t="s">
        <v>955</v>
      </c>
      <c r="O243" s="65">
        <v>45628</v>
      </c>
      <c r="P243" s="24" t="s">
        <v>1</v>
      </c>
      <c r="Q243" t="s">
        <v>1128</v>
      </c>
    </row>
    <row r="244" spans="3:17">
      <c r="C244">
        <f t="shared" si="5"/>
        <v>242</v>
      </c>
      <c r="D244" t="s">
        <v>819</v>
      </c>
      <c r="E244" t="s">
        <v>958</v>
      </c>
      <c r="F244" s="65">
        <v>45624</v>
      </c>
      <c r="G244" s="24" t="s">
        <v>1</v>
      </c>
      <c r="H244" t="s">
        <v>86</v>
      </c>
      <c r="L244">
        <f t="shared" si="4"/>
        <v>114</v>
      </c>
      <c r="M244" t="s">
        <v>819</v>
      </c>
      <c r="N244" t="s">
        <v>958</v>
      </c>
      <c r="O244" s="65">
        <v>45624</v>
      </c>
      <c r="P244" s="24" t="s">
        <v>1</v>
      </c>
      <c r="Q244" t="s">
        <v>86</v>
      </c>
    </row>
    <row r="245" spans="3:17">
      <c r="C245">
        <f t="shared" si="5"/>
        <v>243</v>
      </c>
      <c r="D245" t="s">
        <v>963</v>
      </c>
      <c r="E245" t="s">
        <v>964</v>
      </c>
      <c r="F245" s="65">
        <v>45636</v>
      </c>
      <c r="G245" s="24" t="s">
        <v>2</v>
      </c>
      <c r="H245" t="s">
        <v>86</v>
      </c>
      <c r="L245">
        <f t="shared" si="4"/>
        <v>115</v>
      </c>
      <c r="M245" t="s">
        <v>963</v>
      </c>
      <c r="N245" t="s">
        <v>964</v>
      </c>
      <c r="O245" s="65">
        <v>45636</v>
      </c>
      <c r="P245" s="24" t="s">
        <v>2</v>
      </c>
      <c r="Q245" t="s">
        <v>86</v>
      </c>
    </row>
    <row r="246" spans="3:17">
      <c r="C246">
        <f t="shared" si="5"/>
        <v>244</v>
      </c>
      <c r="D246" t="s">
        <v>967</v>
      </c>
      <c r="F246" s="65">
        <v>45636</v>
      </c>
      <c r="G246" s="24" t="s">
        <v>1</v>
      </c>
      <c r="H246" t="s">
        <v>96</v>
      </c>
      <c r="L246">
        <f t="shared" si="4"/>
        <v>116</v>
      </c>
      <c r="M246" t="s">
        <v>967</v>
      </c>
      <c r="O246" s="65">
        <v>45636</v>
      </c>
      <c r="P246" s="24" t="s">
        <v>1</v>
      </c>
      <c r="Q246" t="s">
        <v>96</v>
      </c>
    </row>
    <row r="247" spans="3:17">
      <c r="C247">
        <f t="shared" si="5"/>
        <v>245</v>
      </c>
      <c r="D247" t="s">
        <v>96</v>
      </c>
      <c r="E247" t="s">
        <v>968</v>
      </c>
      <c r="F247" s="65">
        <v>45638</v>
      </c>
      <c r="G247" s="24" t="s">
        <v>2</v>
      </c>
      <c r="H247" t="s">
        <v>96</v>
      </c>
      <c r="L247">
        <f t="shared" si="4"/>
        <v>117</v>
      </c>
      <c r="M247" t="s">
        <v>96</v>
      </c>
      <c r="N247" t="s">
        <v>968</v>
      </c>
      <c r="O247" s="65">
        <v>45638</v>
      </c>
      <c r="P247" s="24" t="s">
        <v>2</v>
      </c>
      <c r="Q247" t="s">
        <v>96</v>
      </c>
    </row>
    <row r="248" spans="3:17">
      <c r="C248">
        <f t="shared" si="5"/>
        <v>246</v>
      </c>
      <c r="D248" t="s">
        <v>96</v>
      </c>
      <c r="E248" t="s">
        <v>973</v>
      </c>
      <c r="F248" s="65">
        <v>45635</v>
      </c>
      <c r="G248" s="24" t="s">
        <v>2</v>
      </c>
      <c r="H248" t="s">
        <v>96</v>
      </c>
      <c r="L248">
        <f t="shared" si="4"/>
        <v>118</v>
      </c>
      <c r="M248" t="s">
        <v>96</v>
      </c>
      <c r="N248" t="s">
        <v>973</v>
      </c>
      <c r="O248" s="65">
        <v>45635</v>
      </c>
      <c r="P248" s="24" t="s">
        <v>2</v>
      </c>
      <c r="Q248" t="s">
        <v>96</v>
      </c>
    </row>
    <row r="249" spans="3:17">
      <c r="C249">
        <f t="shared" si="5"/>
        <v>247</v>
      </c>
      <c r="D249" t="s">
        <v>978</v>
      </c>
      <c r="F249" s="65">
        <v>45636</v>
      </c>
      <c r="G249" s="24" t="s">
        <v>2</v>
      </c>
      <c r="H249" t="s">
        <v>204</v>
      </c>
      <c r="L249">
        <f t="shared" si="4"/>
        <v>119</v>
      </c>
      <c r="M249" t="s">
        <v>978</v>
      </c>
      <c r="O249" s="65">
        <v>45636</v>
      </c>
      <c r="P249" s="24" t="s">
        <v>2</v>
      </c>
      <c r="Q249" t="s">
        <v>204</v>
      </c>
    </row>
    <row r="250" spans="3:17">
      <c r="C250">
        <f t="shared" si="5"/>
        <v>248</v>
      </c>
      <c r="D250" t="s">
        <v>96</v>
      </c>
      <c r="E250" t="s">
        <v>980</v>
      </c>
      <c r="F250" s="65">
        <v>45636</v>
      </c>
      <c r="G250" s="24" t="s">
        <v>1</v>
      </c>
      <c r="H250" t="s">
        <v>96</v>
      </c>
      <c r="L250">
        <f t="shared" si="4"/>
        <v>120</v>
      </c>
      <c r="M250" t="s">
        <v>96</v>
      </c>
      <c r="N250" t="s">
        <v>980</v>
      </c>
      <c r="O250" s="65">
        <v>45636</v>
      </c>
      <c r="P250" s="24" t="s">
        <v>1</v>
      </c>
      <c r="Q250" t="s">
        <v>96</v>
      </c>
    </row>
    <row r="251" spans="3:17">
      <c r="C251">
        <f t="shared" si="5"/>
        <v>249</v>
      </c>
      <c r="D251" t="s">
        <v>369</v>
      </c>
      <c r="E251" t="s">
        <v>983</v>
      </c>
      <c r="F251" s="65">
        <v>45636</v>
      </c>
      <c r="G251" s="24" t="s">
        <v>1</v>
      </c>
      <c r="H251" t="s">
        <v>320</v>
      </c>
      <c r="L251">
        <f t="shared" si="4"/>
        <v>121</v>
      </c>
      <c r="M251" t="s">
        <v>369</v>
      </c>
      <c r="N251" t="s">
        <v>983</v>
      </c>
      <c r="O251" s="65">
        <v>45636</v>
      </c>
      <c r="P251" s="24" t="s">
        <v>1</v>
      </c>
      <c r="Q251" t="s">
        <v>320</v>
      </c>
    </row>
    <row r="252" spans="3:17">
      <c r="C252">
        <f t="shared" si="5"/>
        <v>250</v>
      </c>
      <c r="D252" t="s">
        <v>985</v>
      </c>
      <c r="E252" t="s">
        <v>986</v>
      </c>
      <c r="F252" s="65">
        <v>45636</v>
      </c>
      <c r="G252" s="24" t="s">
        <v>1</v>
      </c>
      <c r="H252" t="s">
        <v>1918</v>
      </c>
      <c r="L252">
        <f t="shared" si="4"/>
        <v>122</v>
      </c>
      <c r="M252" t="s">
        <v>985</v>
      </c>
      <c r="N252" t="s">
        <v>986</v>
      </c>
      <c r="O252" s="65">
        <v>45636</v>
      </c>
      <c r="P252" s="24" t="s">
        <v>1</v>
      </c>
      <c r="Q252" t="s">
        <v>1918</v>
      </c>
    </row>
    <row r="253" spans="3:17">
      <c r="C253">
        <f t="shared" si="5"/>
        <v>251</v>
      </c>
      <c r="D253" t="s">
        <v>989</v>
      </c>
      <c r="E253" t="s">
        <v>990</v>
      </c>
      <c r="F253" s="65">
        <v>45635</v>
      </c>
      <c r="G253" s="24" t="s">
        <v>1</v>
      </c>
      <c r="H253" t="s">
        <v>86</v>
      </c>
      <c r="L253">
        <f t="shared" si="4"/>
        <v>123</v>
      </c>
      <c r="M253" t="s">
        <v>989</v>
      </c>
      <c r="N253" t="s">
        <v>990</v>
      </c>
      <c r="O253" s="65">
        <v>45635</v>
      </c>
      <c r="P253" s="24" t="s">
        <v>1</v>
      </c>
      <c r="Q253" t="s">
        <v>86</v>
      </c>
    </row>
    <row r="254" spans="3:17">
      <c r="C254">
        <f t="shared" si="5"/>
        <v>252</v>
      </c>
      <c r="D254" t="s">
        <v>992</v>
      </c>
      <c r="E254" t="s">
        <v>993</v>
      </c>
      <c r="F254" s="65">
        <v>45637</v>
      </c>
      <c r="G254" s="24" t="s">
        <v>2</v>
      </c>
      <c r="H254" t="s">
        <v>1128</v>
      </c>
      <c r="L254">
        <f t="shared" si="4"/>
        <v>124</v>
      </c>
      <c r="M254" t="s">
        <v>992</v>
      </c>
      <c r="N254" t="s">
        <v>993</v>
      </c>
      <c r="O254" s="65">
        <v>45637</v>
      </c>
      <c r="P254" s="24" t="s">
        <v>2</v>
      </c>
      <c r="Q254" t="s">
        <v>1128</v>
      </c>
    </row>
    <row r="255" spans="3:17">
      <c r="C255">
        <f t="shared" si="5"/>
        <v>253</v>
      </c>
      <c r="D255" t="s">
        <v>86</v>
      </c>
      <c r="E255" t="s">
        <v>996</v>
      </c>
      <c r="F255" s="65">
        <v>45637</v>
      </c>
      <c r="G255" s="24" t="s">
        <v>1</v>
      </c>
      <c r="H255" t="s">
        <v>86</v>
      </c>
      <c r="L255">
        <f t="shared" si="4"/>
        <v>125</v>
      </c>
      <c r="M255" t="s">
        <v>86</v>
      </c>
      <c r="N255" t="s">
        <v>996</v>
      </c>
      <c r="O255" s="65">
        <v>45637</v>
      </c>
      <c r="P255" s="24" t="s">
        <v>1</v>
      </c>
      <c r="Q255" t="s">
        <v>86</v>
      </c>
    </row>
    <row r="256" spans="3:17">
      <c r="C256">
        <f t="shared" si="5"/>
        <v>254</v>
      </c>
      <c r="D256" t="s">
        <v>86</v>
      </c>
      <c r="E256" t="s">
        <v>998</v>
      </c>
      <c r="F256" s="65">
        <v>45637</v>
      </c>
      <c r="G256" s="24" t="s">
        <v>1</v>
      </c>
      <c r="H256" t="s">
        <v>86</v>
      </c>
      <c r="L256">
        <f t="shared" si="4"/>
        <v>126</v>
      </c>
      <c r="M256" t="s">
        <v>86</v>
      </c>
      <c r="N256" t="s">
        <v>998</v>
      </c>
      <c r="O256" s="65">
        <v>45637</v>
      </c>
      <c r="P256" s="24" t="s">
        <v>1</v>
      </c>
      <c r="Q256" t="s">
        <v>86</v>
      </c>
    </row>
    <row r="257" spans="3:17">
      <c r="C257">
        <f t="shared" si="5"/>
        <v>255</v>
      </c>
      <c r="D257" t="s">
        <v>1000</v>
      </c>
      <c r="E257" t="s">
        <v>1001</v>
      </c>
      <c r="F257" s="65">
        <v>45637</v>
      </c>
      <c r="G257" s="24" t="s">
        <v>1</v>
      </c>
      <c r="H257" t="s">
        <v>1918</v>
      </c>
      <c r="L257">
        <f t="shared" si="4"/>
        <v>127</v>
      </c>
      <c r="M257" t="s">
        <v>1000</v>
      </c>
      <c r="N257" t="s">
        <v>1001</v>
      </c>
      <c r="O257" s="65">
        <v>45637</v>
      </c>
      <c r="P257" s="24" t="s">
        <v>1</v>
      </c>
      <c r="Q257" t="s">
        <v>1918</v>
      </c>
    </row>
    <row r="258" spans="3:17">
      <c r="C258">
        <f t="shared" si="5"/>
        <v>256</v>
      </c>
      <c r="D258" t="s">
        <v>1005</v>
      </c>
      <c r="E258" t="s">
        <v>1006</v>
      </c>
      <c r="F258" s="65">
        <v>45637</v>
      </c>
      <c r="G258" s="24" t="s">
        <v>1</v>
      </c>
      <c r="H258" t="s">
        <v>86</v>
      </c>
      <c r="L258">
        <f t="shared" si="4"/>
        <v>128</v>
      </c>
      <c r="M258" t="s">
        <v>1005</v>
      </c>
      <c r="N258" t="s">
        <v>1006</v>
      </c>
      <c r="O258" s="65">
        <v>45637</v>
      </c>
      <c r="P258" s="24" t="s">
        <v>1</v>
      </c>
      <c r="Q258" t="s">
        <v>86</v>
      </c>
    </row>
    <row r="259" spans="3:17">
      <c r="C259">
        <f t="shared" si="5"/>
        <v>257</v>
      </c>
      <c r="F259" s="65">
        <v>45639</v>
      </c>
      <c r="G259" s="24" t="s">
        <v>2</v>
      </c>
      <c r="H259" t="s">
        <v>1918</v>
      </c>
      <c r="L259">
        <f t="shared" ref="L259:L264" si="6">+L258+1</f>
        <v>129</v>
      </c>
      <c r="O259" s="65">
        <v>45639</v>
      </c>
      <c r="P259" s="24" t="s">
        <v>2</v>
      </c>
      <c r="Q259" t="s">
        <v>1918</v>
      </c>
    </row>
    <row r="260" spans="3:17">
      <c r="C260">
        <f t="shared" si="5"/>
        <v>258</v>
      </c>
      <c r="D260" t="s">
        <v>1011</v>
      </c>
      <c r="F260" s="65">
        <v>45639</v>
      </c>
      <c r="G260" s="24" t="s">
        <v>1</v>
      </c>
      <c r="H260" t="s">
        <v>1918</v>
      </c>
      <c r="L260">
        <f t="shared" si="6"/>
        <v>130</v>
      </c>
      <c r="M260" t="s">
        <v>1011</v>
      </c>
      <c r="O260" s="65">
        <v>45639</v>
      </c>
      <c r="P260" s="24" t="s">
        <v>1</v>
      </c>
      <c r="Q260" t="s">
        <v>1918</v>
      </c>
    </row>
    <row r="261" spans="3:17">
      <c r="C261">
        <f t="shared" ref="C261:C263" si="7">+C260+1</f>
        <v>259</v>
      </c>
      <c r="D261" t="s">
        <v>96</v>
      </c>
      <c r="E261" t="s">
        <v>1014</v>
      </c>
      <c r="F261" s="65">
        <v>45643</v>
      </c>
      <c r="G261" s="24" t="s">
        <v>2</v>
      </c>
      <c r="H261" t="s">
        <v>96</v>
      </c>
      <c r="L261">
        <f t="shared" si="6"/>
        <v>131</v>
      </c>
      <c r="M261" t="s">
        <v>96</v>
      </c>
      <c r="N261" t="s">
        <v>1014</v>
      </c>
      <c r="O261" s="65">
        <v>45643</v>
      </c>
      <c r="P261" s="24" t="s">
        <v>2</v>
      </c>
      <c r="Q261" t="s">
        <v>96</v>
      </c>
    </row>
    <row r="262" spans="3:17">
      <c r="C262">
        <f t="shared" si="7"/>
        <v>260</v>
      </c>
      <c r="D262" t="s">
        <v>96</v>
      </c>
      <c r="E262" t="s">
        <v>1017</v>
      </c>
      <c r="F262" s="65">
        <v>45643</v>
      </c>
      <c r="G262" s="24" t="s">
        <v>2</v>
      </c>
      <c r="H262" t="s">
        <v>96</v>
      </c>
      <c r="L262">
        <f t="shared" si="6"/>
        <v>132</v>
      </c>
      <c r="M262" t="s">
        <v>96</v>
      </c>
      <c r="N262" t="s">
        <v>1017</v>
      </c>
      <c r="O262" s="65">
        <v>45643</v>
      </c>
      <c r="P262" s="24" t="s">
        <v>2</v>
      </c>
      <c r="Q262" t="s">
        <v>96</v>
      </c>
    </row>
    <row r="263" spans="3:17">
      <c r="C263">
        <f t="shared" si="7"/>
        <v>261</v>
      </c>
      <c r="D263" t="s">
        <v>1022</v>
      </c>
      <c r="E263" t="s">
        <v>1023</v>
      </c>
      <c r="F263" s="65">
        <v>45643</v>
      </c>
      <c r="G263" s="24" t="s">
        <v>2</v>
      </c>
      <c r="H263" t="s">
        <v>96</v>
      </c>
      <c r="L263">
        <f t="shared" si="6"/>
        <v>133</v>
      </c>
      <c r="M263" t="s">
        <v>1022</v>
      </c>
      <c r="N263" t="s">
        <v>1023</v>
      </c>
      <c r="O263" s="65">
        <v>45643</v>
      </c>
      <c r="P263" s="24" t="s">
        <v>2</v>
      </c>
      <c r="Q263" t="s">
        <v>96</v>
      </c>
    </row>
    <row r="264" spans="3:17">
      <c r="C264">
        <f t="shared" ref="C264" si="8">+C263+1</f>
        <v>262</v>
      </c>
      <c r="D264" t="s">
        <v>444</v>
      </c>
      <c r="E264" t="s">
        <v>1028</v>
      </c>
      <c r="F264" s="65">
        <v>45643</v>
      </c>
      <c r="G264" s="24" t="s">
        <v>2</v>
      </c>
      <c r="H264" t="s">
        <v>1128</v>
      </c>
      <c r="L264">
        <f t="shared" si="6"/>
        <v>134</v>
      </c>
      <c r="M264" t="s">
        <v>444</v>
      </c>
      <c r="N264" t="s">
        <v>1028</v>
      </c>
      <c r="O264" s="65">
        <v>45643</v>
      </c>
      <c r="P264" s="24" t="s">
        <v>2</v>
      </c>
      <c r="Q264" t="s">
        <v>1128</v>
      </c>
    </row>
  </sheetData>
  <autoFilter ref="L130:Q264" xr:uid="{0B0617FB-A658-476B-A316-DA2D2E72C7F9}"/>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D06CC-1A41-4093-9770-D53104CBB86E}">
  <sheetPr codeName="Sheet11"/>
  <dimension ref="B2:O130"/>
  <sheetViews>
    <sheetView showGridLines="0" topLeftCell="A94" workbookViewId="0">
      <selection activeCell="AV50" sqref="AV50"/>
    </sheetView>
  </sheetViews>
  <sheetFormatPr defaultRowHeight="14.4"/>
  <cols>
    <col min="3" max="3" width="40.33203125" bestFit="1" customWidth="1"/>
    <col min="4" max="4" width="42.44140625" bestFit="1" customWidth="1"/>
    <col min="5" max="5" width="12" customWidth="1"/>
    <col min="6" max="6" width="17.6640625" customWidth="1"/>
    <col min="14" max="14" width="19.5546875" bestFit="1" customWidth="1"/>
  </cols>
  <sheetData>
    <row r="2" spans="2:15">
      <c r="B2" s="24" t="s">
        <v>1770</v>
      </c>
      <c r="C2" s="24" t="s">
        <v>1770</v>
      </c>
      <c r="D2" s="24" t="s">
        <v>1770</v>
      </c>
      <c r="E2" s="24" t="s">
        <v>1770</v>
      </c>
      <c r="F2" s="24" t="s">
        <v>1770</v>
      </c>
      <c r="G2" s="24" t="s">
        <v>1770</v>
      </c>
    </row>
    <row r="3" spans="2:15">
      <c r="B3" s="24">
        <v>1</v>
      </c>
      <c r="C3" t="s">
        <v>20</v>
      </c>
      <c r="D3" t="s">
        <v>21</v>
      </c>
      <c r="E3" s="54">
        <v>45303</v>
      </c>
      <c r="F3" t="s">
        <v>1</v>
      </c>
      <c r="G3" t="s">
        <v>320</v>
      </c>
      <c r="N3" t="s">
        <v>1917</v>
      </c>
      <c r="O3">
        <f t="shared" ref="O3:O10" si="0">COUNTIF(G:G,N3)</f>
        <v>15</v>
      </c>
    </row>
    <row r="4" spans="2:15">
      <c r="B4" s="24">
        <f t="shared" ref="B4:B66" si="1">+B3+1</f>
        <v>2</v>
      </c>
      <c r="C4" t="s">
        <v>20</v>
      </c>
      <c r="D4" t="s">
        <v>26</v>
      </c>
      <c r="E4" s="54">
        <v>45307</v>
      </c>
      <c r="F4" t="s">
        <v>1</v>
      </c>
      <c r="G4" t="s">
        <v>320</v>
      </c>
      <c r="N4" t="s">
        <v>1128</v>
      </c>
      <c r="O4">
        <f t="shared" si="0"/>
        <v>24</v>
      </c>
    </row>
    <row r="5" spans="2:15">
      <c r="B5" s="24">
        <f t="shared" si="1"/>
        <v>3</v>
      </c>
      <c r="C5" t="s">
        <v>20</v>
      </c>
      <c r="D5" t="s">
        <v>29</v>
      </c>
      <c r="E5" s="54">
        <v>45315</v>
      </c>
      <c r="F5" t="s">
        <v>1</v>
      </c>
      <c r="G5" t="s">
        <v>320</v>
      </c>
      <c r="N5" t="s">
        <v>1919</v>
      </c>
      <c r="O5">
        <f t="shared" si="0"/>
        <v>4</v>
      </c>
    </row>
    <row r="6" spans="2:15">
      <c r="B6" s="24">
        <f t="shared" si="1"/>
        <v>4</v>
      </c>
      <c r="C6" t="s">
        <v>20</v>
      </c>
      <c r="D6" t="s">
        <v>32</v>
      </c>
      <c r="E6" s="54">
        <v>45306</v>
      </c>
      <c r="F6" t="s">
        <v>1</v>
      </c>
      <c r="G6" t="s">
        <v>304</v>
      </c>
      <c r="N6" t="s">
        <v>304</v>
      </c>
      <c r="O6">
        <f t="shared" si="0"/>
        <v>9</v>
      </c>
    </row>
    <row r="7" spans="2:15">
      <c r="B7" s="24">
        <f t="shared" si="1"/>
        <v>5</v>
      </c>
      <c r="C7" t="s">
        <v>20</v>
      </c>
      <c r="D7" t="s">
        <v>36</v>
      </c>
      <c r="E7" s="54">
        <v>45314</v>
      </c>
      <c r="F7" t="s">
        <v>1</v>
      </c>
      <c r="G7" t="s">
        <v>320</v>
      </c>
      <c r="N7" t="s">
        <v>320</v>
      </c>
      <c r="O7">
        <f t="shared" si="0"/>
        <v>22</v>
      </c>
    </row>
    <row r="8" spans="2:15">
      <c r="B8" s="24">
        <f t="shared" si="1"/>
        <v>6</v>
      </c>
      <c r="C8" t="s">
        <v>41</v>
      </c>
      <c r="D8" t="s">
        <v>42</v>
      </c>
      <c r="E8" s="54">
        <v>45302</v>
      </c>
      <c r="F8" t="s">
        <v>1</v>
      </c>
      <c r="G8" t="s">
        <v>1918</v>
      </c>
      <c r="N8" t="s">
        <v>86</v>
      </c>
      <c r="O8">
        <f t="shared" si="0"/>
        <v>12</v>
      </c>
    </row>
    <row r="9" spans="2:15">
      <c r="B9" s="24">
        <f t="shared" si="1"/>
        <v>7</v>
      </c>
      <c r="C9" t="s">
        <v>47</v>
      </c>
      <c r="D9" t="s">
        <v>48</v>
      </c>
      <c r="E9" s="54">
        <v>45306</v>
      </c>
      <c r="F9" t="s">
        <v>1</v>
      </c>
      <c r="G9" t="s">
        <v>1917</v>
      </c>
      <c r="N9" t="s">
        <v>204</v>
      </c>
      <c r="O9">
        <f t="shared" si="0"/>
        <v>14</v>
      </c>
    </row>
    <row r="10" spans="2:15">
      <c r="B10" s="24">
        <f t="shared" si="1"/>
        <v>8</v>
      </c>
      <c r="C10" t="s">
        <v>47</v>
      </c>
      <c r="D10" t="s">
        <v>53</v>
      </c>
      <c r="E10" s="54">
        <v>45315</v>
      </c>
      <c r="F10" t="s">
        <v>1</v>
      </c>
      <c r="G10" t="s">
        <v>1917</v>
      </c>
      <c r="N10" t="s">
        <v>1918</v>
      </c>
      <c r="O10">
        <f t="shared" si="0"/>
        <v>28</v>
      </c>
    </row>
    <row r="11" spans="2:15">
      <c r="B11" s="24">
        <f t="shared" si="1"/>
        <v>9</v>
      </c>
      <c r="C11" t="s">
        <v>57</v>
      </c>
      <c r="D11" t="s">
        <v>58</v>
      </c>
      <c r="E11" s="54">
        <v>45314</v>
      </c>
      <c r="F11" t="s">
        <v>1</v>
      </c>
      <c r="G11" t="s">
        <v>86</v>
      </c>
    </row>
    <row r="12" spans="2:15">
      <c r="B12" s="24">
        <f t="shared" si="1"/>
        <v>10</v>
      </c>
      <c r="C12" t="s">
        <v>63</v>
      </c>
      <c r="D12" t="s">
        <v>64</v>
      </c>
      <c r="E12" s="54">
        <v>45315</v>
      </c>
      <c r="F12" t="s">
        <v>1</v>
      </c>
      <c r="G12" t="s">
        <v>1918</v>
      </c>
    </row>
    <row r="13" spans="2:15">
      <c r="B13" s="24">
        <f t="shared" si="1"/>
        <v>11</v>
      </c>
      <c r="C13" t="s">
        <v>41</v>
      </c>
      <c r="D13" t="s">
        <v>69</v>
      </c>
      <c r="E13" s="54" t="s">
        <v>24</v>
      </c>
      <c r="F13" t="s">
        <v>1</v>
      </c>
      <c r="G13" t="s">
        <v>1918</v>
      </c>
    </row>
    <row r="14" spans="2:15">
      <c r="B14" s="24">
        <f t="shared" si="1"/>
        <v>12</v>
      </c>
      <c r="C14" t="s">
        <v>41</v>
      </c>
      <c r="D14" t="s">
        <v>75</v>
      </c>
      <c r="E14" s="54" t="s">
        <v>24</v>
      </c>
      <c r="F14" t="s">
        <v>2</v>
      </c>
      <c r="G14" t="s">
        <v>1918</v>
      </c>
    </row>
    <row r="15" spans="2:15">
      <c r="B15" s="24">
        <f t="shared" si="1"/>
        <v>13</v>
      </c>
      <c r="C15" t="s">
        <v>80</v>
      </c>
      <c r="D15" t="s">
        <v>81</v>
      </c>
      <c r="E15" s="54">
        <v>45320</v>
      </c>
      <c r="F15" t="s">
        <v>1</v>
      </c>
      <c r="G15" t="s">
        <v>1917</v>
      </c>
    </row>
    <row r="16" spans="2:15">
      <c r="B16" s="24">
        <f t="shared" si="1"/>
        <v>14</v>
      </c>
      <c r="C16" t="s">
        <v>86</v>
      </c>
      <c r="D16" t="s">
        <v>87</v>
      </c>
      <c r="E16" s="54">
        <v>45322</v>
      </c>
      <c r="F16" t="s">
        <v>1</v>
      </c>
      <c r="G16" t="s">
        <v>86</v>
      </c>
    </row>
    <row r="17" spans="2:7">
      <c r="B17" s="24">
        <f t="shared" si="1"/>
        <v>15</v>
      </c>
      <c r="C17" t="s">
        <v>91</v>
      </c>
      <c r="D17" t="s">
        <v>92</v>
      </c>
      <c r="E17" s="54">
        <v>45322</v>
      </c>
      <c r="F17" t="s">
        <v>1</v>
      </c>
      <c r="G17" t="s">
        <v>1918</v>
      </c>
    </row>
    <row r="18" spans="2:7">
      <c r="B18" s="24">
        <f t="shared" si="1"/>
        <v>16</v>
      </c>
      <c r="C18" t="s">
        <v>96</v>
      </c>
      <c r="D18" t="s">
        <v>97</v>
      </c>
      <c r="E18" s="54">
        <v>45366</v>
      </c>
      <c r="F18" t="s">
        <v>2</v>
      </c>
      <c r="G18" t="s">
        <v>1918</v>
      </c>
    </row>
    <row r="19" spans="2:7">
      <c r="B19" s="24">
        <f t="shared" si="1"/>
        <v>17</v>
      </c>
      <c r="C19" t="s">
        <v>86</v>
      </c>
      <c r="D19" t="s">
        <v>100</v>
      </c>
      <c r="E19" s="54">
        <v>45322</v>
      </c>
      <c r="F19" t="s">
        <v>1</v>
      </c>
      <c r="G19" t="s">
        <v>86</v>
      </c>
    </row>
    <row r="20" spans="2:7">
      <c r="B20" s="24">
        <f t="shared" si="1"/>
        <v>18</v>
      </c>
      <c r="C20" t="s">
        <v>20</v>
      </c>
      <c r="D20" t="s">
        <v>104</v>
      </c>
      <c r="E20" s="54">
        <v>45323</v>
      </c>
      <c r="F20" t="s">
        <v>1</v>
      </c>
      <c r="G20" t="s">
        <v>320</v>
      </c>
    </row>
    <row r="21" spans="2:7">
      <c r="B21" s="24">
        <f t="shared" si="1"/>
        <v>19</v>
      </c>
      <c r="C21" t="s">
        <v>41</v>
      </c>
      <c r="D21" t="s">
        <v>107</v>
      </c>
      <c r="E21" s="54">
        <v>45329</v>
      </c>
      <c r="F21" t="s">
        <v>1</v>
      </c>
      <c r="G21" t="s">
        <v>1918</v>
      </c>
    </row>
    <row r="22" spans="2:7">
      <c r="B22" s="24">
        <f t="shared" si="1"/>
        <v>20</v>
      </c>
      <c r="C22" t="s">
        <v>112</v>
      </c>
      <c r="D22" t="s">
        <v>113</v>
      </c>
      <c r="E22" s="54">
        <v>45329</v>
      </c>
      <c r="F22" t="s">
        <v>1</v>
      </c>
      <c r="G22" t="s">
        <v>1918</v>
      </c>
    </row>
    <row r="23" spans="2:7">
      <c r="B23" s="24">
        <f t="shared" si="1"/>
        <v>21</v>
      </c>
      <c r="C23" t="s">
        <v>41</v>
      </c>
      <c r="D23" t="s">
        <v>118</v>
      </c>
      <c r="E23" s="54">
        <v>45330</v>
      </c>
      <c r="F23" t="s">
        <v>1</v>
      </c>
      <c r="G23" t="s">
        <v>1918</v>
      </c>
    </row>
    <row r="24" spans="2:7">
      <c r="B24" s="24">
        <f t="shared" si="1"/>
        <v>22</v>
      </c>
      <c r="C24" t="s">
        <v>41</v>
      </c>
      <c r="D24" t="s">
        <v>123</v>
      </c>
      <c r="E24" s="54"/>
      <c r="F24" t="s">
        <v>1</v>
      </c>
      <c r="G24" t="s">
        <v>1918</v>
      </c>
    </row>
    <row r="25" spans="2:7">
      <c r="B25" s="24">
        <f t="shared" si="1"/>
        <v>23</v>
      </c>
      <c r="C25" t="s">
        <v>127</v>
      </c>
      <c r="D25" t="s">
        <v>128</v>
      </c>
      <c r="E25" s="54"/>
      <c r="F25" t="s">
        <v>1</v>
      </c>
      <c r="G25" t="s">
        <v>204</v>
      </c>
    </row>
    <row r="26" spans="2:7">
      <c r="B26" s="24">
        <f t="shared" si="1"/>
        <v>24</v>
      </c>
      <c r="C26" t="s">
        <v>133</v>
      </c>
      <c r="D26" t="s">
        <v>134</v>
      </c>
      <c r="E26" s="54"/>
      <c r="F26" t="s">
        <v>1</v>
      </c>
      <c r="G26" t="s">
        <v>1918</v>
      </c>
    </row>
    <row r="27" spans="2:7">
      <c r="B27" s="24">
        <f t="shared" si="1"/>
        <v>25</v>
      </c>
      <c r="C27" t="s">
        <v>133</v>
      </c>
      <c r="D27" t="s">
        <v>138</v>
      </c>
      <c r="E27" s="54">
        <v>45337</v>
      </c>
      <c r="F27" t="s">
        <v>1</v>
      </c>
      <c r="G27" t="s">
        <v>1918</v>
      </c>
    </row>
    <row r="28" spans="2:7">
      <c r="B28" s="24">
        <f t="shared" si="1"/>
        <v>26</v>
      </c>
      <c r="C28" t="s">
        <v>86</v>
      </c>
      <c r="D28" t="s">
        <v>143</v>
      </c>
      <c r="E28" s="54">
        <v>45344</v>
      </c>
      <c r="F28" t="s">
        <v>1</v>
      </c>
      <c r="G28" t="s">
        <v>86</v>
      </c>
    </row>
    <row r="29" spans="2:7">
      <c r="B29" s="24">
        <f t="shared" si="1"/>
        <v>27</v>
      </c>
      <c r="C29" t="s">
        <v>86</v>
      </c>
      <c r="D29" t="s">
        <v>148</v>
      </c>
      <c r="E29" s="54">
        <v>45338</v>
      </c>
      <c r="F29" t="s">
        <v>1</v>
      </c>
      <c r="G29" t="s">
        <v>86</v>
      </c>
    </row>
    <row r="30" spans="2:7">
      <c r="B30" s="24">
        <f t="shared" si="1"/>
        <v>28</v>
      </c>
      <c r="C30" t="s">
        <v>41</v>
      </c>
      <c r="D30" t="s">
        <v>152</v>
      </c>
      <c r="E30" s="54">
        <v>45337</v>
      </c>
      <c r="F30" t="s">
        <v>1</v>
      </c>
      <c r="G30" t="s">
        <v>1128</v>
      </c>
    </row>
    <row r="31" spans="2:7">
      <c r="B31" s="24">
        <f t="shared" si="1"/>
        <v>29</v>
      </c>
      <c r="C31" t="s">
        <v>156</v>
      </c>
      <c r="D31" t="s">
        <v>157</v>
      </c>
      <c r="E31" s="54">
        <v>45337</v>
      </c>
      <c r="F31" t="s">
        <v>3</v>
      </c>
      <c r="G31" t="s">
        <v>1919</v>
      </c>
    </row>
    <row r="32" spans="2:7">
      <c r="B32" s="24">
        <f t="shared" si="1"/>
        <v>30</v>
      </c>
      <c r="C32" t="s">
        <v>161</v>
      </c>
      <c r="D32" t="s">
        <v>162</v>
      </c>
      <c r="E32" s="54">
        <v>45338</v>
      </c>
      <c r="F32" t="s">
        <v>166</v>
      </c>
      <c r="G32" t="s">
        <v>1918</v>
      </c>
    </row>
    <row r="33" spans="2:7">
      <c r="B33" s="24">
        <f t="shared" si="1"/>
        <v>31</v>
      </c>
      <c r="C33" t="s">
        <v>168</v>
      </c>
      <c r="D33" t="s">
        <v>169</v>
      </c>
      <c r="E33" s="54">
        <v>45342</v>
      </c>
      <c r="F33" t="s">
        <v>1</v>
      </c>
      <c r="G33" t="s">
        <v>1917</v>
      </c>
    </row>
    <row r="34" spans="2:7">
      <c r="B34" s="24">
        <f t="shared" si="1"/>
        <v>32</v>
      </c>
      <c r="C34" t="s">
        <v>168</v>
      </c>
      <c r="D34" t="s">
        <v>174</v>
      </c>
      <c r="E34" s="54">
        <v>45343</v>
      </c>
      <c r="F34" t="s">
        <v>1</v>
      </c>
      <c r="G34" t="s">
        <v>1917</v>
      </c>
    </row>
    <row r="35" spans="2:7">
      <c r="B35" s="24">
        <f t="shared" si="1"/>
        <v>33</v>
      </c>
      <c r="C35" t="s">
        <v>179</v>
      </c>
      <c r="D35" t="s">
        <v>180</v>
      </c>
      <c r="E35" s="54">
        <v>45342</v>
      </c>
      <c r="F35" t="s">
        <v>2</v>
      </c>
      <c r="G35" t="s">
        <v>1917</v>
      </c>
    </row>
    <row r="36" spans="2:7">
      <c r="B36" s="24">
        <f t="shared" si="1"/>
        <v>34</v>
      </c>
      <c r="C36" t="s">
        <v>168</v>
      </c>
      <c r="D36" t="s">
        <v>184</v>
      </c>
      <c r="E36" s="54">
        <v>45345</v>
      </c>
      <c r="F36" t="s">
        <v>1</v>
      </c>
      <c r="G36" t="s">
        <v>1917</v>
      </c>
    </row>
    <row r="37" spans="2:7">
      <c r="B37" s="24">
        <f t="shared" si="1"/>
        <v>35</v>
      </c>
      <c r="D37" t="s">
        <v>188</v>
      </c>
      <c r="E37" s="54"/>
      <c r="F37" t="s">
        <v>166</v>
      </c>
      <c r="G37" t="s">
        <v>1917</v>
      </c>
    </row>
    <row r="38" spans="2:7">
      <c r="B38" s="24">
        <f t="shared" si="1"/>
        <v>36</v>
      </c>
      <c r="C38" t="s">
        <v>193</v>
      </c>
      <c r="D38" t="s">
        <v>194</v>
      </c>
      <c r="E38" s="54"/>
      <c r="F38" t="s">
        <v>1</v>
      </c>
      <c r="G38" t="s">
        <v>1918</v>
      </c>
    </row>
    <row r="39" spans="2:7">
      <c r="B39" s="24">
        <f t="shared" si="1"/>
        <v>37</v>
      </c>
      <c r="C39" t="s">
        <v>198</v>
      </c>
      <c r="D39" t="s">
        <v>199</v>
      </c>
      <c r="E39" s="54">
        <v>45349</v>
      </c>
      <c r="F39" t="s">
        <v>1</v>
      </c>
      <c r="G39" t="s">
        <v>304</v>
      </c>
    </row>
    <row r="40" spans="2:7">
      <c r="B40" s="24">
        <f t="shared" si="1"/>
        <v>38</v>
      </c>
      <c r="C40" t="s">
        <v>204</v>
      </c>
      <c r="D40" t="s">
        <v>205</v>
      </c>
      <c r="E40" s="54">
        <v>45350</v>
      </c>
      <c r="F40" t="s">
        <v>166</v>
      </c>
      <c r="G40" t="s">
        <v>204</v>
      </c>
    </row>
    <row r="41" spans="2:7">
      <c r="B41" s="24">
        <f t="shared" si="1"/>
        <v>39</v>
      </c>
      <c r="C41" t="s">
        <v>209</v>
      </c>
      <c r="D41" t="s">
        <v>210</v>
      </c>
      <c r="E41" s="54">
        <v>45358</v>
      </c>
      <c r="F41" t="s">
        <v>1</v>
      </c>
      <c r="G41" t="s">
        <v>304</v>
      </c>
    </row>
    <row r="42" spans="2:7">
      <c r="B42" s="24">
        <f t="shared" si="1"/>
        <v>40</v>
      </c>
      <c r="C42" t="s">
        <v>215</v>
      </c>
      <c r="D42" t="s">
        <v>216</v>
      </c>
      <c r="E42" s="54">
        <v>45364</v>
      </c>
      <c r="F42" t="s">
        <v>1</v>
      </c>
      <c r="G42" t="s">
        <v>320</v>
      </c>
    </row>
    <row r="43" spans="2:7">
      <c r="B43" s="24">
        <f t="shared" si="1"/>
        <v>41</v>
      </c>
      <c r="C43" t="s">
        <v>221</v>
      </c>
      <c r="D43" t="s">
        <v>222</v>
      </c>
      <c r="E43" s="54">
        <v>45366</v>
      </c>
      <c r="F43" t="s">
        <v>2</v>
      </c>
      <c r="G43" t="s">
        <v>320</v>
      </c>
    </row>
    <row r="44" spans="2:7">
      <c r="B44" s="24">
        <f t="shared" si="1"/>
        <v>42</v>
      </c>
      <c r="C44" t="s">
        <v>224</v>
      </c>
      <c r="D44" t="s">
        <v>225</v>
      </c>
      <c r="E44" s="54">
        <v>45366</v>
      </c>
      <c r="F44" t="s">
        <v>1</v>
      </c>
      <c r="G44" t="s">
        <v>320</v>
      </c>
    </row>
    <row r="45" spans="2:7">
      <c r="B45" s="24">
        <f t="shared" si="1"/>
        <v>43</v>
      </c>
      <c r="C45" t="s">
        <v>230</v>
      </c>
      <c r="D45" t="s">
        <v>231</v>
      </c>
      <c r="E45" s="54">
        <v>45366</v>
      </c>
      <c r="F45" t="s">
        <v>2</v>
      </c>
      <c r="G45" t="s">
        <v>1917</v>
      </c>
    </row>
    <row r="46" spans="2:7">
      <c r="B46" s="24">
        <f t="shared" si="1"/>
        <v>44</v>
      </c>
      <c r="C46" t="s">
        <v>20</v>
      </c>
      <c r="D46" t="s">
        <v>234</v>
      </c>
      <c r="E46" s="54">
        <v>45365</v>
      </c>
      <c r="F46" t="s">
        <v>1</v>
      </c>
      <c r="G46" t="s">
        <v>304</v>
      </c>
    </row>
    <row r="47" spans="2:7">
      <c r="B47" s="24">
        <f t="shared" si="1"/>
        <v>45</v>
      </c>
      <c r="C47" t="s">
        <v>239</v>
      </c>
      <c r="D47" t="s">
        <v>240</v>
      </c>
      <c r="E47" s="54">
        <v>45365</v>
      </c>
      <c r="F47" t="s">
        <v>1</v>
      </c>
      <c r="G47" t="s">
        <v>304</v>
      </c>
    </row>
    <row r="48" spans="2:7">
      <c r="B48" s="24">
        <f t="shared" si="1"/>
        <v>46</v>
      </c>
      <c r="C48" t="s">
        <v>243</v>
      </c>
      <c r="D48" t="s">
        <v>244</v>
      </c>
      <c r="E48" s="54">
        <v>45365</v>
      </c>
      <c r="F48" t="s">
        <v>1</v>
      </c>
      <c r="G48" t="s">
        <v>320</v>
      </c>
    </row>
    <row r="49" spans="2:7">
      <c r="B49" s="24">
        <f t="shared" si="1"/>
        <v>47</v>
      </c>
      <c r="C49" t="s">
        <v>247</v>
      </c>
      <c r="D49" t="s">
        <v>248</v>
      </c>
      <c r="E49" s="54">
        <v>45365</v>
      </c>
      <c r="F49" t="s">
        <v>1</v>
      </c>
      <c r="G49" t="s">
        <v>320</v>
      </c>
    </row>
    <row r="50" spans="2:7">
      <c r="B50" s="24">
        <f t="shared" si="1"/>
        <v>48</v>
      </c>
      <c r="C50" t="s">
        <v>221</v>
      </c>
      <c r="D50" t="s">
        <v>251</v>
      </c>
      <c r="E50" s="54">
        <v>45366</v>
      </c>
      <c r="F50" t="s">
        <v>1</v>
      </c>
      <c r="G50" t="s">
        <v>320</v>
      </c>
    </row>
    <row r="51" spans="2:7">
      <c r="B51" s="24">
        <f t="shared" si="1"/>
        <v>49</v>
      </c>
      <c r="C51" t="s">
        <v>254</v>
      </c>
      <c r="D51" t="s">
        <v>255</v>
      </c>
      <c r="E51" s="54">
        <v>45366</v>
      </c>
      <c r="F51" t="s">
        <v>1</v>
      </c>
      <c r="G51" t="s">
        <v>1128</v>
      </c>
    </row>
    <row r="52" spans="2:7">
      <c r="B52" s="24">
        <f t="shared" si="1"/>
        <v>50</v>
      </c>
      <c r="D52" t="s">
        <v>259</v>
      </c>
      <c r="E52" s="54">
        <v>45366</v>
      </c>
      <c r="F52" t="s">
        <v>1</v>
      </c>
      <c r="G52" t="s">
        <v>1128</v>
      </c>
    </row>
    <row r="53" spans="2:7">
      <c r="B53" s="24">
        <f t="shared" si="1"/>
        <v>51</v>
      </c>
      <c r="C53" t="s">
        <v>230</v>
      </c>
      <c r="D53" t="s">
        <v>261</v>
      </c>
      <c r="E53" s="54">
        <v>45366</v>
      </c>
      <c r="F53" t="s">
        <v>1</v>
      </c>
      <c r="G53" t="s">
        <v>1917</v>
      </c>
    </row>
    <row r="54" spans="2:7">
      <c r="B54" s="24">
        <f t="shared" si="1"/>
        <v>52</v>
      </c>
      <c r="C54" t="s">
        <v>224</v>
      </c>
      <c r="D54" t="s">
        <v>264</v>
      </c>
      <c r="E54" s="54">
        <v>45366</v>
      </c>
      <c r="F54" t="s">
        <v>1</v>
      </c>
      <c r="G54" t="s">
        <v>320</v>
      </c>
    </row>
    <row r="55" spans="2:7">
      <c r="B55" s="24">
        <f t="shared" si="1"/>
        <v>53</v>
      </c>
      <c r="C55" t="s">
        <v>268</v>
      </c>
      <c r="E55" s="54">
        <v>45366</v>
      </c>
      <c r="F55" t="s">
        <v>1</v>
      </c>
      <c r="G55" t="s">
        <v>1128</v>
      </c>
    </row>
    <row r="56" spans="2:7">
      <c r="B56" s="24">
        <f t="shared" si="1"/>
        <v>54</v>
      </c>
      <c r="C56" t="s">
        <v>270</v>
      </c>
      <c r="D56" t="s">
        <v>271</v>
      </c>
      <c r="E56" s="54">
        <v>45366</v>
      </c>
      <c r="F56" t="s">
        <v>2</v>
      </c>
      <c r="G56" t="s">
        <v>1128</v>
      </c>
    </row>
    <row r="57" spans="2:7">
      <c r="B57" s="24">
        <f t="shared" si="1"/>
        <v>55</v>
      </c>
      <c r="C57" t="s">
        <v>273</v>
      </c>
      <c r="D57" t="s">
        <v>274</v>
      </c>
      <c r="E57" s="54">
        <v>45366</v>
      </c>
      <c r="F57" t="s">
        <v>1</v>
      </c>
      <c r="G57" t="s">
        <v>204</v>
      </c>
    </row>
    <row r="58" spans="2:7">
      <c r="B58" s="24">
        <f t="shared" si="1"/>
        <v>56</v>
      </c>
      <c r="C58" t="s">
        <v>276</v>
      </c>
      <c r="D58" t="s">
        <v>277</v>
      </c>
      <c r="E58" s="54">
        <v>45366</v>
      </c>
      <c r="F58" t="s">
        <v>1</v>
      </c>
      <c r="G58" t="s">
        <v>204</v>
      </c>
    </row>
    <row r="59" spans="2:7">
      <c r="B59" s="24">
        <f t="shared" si="1"/>
        <v>57</v>
      </c>
      <c r="C59" t="s">
        <v>96</v>
      </c>
      <c r="D59" t="s">
        <v>280</v>
      </c>
      <c r="E59" s="54">
        <v>45377</v>
      </c>
      <c r="F59" t="s">
        <v>1</v>
      </c>
      <c r="G59" t="s">
        <v>1918</v>
      </c>
    </row>
    <row r="60" spans="2:7">
      <c r="B60" s="24">
        <f t="shared" si="1"/>
        <v>58</v>
      </c>
      <c r="D60" t="s">
        <v>283</v>
      </c>
      <c r="E60" s="54">
        <v>45366</v>
      </c>
      <c r="F60" t="s">
        <v>1</v>
      </c>
      <c r="G60" t="s">
        <v>1918</v>
      </c>
    </row>
    <row r="61" spans="2:7">
      <c r="B61" s="24">
        <f t="shared" si="1"/>
        <v>59</v>
      </c>
      <c r="D61" t="s">
        <v>287</v>
      </c>
      <c r="E61" s="54">
        <v>45366</v>
      </c>
      <c r="F61" t="s">
        <v>1</v>
      </c>
      <c r="G61" t="s">
        <v>1918</v>
      </c>
    </row>
    <row r="62" spans="2:7">
      <c r="B62" s="24">
        <f t="shared" si="1"/>
        <v>60</v>
      </c>
      <c r="C62" t="s">
        <v>289</v>
      </c>
      <c r="D62" t="s">
        <v>290</v>
      </c>
      <c r="E62" s="54">
        <v>45366</v>
      </c>
      <c r="F62" t="s">
        <v>1</v>
      </c>
      <c r="G62" t="s">
        <v>204</v>
      </c>
    </row>
    <row r="63" spans="2:7">
      <c r="B63" s="24">
        <f t="shared" si="1"/>
        <v>61</v>
      </c>
      <c r="C63" t="s">
        <v>254</v>
      </c>
      <c r="D63" t="s">
        <v>292</v>
      </c>
      <c r="E63" s="54"/>
      <c r="F63" t="s">
        <v>3</v>
      </c>
      <c r="G63" t="s">
        <v>1128</v>
      </c>
    </row>
    <row r="64" spans="2:7">
      <c r="B64" s="24">
        <f t="shared" si="1"/>
        <v>62</v>
      </c>
      <c r="C64" t="s">
        <v>230</v>
      </c>
      <c r="D64" t="s">
        <v>294</v>
      </c>
      <c r="E64" s="54">
        <v>45366</v>
      </c>
      <c r="F64" t="s">
        <v>1</v>
      </c>
      <c r="G64" t="s">
        <v>1917</v>
      </c>
    </row>
    <row r="65" spans="2:7">
      <c r="B65" s="24">
        <f t="shared" si="1"/>
        <v>63</v>
      </c>
      <c r="C65" t="s">
        <v>297</v>
      </c>
      <c r="D65" t="s">
        <v>298</v>
      </c>
      <c r="E65" s="54">
        <v>45366</v>
      </c>
      <c r="F65" t="s">
        <v>1</v>
      </c>
      <c r="G65" t="s">
        <v>1128</v>
      </c>
    </row>
    <row r="66" spans="2:7">
      <c r="B66" s="24">
        <f t="shared" si="1"/>
        <v>64</v>
      </c>
      <c r="C66" t="s">
        <v>86</v>
      </c>
      <c r="D66" t="s">
        <v>301</v>
      </c>
      <c r="E66" s="54">
        <v>45366</v>
      </c>
      <c r="F66" t="s">
        <v>1</v>
      </c>
      <c r="G66" t="s">
        <v>86</v>
      </c>
    </row>
    <row r="67" spans="2:7">
      <c r="B67" s="24">
        <f t="shared" ref="B67:B128" si="2">+B66+1</f>
        <v>65</v>
      </c>
      <c r="C67" t="s">
        <v>304</v>
      </c>
      <c r="D67" t="s">
        <v>305</v>
      </c>
      <c r="E67" s="54">
        <v>45370</v>
      </c>
      <c r="F67" t="s">
        <v>1</v>
      </c>
      <c r="G67" t="s">
        <v>304</v>
      </c>
    </row>
    <row r="68" spans="2:7">
      <c r="B68" s="24">
        <f t="shared" si="2"/>
        <v>66</v>
      </c>
      <c r="C68" t="s">
        <v>86</v>
      </c>
      <c r="D68" t="s">
        <v>310</v>
      </c>
      <c r="E68" s="54">
        <v>45370</v>
      </c>
      <c r="F68" t="s">
        <v>1</v>
      </c>
      <c r="G68" t="s">
        <v>86</v>
      </c>
    </row>
    <row r="69" spans="2:7">
      <c r="B69" s="24">
        <f t="shared" si="2"/>
        <v>67</v>
      </c>
      <c r="C69" t="s">
        <v>86</v>
      </c>
      <c r="D69" t="s">
        <v>315</v>
      </c>
      <c r="E69" s="54">
        <v>45376</v>
      </c>
      <c r="F69" t="s">
        <v>1</v>
      </c>
      <c r="G69" t="s">
        <v>86</v>
      </c>
    </row>
    <row r="70" spans="2:7">
      <c r="B70" s="24">
        <f t="shared" si="2"/>
        <v>68</v>
      </c>
      <c r="C70" t="s">
        <v>320</v>
      </c>
      <c r="D70" t="s">
        <v>321</v>
      </c>
      <c r="E70" s="54">
        <v>45377</v>
      </c>
      <c r="F70" t="s">
        <v>1</v>
      </c>
      <c r="G70" t="s">
        <v>320</v>
      </c>
    </row>
    <row r="71" spans="2:7">
      <c r="B71" s="24">
        <f t="shared" si="2"/>
        <v>69</v>
      </c>
      <c r="C71" t="s">
        <v>86</v>
      </c>
      <c r="D71" t="s">
        <v>325</v>
      </c>
      <c r="E71" s="54">
        <v>45377</v>
      </c>
      <c r="F71" t="s">
        <v>1</v>
      </c>
      <c r="G71" t="s">
        <v>86</v>
      </c>
    </row>
    <row r="72" spans="2:7">
      <c r="B72" s="24">
        <f t="shared" si="2"/>
        <v>70</v>
      </c>
      <c r="C72" t="s">
        <v>329</v>
      </c>
      <c r="D72" t="s">
        <v>330</v>
      </c>
      <c r="E72" s="54">
        <v>45384</v>
      </c>
      <c r="F72" t="s">
        <v>1</v>
      </c>
      <c r="G72" t="s">
        <v>1917</v>
      </c>
    </row>
    <row r="73" spans="2:7">
      <c r="B73" s="24">
        <f t="shared" si="2"/>
        <v>71</v>
      </c>
      <c r="C73" t="s">
        <v>335</v>
      </c>
      <c r="D73" t="s">
        <v>336</v>
      </c>
      <c r="E73" s="54">
        <v>45379</v>
      </c>
      <c r="F73" t="s">
        <v>1</v>
      </c>
      <c r="G73" t="s">
        <v>86</v>
      </c>
    </row>
    <row r="74" spans="2:7">
      <c r="B74" s="24">
        <f t="shared" si="2"/>
        <v>72</v>
      </c>
      <c r="C74" t="s">
        <v>342</v>
      </c>
      <c r="D74" t="s">
        <v>343</v>
      </c>
      <c r="E74" s="54">
        <v>45390</v>
      </c>
      <c r="F74" t="s">
        <v>2</v>
      </c>
      <c r="G74" t="s">
        <v>1918</v>
      </c>
    </row>
    <row r="75" spans="2:7">
      <c r="B75" s="24">
        <f t="shared" si="2"/>
        <v>73</v>
      </c>
      <c r="C75" t="s">
        <v>270</v>
      </c>
      <c r="D75" t="s">
        <v>348</v>
      </c>
      <c r="E75" s="54"/>
      <c r="F75" t="s">
        <v>2</v>
      </c>
      <c r="G75" t="s">
        <v>1128</v>
      </c>
    </row>
    <row r="76" spans="2:7">
      <c r="B76" s="24">
        <f t="shared" si="2"/>
        <v>74</v>
      </c>
      <c r="C76" t="s">
        <v>270</v>
      </c>
      <c r="D76" t="s">
        <v>350</v>
      </c>
      <c r="E76" s="54"/>
      <c r="F76" t="s">
        <v>1</v>
      </c>
      <c r="G76" t="s">
        <v>1128</v>
      </c>
    </row>
    <row r="77" spans="2:7">
      <c r="B77" s="24">
        <f t="shared" si="2"/>
        <v>75</v>
      </c>
      <c r="C77" t="s">
        <v>352</v>
      </c>
      <c r="D77" t="s">
        <v>353</v>
      </c>
      <c r="E77" s="54">
        <v>45387</v>
      </c>
      <c r="F77" t="s">
        <v>1</v>
      </c>
      <c r="G77" t="s">
        <v>320</v>
      </c>
    </row>
    <row r="78" spans="2:7">
      <c r="B78" s="24">
        <f t="shared" si="2"/>
        <v>76</v>
      </c>
      <c r="C78" t="s">
        <v>357</v>
      </c>
      <c r="D78" t="s">
        <v>358</v>
      </c>
      <c r="E78" s="54">
        <v>45322</v>
      </c>
      <c r="F78" t="s">
        <v>1</v>
      </c>
      <c r="G78" t="s">
        <v>204</v>
      </c>
    </row>
    <row r="79" spans="2:7">
      <c r="B79" s="24">
        <f t="shared" si="2"/>
        <v>77</v>
      </c>
      <c r="C79" t="s">
        <v>342</v>
      </c>
      <c r="D79" t="s">
        <v>363</v>
      </c>
      <c r="E79" s="54">
        <v>45386</v>
      </c>
      <c r="F79" t="s">
        <v>1</v>
      </c>
      <c r="G79" t="s">
        <v>1918</v>
      </c>
    </row>
    <row r="80" spans="2:7">
      <c r="B80" s="24">
        <f t="shared" si="2"/>
        <v>78</v>
      </c>
      <c r="C80" t="s">
        <v>20</v>
      </c>
      <c r="D80" t="s">
        <v>367</v>
      </c>
      <c r="E80" s="54"/>
      <c r="F80" t="s">
        <v>1</v>
      </c>
      <c r="G80" t="s">
        <v>320</v>
      </c>
    </row>
    <row r="81" spans="2:7">
      <c r="B81" s="24">
        <f t="shared" si="2"/>
        <v>79</v>
      </c>
      <c r="C81" t="s">
        <v>369</v>
      </c>
      <c r="D81" t="s">
        <v>370</v>
      </c>
      <c r="E81" s="54">
        <v>45385</v>
      </c>
      <c r="F81" t="s">
        <v>1</v>
      </c>
      <c r="G81" t="s">
        <v>320</v>
      </c>
    </row>
    <row r="82" spans="2:7">
      <c r="B82" s="24">
        <f t="shared" si="2"/>
        <v>80</v>
      </c>
      <c r="C82" t="s">
        <v>329</v>
      </c>
      <c r="D82" t="s">
        <v>374</v>
      </c>
      <c r="E82" s="54">
        <v>45391</v>
      </c>
      <c r="F82" t="s">
        <v>1</v>
      </c>
      <c r="G82" t="s">
        <v>1917</v>
      </c>
    </row>
    <row r="83" spans="2:7">
      <c r="B83" s="24">
        <f t="shared" si="2"/>
        <v>81</v>
      </c>
      <c r="C83" t="s">
        <v>329</v>
      </c>
      <c r="D83" t="s">
        <v>378</v>
      </c>
      <c r="E83" s="54"/>
      <c r="F83" t="s">
        <v>2</v>
      </c>
      <c r="G83" t="s">
        <v>1917</v>
      </c>
    </row>
    <row r="84" spans="2:7">
      <c r="B84" s="24">
        <f t="shared" si="2"/>
        <v>82</v>
      </c>
      <c r="C84" t="s">
        <v>380</v>
      </c>
      <c r="D84" t="s">
        <v>381</v>
      </c>
      <c r="E84" s="54">
        <v>45390</v>
      </c>
      <c r="F84" t="s">
        <v>3</v>
      </c>
      <c r="G84" t="s">
        <v>1918</v>
      </c>
    </row>
    <row r="85" spans="2:7">
      <c r="B85" s="24">
        <f t="shared" si="2"/>
        <v>83</v>
      </c>
      <c r="C85" t="s">
        <v>385</v>
      </c>
      <c r="D85" t="s">
        <v>386</v>
      </c>
      <c r="E85" s="54"/>
      <c r="F85" t="s">
        <v>1</v>
      </c>
      <c r="G85" t="s">
        <v>204</v>
      </c>
    </row>
    <row r="86" spans="2:7">
      <c r="B86" s="24">
        <f t="shared" si="2"/>
        <v>84</v>
      </c>
      <c r="C86" t="s">
        <v>86</v>
      </c>
      <c r="D86" t="s">
        <v>388</v>
      </c>
      <c r="E86" s="54">
        <v>45390</v>
      </c>
      <c r="F86" t="s">
        <v>1</v>
      </c>
      <c r="G86" t="s">
        <v>86</v>
      </c>
    </row>
    <row r="87" spans="2:7">
      <c r="B87" s="24">
        <f t="shared" si="2"/>
        <v>85</v>
      </c>
      <c r="C87" t="s">
        <v>390</v>
      </c>
      <c r="D87" t="s">
        <v>391</v>
      </c>
      <c r="E87" s="54">
        <v>45397</v>
      </c>
      <c r="F87" t="s">
        <v>1</v>
      </c>
      <c r="G87" t="s">
        <v>204</v>
      </c>
    </row>
    <row r="88" spans="2:7">
      <c r="B88" s="24">
        <f t="shared" si="2"/>
        <v>86</v>
      </c>
      <c r="C88" t="s">
        <v>395</v>
      </c>
      <c r="D88" t="s">
        <v>396</v>
      </c>
      <c r="E88" s="54">
        <v>45401</v>
      </c>
      <c r="F88" t="s">
        <v>1</v>
      </c>
      <c r="G88" t="s">
        <v>204</v>
      </c>
    </row>
    <row r="89" spans="2:7">
      <c r="B89" s="24">
        <f t="shared" si="2"/>
        <v>87</v>
      </c>
      <c r="C89" t="s">
        <v>96</v>
      </c>
      <c r="D89" t="s">
        <v>402</v>
      </c>
      <c r="E89" s="54">
        <v>45401</v>
      </c>
      <c r="F89" t="s">
        <v>1</v>
      </c>
      <c r="G89" t="s">
        <v>1918</v>
      </c>
    </row>
    <row r="90" spans="2:7">
      <c r="B90" s="24">
        <f t="shared" si="2"/>
        <v>88</v>
      </c>
      <c r="C90" t="s">
        <v>96</v>
      </c>
      <c r="D90" t="s">
        <v>407</v>
      </c>
      <c r="E90" s="54">
        <v>45401</v>
      </c>
      <c r="F90" t="s">
        <v>1</v>
      </c>
      <c r="G90" t="s">
        <v>1918</v>
      </c>
    </row>
    <row r="91" spans="2:7">
      <c r="B91" s="24">
        <f t="shared" si="2"/>
        <v>89</v>
      </c>
      <c r="C91" t="s">
        <v>320</v>
      </c>
      <c r="D91" t="s">
        <v>412</v>
      </c>
      <c r="E91" s="54">
        <v>45401</v>
      </c>
      <c r="F91" t="s">
        <v>1</v>
      </c>
      <c r="G91" t="s">
        <v>320</v>
      </c>
    </row>
    <row r="92" spans="2:7">
      <c r="B92" s="24">
        <f t="shared" si="2"/>
        <v>90</v>
      </c>
      <c r="C92" t="s">
        <v>415</v>
      </c>
      <c r="E92" s="54">
        <v>45401</v>
      </c>
      <c r="F92" t="s">
        <v>1</v>
      </c>
      <c r="G92" t="s">
        <v>1128</v>
      </c>
    </row>
    <row r="93" spans="2:7">
      <c r="B93" s="24">
        <f t="shared" si="2"/>
        <v>91</v>
      </c>
      <c r="C93" t="s">
        <v>96</v>
      </c>
      <c r="D93" t="s">
        <v>418</v>
      </c>
      <c r="E93" s="54">
        <v>45415</v>
      </c>
      <c r="F93" t="s">
        <v>1</v>
      </c>
      <c r="G93" t="s">
        <v>1128</v>
      </c>
    </row>
    <row r="94" spans="2:7">
      <c r="B94" s="24">
        <f t="shared" si="2"/>
        <v>92</v>
      </c>
      <c r="C94" t="s">
        <v>320</v>
      </c>
      <c r="D94" t="s">
        <v>421</v>
      </c>
      <c r="E94" s="54">
        <v>45419</v>
      </c>
      <c r="F94" t="s">
        <v>1</v>
      </c>
      <c r="G94" t="s">
        <v>320</v>
      </c>
    </row>
    <row r="95" spans="2:7">
      <c r="B95" s="24">
        <f t="shared" si="2"/>
        <v>93</v>
      </c>
      <c r="C95" t="s">
        <v>96</v>
      </c>
      <c r="D95" t="s">
        <v>424</v>
      </c>
      <c r="E95" s="54">
        <v>45419</v>
      </c>
      <c r="F95" t="s">
        <v>1</v>
      </c>
      <c r="G95" t="s">
        <v>1918</v>
      </c>
    </row>
    <row r="96" spans="2:7">
      <c r="B96" s="24">
        <f t="shared" si="2"/>
        <v>94</v>
      </c>
      <c r="C96" t="s">
        <v>96</v>
      </c>
      <c r="D96" t="s">
        <v>428</v>
      </c>
      <c r="E96" s="54">
        <v>45419</v>
      </c>
      <c r="F96" t="s">
        <v>1</v>
      </c>
      <c r="G96" t="s">
        <v>1918</v>
      </c>
    </row>
    <row r="97" spans="2:7">
      <c r="B97" s="24">
        <f t="shared" si="2"/>
        <v>95</v>
      </c>
      <c r="C97" t="s">
        <v>430</v>
      </c>
      <c r="D97" t="s">
        <v>431</v>
      </c>
      <c r="E97" s="54">
        <v>45425</v>
      </c>
      <c r="F97" t="s">
        <v>3</v>
      </c>
      <c r="G97" t="s">
        <v>1919</v>
      </c>
    </row>
    <row r="98" spans="2:7">
      <c r="B98" s="24">
        <f t="shared" si="2"/>
        <v>96</v>
      </c>
      <c r="C98" t="s">
        <v>434</v>
      </c>
      <c r="D98" t="s">
        <v>424</v>
      </c>
      <c r="E98" s="54">
        <v>45425</v>
      </c>
      <c r="F98" t="s">
        <v>2</v>
      </c>
      <c r="G98" t="s">
        <v>1128</v>
      </c>
    </row>
    <row r="99" spans="2:7">
      <c r="B99" s="24">
        <f t="shared" si="2"/>
        <v>97</v>
      </c>
      <c r="C99" t="s">
        <v>436</v>
      </c>
      <c r="D99" t="s">
        <v>437</v>
      </c>
      <c r="E99" s="54">
        <v>45425</v>
      </c>
      <c r="F99" t="s">
        <v>2</v>
      </c>
      <c r="G99" t="s">
        <v>204</v>
      </c>
    </row>
    <row r="100" spans="2:7">
      <c r="B100" s="24">
        <f t="shared" si="2"/>
        <v>98</v>
      </c>
      <c r="C100" t="s">
        <v>440</v>
      </c>
      <c r="D100" t="s">
        <v>441</v>
      </c>
      <c r="E100" s="54">
        <v>45432</v>
      </c>
      <c r="F100" t="s">
        <v>1</v>
      </c>
      <c r="G100" t="s">
        <v>320</v>
      </c>
    </row>
    <row r="101" spans="2:7">
      <c r="B101" s="24">
        <f t="shared" si="2"/>
        <v>99</v>
      </c>
      <c r="C101" t="s">
        <v>444</v>
      </c>
      <c r="D101" t="s">
        <v>445</v>
      </c>
      <c r="E101" s="54">
        <v>45436</v>
      </c>
      <c r="F101" t="s">
        <v>1</v>
      </c>
      <c r="G101" t="s">
        <v>1128</v>
      </c>
    </row>
    <row r="102" spans="2:7">
      <c r="B102" s="24">
        <f t="shared" si="2"/>
        <v>100</v>
      </c>
      <c r="C102" t="s">
        <v>444</v>
      </c>
      <c r="D102" t="s">
        <v>449</v>
      </c>
      <c r="E102" s="54">
        <v>45436</v>
      </c>
      <c r="F102" t="s">
        <v>1</v>
      </c>
      <c r="G102" t="s">
        <v>1128</v>
      </c>
    </row>
    <row r="103" spans="2:7">
      <c r="B103" s="24">
        <f t="shared" si="2"/>
        <v>101</v>
      </c>
      <c r="C103" t="s">
        <v>453</v>
      </c>
      <c r="D103" t="s">
        <v>454</v>
      </c>
      <c r="E103" s="54">
        <v>45436</v>
      </c>
      <c r="F103" t="s">
        <v>1</v>
      </c>
      <c r="G103" t="s">
        <v>1128</v>
      </c>
    </row>
    <row r="104" spans="2:7">
      <c r="B104" s="24">
        <f t="shared" si="2"/>
        <v>102</v>
      </c>
      <c r="C104" t="s">
        <v>458</v>
      </c>
      <c r="D104" t="s">
        <v>459</v>
      </c>
      <c r="E104" s="54">
        <v>45436</v>
      </c>
      <c r="F104" t="s">
        <v>1</v>
      </c>
      <c r="G104" t="s">
        <v>320</v>
      </c>
    </row>
    <row r="105" spans="2:7">
      <c r="B105" s="24">
        <f t="shared" si="2"/>
        <v>103</v>
      </c>
      <c r="C105" t="s">
        <v>463</v>
      </c>
      <c r="D105" t="s">
        <v>464</v>
      </c>
      <c r="E105" s="54">
        <v>45436</v>
      </c>
      <c r="F105" t="s">
        <v>1</v>
      </c>
      <c r="G105" t="s">
        <v>204</v>
      </c>
    </row>
    <row r="106" spans="2:7">
      <c r="B106" s="24">
        <f t="shared" si="2"/>
        <v>104</v>
      </c>
      <c r="C106" t="s">
        <v>467</v>
      </c>
      <c r="D106" t="s">
        <v>468</v>
      </c>
      <c r="E106" s="54">
        <v>45446</v>
      </c>
      <c r="F106" t="s">
        <v>1</v>
      </c>
      <c r="G106" t="s">
        <v>1128</v>
      </c>
    </row>
    <row r="107" spans="2:7">
      <c r="B107" s="24">
        <f t="shared" si="2"/>
        <v>105</v>
      </c>
      <c r="C107" t="s">
        <v>472</v>
      </c>
      <c r="D107" t="s">
        <v>473</v>
      </c>
      <c r="E107" s="54">
        <v>45446</v>
      </c>
      <c r="F107" t="s">
        <v>1</v>
      </c>
      <c r="G107" t="s">
        <v>1128</v>
      </c>
    </row>
    <row r="108" spans="2:7">
      <c r="B108" s="24">
        <f t="shared" si="2"/>
        <v>106</v>
      </c>
      <c r="C108" t="s">
        <v>479</v>
      </c>
      <c r="D108" t="s">
        <v>480</v>
      </c>
      <c r="E108" s="54">
        <v>45440</v>
      </c>
      <c r="F108" t="s">
        <v>1</v>
      </c>
      <c r="G108" t="s">
        <v>1128</v>
      </c>
    </row>
    <row r="109" spans="2:7">
      <c r="B109" s="24">
        <f t="shared" si="2"/>
        <v>107</v>
      </c>
      <c r="C109" t="s">
        <v>96</v>
      </c>
      <c r="D109" t="s">
        <v>483</v>
      </c>
      <c r="E109" s="54">
        <v>45441</v>
      </c>
      <c r="F109" t="s">
        <v>1</v>
      </c>
      <c r="G109" t="s">
        <v>1128</v>
      </c>
    </row>
    <row r="110" spans="2:7">
      <c r="B110" s="24">
        <f t="shared" si="2"/>
        <v>108</v>
      </c>
      <c r="C110" t="s">
        <v>329</v>
      </c>
      <c r="D110" t="s">
        <v>486</v>
      </c>
      <c r="E110" s="54">
        <v>45441</v>
      </c>
      <c r="F110" t="s">
        <v>1</v>
      </c>
      <c r="G110" t="s">
        <v>1917</v>
      </c>
    </row>
    <row r="111" spans="2:7">
      <c r="B111" s="24">
        <f t="shared" si="2"/>
        <v>109</v>
      </c>
      <c r="C111" t="s">
        <v>444</v>
      </c>
      <c r="D111" t="s">
        <v>491</v>
      </c>
      <c r="E111" s="54">
        <v>45447</v>
      </c>
      <c r="F111" t="s">
        <v>1</v>
      </c>
      <c r="G111" t="s">
        <v>1128</v>
      </c>
    </row>
    <row r="112" spans="2:7">
      <c r="B112" s="24">
        <f t="shared" si="2"/>
        <v>110</v>
      </c>
      <c r="C112" t="s">
        <v>495</v>
      </c>
      <c r="D112" t="s">
        <v>496</v>
      </c>
      <c r="E112" s="54">
        <v>45447</v>
      </c>
      <c r="F112" t="s">
        <v>2</v>
      </c>
      <c r="G112" t="s">
        <v>204</v>
      </c>
    </row>
    <row r="113" spans="2:7">
      <c r="B113" s="24">
        <f t="shared" si="2"/>
        <v>111</v>
      </c>
      <c r="C113" t="s">
        <v>499</v>
      </c>
      <c r="D113" t="s">
        <v>500</v>
      </c>
      <c r="E113" s="54">
        <v>45449</v>
      </c>
      <c r="F113" t="s">
        <v>2</v>
      </c>
      <c r="G113" t="s">
        <v>320</v>
      </c>
    </row>
    <row r="114" spans="2:7">
      <c r="B114" s="24">
        <f t="shared" si="2"/>
        <v>112</v>
      </c>
      <c r="C114" t="s">
        <v>503</v>
      </c>
      <c r="E114" s="54">
        <v>45449</v>
      </c>
      <c r="F114" t="s">
        <v>1</v>
      </c>
      <c r="G114" t="s">
        <v>1919</v>
      </c>
    </row>
    <row r="115" spans="2:7">
      <c r="B115" s="24">
        <f t="shared" si="2"/>
        <v>113</v>
      </c>
      <c r="C115" t="s">
        <v>506</v>
      </c>
      <c r="D115" t="s">
        <v>507</v>
      </c>
      <c r="E115" s="54">
        <v>45450</v>
      </c>
      <c r="F115" t="s">
        <v>1</v>
      </c>
      <c r="G115" t="s">
        <v>320</v>
      </c>
    </row>
    <row r="116" spans="2:7">
      <c r="B116" s="24">
        <f t="shared" si="2"/>
        <v>114</v>
      </c>
      <c r="C116" t="s">
        <v>270</v>
      </c>
      <c r="D116" t="s">
        <v>511</v>
      </c>
      <c r="E116" s="54">
        <v>45453</v>
      </c>
      <c r="F116" t="s">
        <v>2</v>
      </c>
      <c r="G116" t="s">
        <v>1128</v>
      </c>
    </row>
    <row r="117" spans="2:7">
      <c r="B117" s="24">
        <f t="shared" si="2"/>
        <v>115</v>
      </c>
      <c r="C117" t="s">
        <v>514</v>
      </c>
      <c r="D117" t="s">
        <v>234</v>
      </c>
      <c r="E117" s="54">
        <v>45453</v>
      </c>
      <c r="F117" t="s">
        <v>1</v>
      </c>
      <c r="G117" t="s">
        <v>1919</v>
      </c>
    </row>
    <row r="118" spans="2:7">
      <c r="B118" s="24">
        <f t="shared" si="2"/>
        <v>116</v>
      </c>
      <c r="C118" t="s">
        <v>198</v>
      </c>
      <c r="D118" t="s">
        <v>517</v>
      </c>
      <c r="E118" s="54">
        <v>45457</v>
      </c>
      <c r="F118" t="s">
        <v>1</v>
      </c>
      <c r="G118" t="s">
        <v>86</v>
      </c>
    </row>
    <row r="119" spans="2:7">
      <c r="B119" s="24">
        <f t="shared" si="2"/>
        <v>117</v>
      </c>
      <c r="C119" t="s">
        <v>463</v>
      </c>
      <c r="D119" t="s">
        <v>464</v>
      </c>
      <c r="E119" s="54">
        <v>45453</v>
      </c>
      <c r="F119" t="s">
        <v>1</v>
      </c>
      <c r="G119" t="s">
        <v>204</v>
      </c>
    </row>
    <row r="120" spans="2:7">
      <c r="B120" s="24">
        <f t="shared" si="2"/>
        <v>118</v>
      </c>
      <c r="C120" t="s">
        <v>524</v>
      </c>
      <c r="D120" t="s">
        <v>525</v>
      </c>
      <c r="E120" s="54">
        <v>45457</v>
      </c>
      <c r="F120" t="s">
        <v>2</v>
      </c>
      <c r="G120" t="s">
        <v>304</v>
      </c>
    </row>
    <row r="121" spans="2:7">
      <c r="B121" s="24">
        <f t="shared" si="2"/>
        <v>119</v>
      </c>
      <c r="C121" t="s">
        <v>444</v>
      </c>
      <c r="D121" t="s">
        <v>528</v>
      </c>
      <c r="E121" s="54">
        <v>45460</v>
      </c>
      <c r="F121" t="s">
        <v>1</v>
      </c>
      <c r="G121" t="s">
        <v>1128</v>
      </c>
    </row>
    <row r="122" spans="2:7">
      <c r="B122" s="24">
        <f t="shared" si="2"/>
        <v>120</v>
      </c>
      <c r="C122" t="s">
        <v>532</v>
      </c>
      <c r="D122" t="s">
        <v>533</v>
      </c>
      <c r="E122" s="54">
        <v>45460</v>
      </c>
      <c r="F122" t="s">
        <v>3</v>
      </c>
      <c r="G122" t="s">
        <v>1128</v>
      </c>
    </row>
    <row r="123" spans="2:7">
      <c r="B123" s="24">
        <f t="shared" si="2"/>
        <v>121</v>
      </c>
      <c r="C123" t="s">
        <v>96</v>
      </c>
      <c r="D123" t="s">
        <v>536</v>
      </c>
      <c r="E123" s="54">
        <v>45464</v>
      </c>
      <c r="F123" t="s">
        <v>2</v>
      </c>
      <c r="G123" t="s">
        <v>1918</v>
      </c>
    </row>
    <row r="124" spans="2:7">
      <c r="B124" s="24">
        <f t="shared" si="2"/>
        <v>122</v>
      </c>
      <c r="C124" t="s">
        <v>96</v>
      </c>
      <c r="D124" t="s">
        <v>539</v>
      </c>
      <c r="E124" s="54">
        <v>45461</v>
      </c>
      <c r="F124" t="s">
        <v>2</v>
      </c>
      <c r="G124" t="s">
        <v>1918</v>
      </c>
    </row>
    <row r="125" spans="2:7">
      <c r="B125" s="24">
        <f t="shared" si="2"/>
        <v>123</v>
      </c>
      <c r="C125" t="s">
        <v>198</v>
      </c>
      <c r="D125" t="s">
        <v>543</v>
      </c>
      <c r="E125" s="54">
        <v>45467</v>
      </c>
      <c r="F125" t="s">
        <v>2</v>
      </c>
      <c r="G125" t="s">
        <v>1918</v>
      </c>
    </row>
    <row r="126" spans="2:7">
      <c r="B126" s="24">
        <f t="shared" si="2"/>
        <v>124</v>
      </c>
      <c r="C126" t="s">
        <v>198</v>
      </c>
      <c r="D126" t="s">
        <v>547</v>
      </c>
      <c r="E126" s="54">
        <v>45461</v>
      </c>
      <c r="F126" t="s">
        <v>1</v>
      </c>
      <c r="G126" t="s">
        <v>304</v>
      </c>
    </row>
    <row r="127" spans="2:7">
      <c r="B127" s="24">
        <f t="shared" si="2"/>
        <v>125</v>
      </c>
      <c r="C127" t="s">
        <v>434</v>
      </c>
      <c r="D127" t="s">
        <v>555</v>
      </c>
      <c r="E127" s="54"/>
      <c r="F127" t="s">
        <v>2</v>
      </c>
      <c r="G127" t="s">
        <v>1918</v>
      </c>
    </row>
    <row r="128" spans="2:7">
      <c r="B128" s="24">
        <f t="shared" si="2"/>
        <v>126</v>
      </c>
      <c r="C128" t="s">
        <v>390</v>
      </c>
      <c r="D128" t="s">
        <v>557</v>
      </c>
      <c r="E128" s="54"/>
      <c r="F128" t="s">
        <v>2</v>
      </c>
      <c r="G128" t="s">
        <v>204</v>
      </c>
    </row>
    <row r="129" spans="2:7">
      <c r="B129" s="24">
        <f t="shared" ref="B129" si="3">+B128+1</f>
        <v>127</v>
      </c>
      <c r="C129" t="s">
        <v>96</v>
      </c>
      <c r="D129" t="s">
        <v>560</v>
      </c>
      <c r="E129" s="54">
        <v>45468</v>
      </c>
      <c r="F129" t="s">
        <v>1</v>
      </c>
      <c r="G129" t="s">
        <v>1128</v>
      </c>
    </row>
    <row r="130" spans="2:7">
      <c r="B130" s="24">
        <f>+B129+1</f>
        <v>128</v>
      </c>
      <c r="C130" t="s">
        <v>198</v>
      </c>
      <c r="D130" t="s">
        <v>564</v>
      </c>
      <c r="E130" s="54">
        <v>45469</v>
      </c>
      <c r="F130" t="s">
        <v>2</v>
      </c>
      <c r="G130" t="s">
        <v>304</v>
      </c>
    </row>
  </sheetData>
  <autoFilter ref="B2:G130" xr:uid="{E45D06CC-1A41-4093-9770-D53104CBB86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32C1D2E7FF5C489710C5130155F5B0" ma:contentTypeVersion="15" ma:contentTypeDescription="Create a new document." ma:contentTypeScope="" ma:versionID="a15600b127ad97046d46246888b954e1">
  <xsd:schema xmlns:xsd="http://www.w3.org/2001/XMLSchema" xmlns:xs="http://www.w3.org/2001/XMLSchema" xmlns:p="http://schemas.microsoft.com/office/2006/metadata/properties" xmlns:ns2="0de60498-c003-4302-b062-ad2a11cb68c6" targetNamespace="http://schemas.microsoft.com/office/2006/metadata/properties" ma:root="true" ma:fieldsID="dfa8dff2f4a02bc66594a4c0439437d9" ns2:_="">
    <xsd:import namespace="0de60498-c003-4302-b062-ad2a11cb68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e60498-c003-4302-b062-ad2a11cb68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edf1f02-4909-49e0-9501-0054223ed34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de60498-c003-4302-b062-ad2a11cb68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3E608D3-67B4-4ED8-9B1E-0C878DC240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e60498-c003-4302-b062-ad2a11cb68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A19A0C-EFC8-4344-8333-8C58975B15FA}">
  <ds:schemaRefs>
    <ds:schemaRef ds:uri="http://schemas.microsoft.com/sharepoint/v3/contenttype/forms"/>
  </ds:schemaRefs>
</ds:datastoreItem>
</file>

<file path=customXml/itemProps3.xml><?xml version="1.0" encoding="utf-8"?>
<ds:datastoreItem xmlns:ds="http://schemas.openxmlformats.org/officeDocument/2006/customXml" ds:itemID="{203D9C43-F44F-4EE0-B059-74A7D82E659F}">
  <ds:schemaRefs>
    <ds:schemaRef ds:uri="http://purl.org/dc/terms/"/>
    <ds:schemaRef ds:uri="http://purl.org/dc/dcmitype/"/>
    <ds:schemaRef ds:uri="http://schemas.openxmlformats.org/package/2006/metadata/core-properties"/>
    <ds:schemaRef ds:uri="0de60498-c003-4302-b062-ad2a11cb68c6"/>
    <ds:schemaRef ds:uri="http://schemas.microsoft.com/office/2006/documentManagement/types"/>
    <ds:schemaRef ds:uri="http://schemas.microsoft.com/office/infopath/2007/PartnerControls"/>
    <ds:schemaRef ds:uri="http://schemas.microsoft.com/office/2006/metadata/properties"/>
    <ds:schemaRef ds:uri="http://purl.org/dc/elements/1.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Sheet4</vt:lpstr>
      <vt:lpstr>Pipe</vt:lpstr>
      <vt:lpstr>Originadores</vt:lpstr>
      <vt:lpstr>Analise Originação 2025</vt:lpstr>
      <vt:lpstr>Reestruturação</vt:lpstr>
      <vt:lpstr>Vertical_1812</vt:lpstr>
      <vt:lpstr>Vertical_1610</vt:lpstr>
      <vt:lpstr>Vertical_2509</vt:lpstr>
      <vt:lpstr>Vertical_2108</vt:lpstr>
      <vt:lpstr>Reunião Vertical_1707</vt:lpstr>
      <vt:lpstr>Reuniao Vertical_1505</vt:lpstr>
      <vt:lpstr>Originação</vt:lpstr>
      <vt:lpstr>Output</vt:lpstr>
      <vt:lpstr>Reuniao Vertical_old</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Gabriel Sansão Soares</dc:creator>
  <cp:keywords/>
  <dc:description/>
  <cp:lastModifiedBy>Antonio Penido</cp:lastModifiedBy>
  <cp:revision/>
  <cp:lastPrinted>2025-10-16T14:35:13Z</cp:lastPrinted>
  <dcterms:created xsi:type="dcterms:W3CDTF">2024-02-01T18:54:09Z</dcterms:created>
  <dcterms:modified xsi:type="dcterms:W3CDTF">2026-09-11T02:10:57Z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0x010100DF32C1D2E7FF5C489710C5130155F5B0</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